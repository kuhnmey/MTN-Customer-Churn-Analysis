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My Project\"/>
    </mc:Choice>
  </mc:AlternateContent>
  <bookViews>
    <workbookView xWindow="0" yWindow="0" windowWidth="19200" windowHeight="6560" activeTab="2"/>
  </bookViews>
  <sheets>
    <sheet name="MTN CUSTOMER CHURN" sheetId="2" r:id="rId1"/>
    <sheet name="PIVOT TABLE" sheetId="16" r:id="rId2"/>
    <sheet name="DASHBOARD" sheetId="11" r:id="rId3"/>
  </sheets>
  <definedNames>
    <definedName name="CHRUN">'MTN CUSTOMER CHURN'!$A$1:$W$975</definedName>
    <definedName name="mtn">'MTN CUSTOMER CHURN'!$A:$W</definedName>
    <definedName name="per">'PIVOT TABLE'!$N$6</definedName>
    <definedName name="rate">'PIVOT TABLE'!$O$6</definedName>
    <definedName name="revenue">'PIVOT TABLE'!$M$6</definedName>
    <definedName name="sat">'PIVOT TABLE'!$P$6</definedName>
    <definedName name="Slicer_Age_Group1">#N/A</definedName>
    <definedName name="Slicer_Customer_Churn_Status1">#N/A</definedName>
    <definedName name="Slicer_Customer_Tenure_Group1">#N/A</definedName>
    <definedName name="Slicer_Gender1">#N/A</definedName>
  </definedNames>
  <calcPr calcId="162913"/>
  <pivotCaches>
    <pivotCache cacheId="0" r:id="rId4"/>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2" l="1"/>
  <c r="U2" i="2" l="1"/>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2" i="2"/>
  <c r="W2" i="2" l="1"/>
</calcChain>
</file>

<file path=xl/connections.xml><?xml version="1.0" encoding="utf-8"?>
<connections xmlns="http://schemas.openxmlformats.org/spreadsheetml/2006/main">
  <connection id="1" sourceFile="C:\Users\hp\Downloads\mtn_customer_churn DASHBOARD (1).xlsx" keepAlive="1" name="mtn_customer_churn DASHBOARD (1)" type="5" refreshedVersion="0" new="1" background="1">
    <dbPr connection="Provider=Microsoft.ACE.OLEDB.12.0;Password=&quot;&quot;;User ID=Admin;Data Source=C:\Users\hp\Downloads\mtn_customer_churn DASHBOARD (1).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MTN CUSTOMER CHURN$'" commandType="3"/>
  </connection>
</connections>
</file>

<file path=xl/sharedStrings.xml><?xml version="1.0" encoding="utf-8"?>
<sst xmlns="http://schemas.openxmlformats.org/spreadsheetml/2006/main" count="7893" uniqueCount="1094">
  <si>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</si>
  <si>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</si>
  <si>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</si>
  <si>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</si>
  <si>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</si>
  <si>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</si>
  <si>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</si>
  <si>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</si>
  <si>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</si>
  <si>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</si>
  <si>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</si>
  <si>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</si>
  <si>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</si>
  <si>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</si>
  <si>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</si>
  <si>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</si>
  <si>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CUST0001</t>
  </si>
  <si>
    <t>Ngozi Berry</t>
  </si>
  <si>
    <t>Kwara</t>
  </si>
  <si>
    <t>4G Router</t>
  </si>
  <si>
    <t>Male</t>
  </si>
  <si>
    <t>Fair</t>
  </si>
  <si>
    <t>165GB Monthly Plan</t>
  </si>
  <si>
    <t>Yes</t>
  </si>
  <si>
    <t>CUST0002</t>
  </si>
  <si>
    <t>Zainab Baker</t>
  </si>
  <si>
    <t>Abuja (FCT)</t>
  </si>
  <si>
    <t>Mobile SIM Card</t>
  </si>
  <si>
    <t>Female</t>
  </si>
  <si>
    <t>12.5GB Monthly Plan</t>
  </si>
  <si>
    <t>CUST0003</t>
  </si>
  <si>
    <t>Saidu Evans</t>
  </si>
  <si>
    <t>Sokoto</t>
  </si>
  <si>
    <t>5G Broadband Router</t>
  </si>
  <si>
    <t>Poor</t>
  </si>
  <si>
    <t>150GB FUP Monthly Unlimited</t>
  </si>
  <si>
    <t>No</t>
  </si>
  <si>
    <t>1GB+1.5mins Daily Plan</t>
  </si>
  <si>
    <t>Broadband MiFi</t>
  </si>
  <si>
    <t>30GB Monthly Broadband Plan</t>
  </si>
  <si>
    <t>CUST0004</t>
  </si>
  <si>
    <t>Ejiro Walker</t>
  </si>
  <si>
    <t>Gombe</t>
  </si>
  <si>
    <t>10GB+10mins Monthly Plan</t>
  </si>
  <si>
    <t>CUST0005</t>
  </si>
  <si>
    <t>Nura Mann</t>
  </si>
  <si>
    <t>Oyo</t>
  </si>
  <si>
    <t>Good</t>
  </si>
  <si>
    <t>25GB Monthly Plan</t>
  </si>
  <si>
    <t>CUST0006</t>
  </si>
  <si>
    <t>Tamuno Lewis</t>
  </si>
  <si>
    <t>Plateau</t>
  </si>
  <si>
    <t>Excellent</t>
  </si>
  <si>
    <t>7GB Monthly Plan</t>
  </si>
  <si>
    <t>1.5TB Yearly Broadband Plan</t>
  </si>
  <si>
    <t>65GB Monthly Plan</t>
  </si>
  <si>
    <t>CUST0007</t>
  </si>
  <si>
    <t>Boma Stewart</t>
  </si>
  <si>
    <t>Jigawa</t>
  </si>
  <si>
    <t>120GB Monthly Broadband Plan</t>
  </si>
  <si>
    <t>CUST0008</t>
  </si>
  <si>
    <t>Ifeanyi Park</t>
  </si>
  <si>
    <t>300GB FUP Monthly Unlimited</t>
  </si>
  <si>
    <t>CUST0009</t>
  </si>
  <si>
    <t>Bala Robbins</t>
  </si>
  <si>
    <t>CUST0010</t>
  </si>
  <si>
    <t>Halima Ochoa</t>
  </si>
  <si>
    <t>Imo</t>
  </si>
  <si>
    <t>60GB Monthly Broadband Plan</t>
  </si>
  <si>
    <t>500MB Daily Plan</t>
  </si>
  <si>
    <t>CUST0011</t>
  </si>
  <si>
    <t>Ejiro Griffith</t>
  </si>
  <si>
    <t>Bauchi</t>
  </si>
  <si>
    <t>CUST0012</t>
  </si>
  <si>
    <t>Zainab Morton</t>
  </si>
  <si>
    <t>Ondo</t>
  </si>
  <si>
    <t>CUST0013</t>
  </si>
  <si>
    <t>Ngozi Moreno</t>
  </si>
  <si>
    <t>Kebbi</t>
  </si>
  <si>
    <t>3.2GB 2-Day Plan</t>
  </si>
  <si>
    <t>CUST0014</t>
  </si>
  <si>
    <t>Ngozi Crawford</t>
  </si>
  <si>
    <t>Adamawa</t>
  </si>
  <si>
    <t>20GB Monthly Plan</t>
  </si>
  <si>
    <t>CUST0015</t>
  </si>
  <si>
    <t>Abubakar Garner</t>
  </si>
  <si>
    <t>Yobe</t>
  </si>
  <si>
    <t>CUST0016</t>
  </si>
  <si>
    <t>Kunle Ford</t>
  </si>
  <si>
    <t>CUST0017</t>
  </si>
  <si>
    <t>Tunde Hayes</t>
  </si>
  <si>
    <t>Anambra</t>
  </si>
  <si>
    <t>CUST0018</t>
  </si>
  <si>
    <t>David Fletcher</t>
  </si>
  <si>
    <t>CUST0019</t>
  </si>
  <si>
    <t>Obinna Wright</t>
  </si>
  <si>
    <t>Cross River</t>
  </si>
  <si>
    <t>2.5GB 2-Day Plan</t>
  </si>
  <si>
    <t>CUST0020</t>
  </si>
  <si>
    <t>Amaka Reed</t>
  </si>
  <si>
    <t>450GB 3-Month Broadband Plan</t>
  </si>
  <si>
    <t>CUST0021</t>
  </si>
  <si>
    <t>Oghene Brown</t>
  </si>
  <si>
    <t>CUST0022</t>
  </si>
  <si>
    <t>Shehu Ferguson</t>
  </si>
  <si>
    <t>Kogi</t>
  </si>
  <si>
    <t>CUST0023</t>
  </si>
  <si>
    <t>Oghene Vazquez</t>
  </si>
  <si>
    <t>Osun</t>
  </si>
  <si>
    <t>Very Good</t>
  </si>
  <si>
    <t>200GB Monthly Broadband Plan</t>
  </si>
  <si>
    <t>CUST0024</t>
  </si>
  <si>
    <t>David Johnson</t>
  </si>
  <si>
    <t>Kano</t>
  </si>
  <si>
    <t>CUST0025</t>
  </si>
  <si>
    <t>Ifeanyi Brown</t>
  </si>
  <si>
    <t>Benue</t>
  </si>
  <si>
    <t>CUST0026</t>
  </si>
  <si>
    <t>Ese Simmons</t>
  </si>
  <si>
    <t>CUST0027</t>
  </si>
  <si>
    <t>Maryam Reyes</t>
  </si>
  <si>
    <t>CUST0028</t>
  </si>
  <si>
    <t>Obinna Sanchez</t>
  </si>
  <si>
    <t>Rivers</t>
  </si>
  <si>
    <t>CUST0029</t>
  </si>
  <si>
    <t>Boma Franco</t>
  </si>
  <si>
    <t>Enugu</t>
  </si>
  <si>
    <t>CUST0030</t>
  </si>
  <si>
    <t>Alabo Davis</t>
  </si>
  <si>
    <t>CUST0031</t>
  </si>
  <si>
    <t>Kunle West</t>
  </si>
  <si>
    <t>CUST0032</t>
  </si>
  <si>
    <t>Maryam Terry</t>
  </si>
  <si>
    <t>CUST0033</t>
  </si>
  <si>
    <t>Amina Mosley</t>
  </si>
  <si>
    <t>Borno</t>
  </si>
  <si>
    <t>CUST0034</t>
  </si>
  <si>
    <t>Shehu Anderson</t>
  </si>
  <si>
    <t>Edo</t>
  </si>
  <si>
    <t>CUST0035</t>
  </si>
  <si>
    <t>Oghene Mcguire</t>
  </si>
  <si>
    <t>Kaduna</t>
  </si>
  <si>
    <t>CUST0036</t>
  </si>
  <si>
    <t>Ifeanyi Randall</t>
  </si>
  <si>
    <t>Abia</t>
  </si>
  <si>
    <t>CUST0037</t>
  </si>
  <si>
    <t>Ifeanyi Ruiz</t>
  </si>
  <si>
    <t>Ekiti</t>
  </si>
  <si>
    <t>CUST0038</t>
  </si>
  <si>
    <t>Shehu Randall</t>
  </si>
  <si>
    <t>CUST0039</t>
  </si>
  <si>
    <t>Zina Green</t>
  </si>
  <si>
    <t>Bayelsa</t>
  </si>
  <si>
    <t>CUST0040</t>
  </si>
  <si>
    <t>Chinedu Ruiz</t>
  </si>
  <si>
    <t>CUST0041</t>
  </si>
  <si>
    <t>Ejiro Mason</t>
  </si>
  <si>
    <t>CUST0042</t>
  </si>
  <si>
    <t>Shehu Hoffman</t>
  </si>
  <si>
    <t>1.5GB 2-Day Plan</t>
  </si>
  <si>
    <t>CUST0043</t>
  </si>
  <si>
    <t>Abubakar Johnson</t>
  </si>
  <si>
    <t>CUST0044</t>
  </si>
  <si>
    <t>Grace Walker</t>
  </si>
  <si>
    <t>CUST0045</t>
  </si>
  <si>
    <t>Alabo Thompson</t>
  </si>
  <si>
    <t>CUST0046</t>
  </si>
  <si>
    <t>Amina Wright</t>
  </si>
  <si>
    <t>CUST0047</t>
  </si>
  <si>
    <t>Bala Christian</t>
  </si>
  <si>
    <t>Delta</t>
  </si>
  <si>
    <t>CUST0048</t>
  </si>
  <si>
    <t>Abubakar Gentry</t>
  </si>
  <si>
    <t>CUST0049</t>
  </si>
  <si>
    <t>Zainab Taylor</t>
  </si>
  <si>
    <t>CUST0050</t>
  </si>
  <si>
    <t>Tega Stevens</t>
  </si>
  <si>
    <t>CUST0051</t>
  </si>
  <si>
    <t>Zina Carter</t>
  </si>
  <si>
    <t>CUST0052</t>
  </si>
  <si>
    <t>Halima Johnston</t>
  </si>
  <si>
    <t>CUST0053</t>
  </si>
  <si>
    <t>Grace Christensen</t>
  </si>
  <si>
    <t>Zamfara</t>
  </si>
  <si>
    <t>CUST0054</t>
  </si>
  <si>
    <t>Amaka Potter</t>
  </si>
  <si>
    <t>Akwa Ibom</t>
  </si>
  <si>
    <t>16.5GB+10mins Monthly Plan</t>
  </si>
  <si>
    <t>CUST0055</t>
  </si>
  <si>
    <t>Halima Smith</t>
  </si>
  <si>
    <t>CUST0056</t>
  </si>
  <si>
    <t>Tega Daniels</t>
  </si>
  <si>
    <t>Nasarawa</t>
  </si>
  <si>
    <t>CUST0057</t>
  </si>
  <si>
    <t>Chinedu Davis</t>
  </si>
  <si>
    <t>CUST0058</t>
  </si>
  <si>
    <t>Ngozi Brown</t>
  </si>
  <si>
    <t>CUST0059</t>
  </si>
  <si>
    <t>Halima Williams</t>
  </si>
  <si>
    <t>CUST0060</t>
  </si>
  <si>
    <t>Amina Payne</t>
  </si>
  <si>
    <t>CUST0061</t>
  </si>
  <si>
    <t>Abubakar Ewing</t>
  </si>
  <si>
    <t>CUST0062</t>
  </si>
  <si>
    <t>Ngozi Henson</t>
  </si>
  <si>
    <t>CUST0063</t>
  </si>
  <si>
    <t>Amina Flores</t>
  </si>
  <si>
    <t>Taraba</t>
  </si>
  <si>
    <t>CUST0064</t>
  </si>
  <si>
    <t>Ejiro Ford</t>
  </si>
  <si>
    <t>CUST0065</t>
  </si>
  <si>
    <t>Kunle Shaw</t>
  </si>
  <si>
    <t>CUST0066</t>
  </si>
  <si>
    <t>David Schneider</t>
  </si>
  <si>
    <t>CUST0067</t>
  </si>
  <si>
    <t>Ejiro Smith</t>
  </si>
  <si>
    <t>CUST0068</t>
  </si>
  <si>
    <t>Halima Anderson</t>
  </si>
  <si>
    <t>CUST0069</t>
  </si>
  <si>
    <t>Tunde Oliver</t>
  </si>
  <si>
    <t>CUST0070</t>
  </si>
  <si>
    <t>Ese Obrien</t>
  </si>
  <si>
    <t>CUST0071</t>
  </si>
  <si>
    <t>Alabo Keith</t>
  </si>
  <si>
    <t>CUST0072</t>
  </si>
  <si>
    <t>Ngozi Hernandez</t>
  </si>
  <si>
    <t>CUST0073</t>
  </si>
  <si>
    <t>Ese Flowers</t>
  </si>
  <si>
    <t>CUST0074</t>
  </si>
  <si>
    <t>Ibim Marshall</t>
  </si>
  <si>
    <t>CUST0075</t>
  </si>
  <si>
    <t>Tega Medina</t>
  </si>
  <si>
    <t>CUST0076</t>
  </si>
  <si>
    <t>Nura Mcneil</t>
  </si>
  <si>
    <t>CUST0077</t>
  </si>
  <si>
    <t>Chinedu Pitts</t>
  </si>
  <si>
    <t>CUST0078</t>
  </si>
  <si>
    <t>Alabo Kelly</t>
  </si>
  <si>
    <t>CUST0079</t>
  </si>
  <si>
    <t>Fatima Pennington</t>
  </si>
  <si>
    <t>CUST0080</t>
  </si>
  <si>
    <t>Kunle Williams</t>
  </si>
  <si>
    <t>CUST0081</t>
  </si>
  <si>
    <t>Chinedu Ortiz</t>
  </si>
  <si>
    <t>CUST0082</t>
  </si>
  <si>
    <t>Michael Ortiz</t>
  </si>
  <si>
    <t>CUST0083</t>
  </si>
  <si>
    <t>Shehu Holt</t>
  </si>
  <si>
    <t>CUST0084</t>
  </si>
  <si>
    <t>Maryam Velez</t>
  </si>
  <si>
    <t>CUST0085</t>
  </si>
  <si>
    <t>Alabo Turner</t>
  </si>
  <si>
    <t>Niger</t>
  </si>
  <si>
    <t>CUST0086</t>
  </si>
  <si>
    <t>Amina Rivas</t>
  </si>
  <si>
    <t>CUST0087</t>
  </si>
  <si>
    <t>Omamuzo Guerrero</t>
  </si>
  <si>
    <t>CUST0088</t>
  </si>
  <si>
    <t>Amaka Brown</t>
  </si>
  <si>
    <t>CUST0089</t>
  </si>
  <si>
    <t>Michael Schultz</t>
  </si>
  <si>
    <t>CUST0090</t>
  </si>
  <si>
    <t>John Montoya</t>
  </si>
  <si>
    <t>CUST0091</t>
  </si>
  <si>
    <t>Ngozi Fox</t>
  </si>
  <si>
    <t>CUST0092</t>
  </si>
  <si>
    <t>Chinedu Burke</t>
  </si>
  <si>
    <t>CUST0093</t>
  </si>
  <si>
    <t>Amaka Webb</t>
  </si>
  <si>
    <t>CUST0094</t>
  </si>
  <si>
    <t>Maryam Tucker</t>
  </si>
  <si>
    <t>CUST0095</t>
  </si>
  <si>
    <t>Sarah James</t>
  </si>
  <si>
    <t>CUST0096</t>
  </si>
  <si>
    <t>Tega Turner</t>
  </si>
  <si>
    <t>CUST0097</t>
  </si>
  <si>
    <t>Ese Perez</t>
  </si>
  <si>
    <t>CUST0098</t>
  </si>
  <si>
    <t>Tega Murray</t>
  </si>
  <si>
    <t>CUST0099</t>
  </si>
  <si>
    <t>Boma Gonzalez</t>
  </si>
  <si>
    <t>CUST0100</t>
  </si>
  <si>
    <t>Kunle Davis</t>
  </si>
  <si>
    <t>CUST0101</t>
  </si>
  <si>
    <t>Bola Brown</t>
  </si>
  <si>
    <t>CUST0102</t>
  </si>
  <si>
    <t>Ifeanyi Burns</t>
  </si>
  <si>
    <t>CUST0103</t>
  </si>
  <si>
    <t>Chinedu Barrera</t>
  </si>
  <si>
    <t>CUST0104</t>
  </si>
  <si>
    <t>Zina Fischer</t>
  </si>
  <si>
    <t>Katsina</t>
  </si>
  <si>
    <t>CUST0105</t>
  </si>
  <si>
    <t>Amaka Garcia</t>
  </si>
  <si>
    <t>CUST0106</t>
  </si>
  <si>
    <t>Abubakar Holmes</t>
  </si>
  <si>
    <t>CUST0107</t>
  </si>
  <si>
    <t>Bola Rogers</t>
  </si>
  <si>
    <t>CUST0108</t>
  </si>
  <si>
    <t>John Rose</t>
  </si>
  <si>
    <t>CUST0109</t>
  </si>
  <si>
    <t>Tamuno Bates</t>
  </si>
  <si>
    <t>CUST0110</t>
  </si>
  <si>
    <t>Ibim Richards</t>
  </si>
  <si>
    <t>CUST0111</t>
  </si>
  <si>
    <t>Fatima Blevins</t>
  </si>
  <si>
    <t>CUST0112</t>
  </si>
  <si>
    <t>Bala Smith</t>
  </si>
  <si>
    <t>CUST0113</t>
  </si>
  <si>
    <t>Michael Evans</t>
  </si>
  <si>
    <t>CUST0114</t>
  </si>
  <si>
    <t>Amina Todd</t>
  </si>
  <si>
    <t>CUST0115</t>
  </si>
  <si>
    <t>Maryam Smith</t>
  </si>
  <si>
    <t>CUST0116</t>
  </si>
  <si>
    <t>Bola Garcia</t>
  </si>
  <si>
    <t>CUST0117</t>
  </si>
  <si>
    <t>Sade Collins</t>
  </si>
  <si>
    <t>CUST0118</t>
  </si>
  <si>
    <t>Zainab Garcia</t>
  </si>
  <si>
    <t>CUST0119</t>
  </si>
  <si>
    <t>Omamuzo Terry</t>
  </si>
  <si>
    <t>CUST0120</t>
  </si>
  <si>
    <t>Fatima Lindsey</t>
  </si>
  <si>
    <t>CUST0121</t>
  </si>
  <si>
    <t>Tunde Smith</t>
  </si>
  <si>
    <t>CUST0122</t>
  </si>
  <si>
    <t>Grace Fowler</t>
  </si>
  <si>
    <t>CUST0123</t>
  </si>
  <si>
    <t>Tega Chen</t>
  </si>
  <si>
    <t>CUST0124</t>
  </si>
  <si>
    <t>Shehu Nguyen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</si>
  <si>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</si>
  <si>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</si>
  <si>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</si>
  <si>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</si>
  <si>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</si>
  <si>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</si>
  <si>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</si>
  <si>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</si>
  <si>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</si>
  <si>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</si>
  <si>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</si>
  <si>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</si>
  <si>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</si>
  <si>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</si>
  <si>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CUST0132</t>
  </si>
  <si>
    <t>Nura Yang</t>
  </si>
  <si>
    <t>CUST0133</t>
  </si>
  <si>
    <t>Oghene Cooper</t>
  </si>
  <si>
    <t>CUST0134</t>
  </si>
  <si>
    <t>Obinna Branch</t>
  </si>
  <si>
    <t>CUST0135</t>
  </si>
  <si>
    <t>Bola Anderson</t>
  </si>
  <si>
    <t>CUST0136</t>
  </si>
  <si>
    <t>John Hill</t>
  </si>
  <si>
    <t>CUST0137</t>
  </si>
  <si>
    <t>Zina Singh</t>
  </si>
  <si>
    <t>CUST0138</t>
  </si>
  <si>
    <t>Ibim Brown</t>
  </si>
  <si>
    <t>CUST0139</t>
  </si>
  <si>
    <t>Saidu Holt</t>
  </si>
  <si>
    <t>CUST0140</t>
  </si>
  <si>
    <t>Amaka Vang</t>
  </si>
  <si>
    <t>CUST0141</t>
  </si>
  <si>
    <t>Ibim Faulkner</t>
  </si>
  <si>
    <t>CUST0142</t>
  </si>
  <si>
    <t>Bala Hood</t>
  </si>
  <si>
    <t>CUST0143</t>
  </si>
  <si>
    <t>Bola Brooks</t>
  </si>
  <si>
    <t>CUST0144</t>
  </si>
  <si>
    <t>Fatima Wheeler</t>
  </si>
  <si>
    <t>CUST0145</t>
  </si>
  <si>
    <t>Halima Valencia</t>
  </si>
  <si>
    <t>CUST0146</t>
  </si>
  <si>
    <t>Tamuno Boyd</t>
  </si>
  <si>
    <t>CUST0147</t>
  </si>
  <si>
    <t>Chinedu Martinez</t>
  </si>
  <si>
    <t>CUST0148</t>
  </si>
  <si>
    <t>Ejiro Finley</t>
  </si>
  <si>
    <t>CUST0149</t>
  </si>
  <si>
    <t>Omamuzo Levine</t>
  </si>
  <si>
    <t>CUST0150</t>
  </si>
  <si>
    <t>Ejiro Roman</t>
  </si>
  <si>
    <t>CUST0151</t>
  </si>
  <si>
    <t>Tega Mendez</t>
  </si>
  <si>
    <t>CUST0152</t>
  </si>
  <si>
    <t>Tamuno Yang</t>
  </si>
  <si>
    <t>CUST0153</t>
  </si>
  <si>
    <t>Maryam Williams</t>
  </si>
  <si>
    <t>CUST0154</t>
  </si>
  <si>
    <t>David Miller</t>
  </si>
  <si>
    <t>CUST0155</t>
  </si>
  <si>
    <t>Ngozi Fowler</t>
  </si>
  <si>
    <t>CUST0156</t>
  </si>
  <si>
    <t>Ifeanyi Garcia</t>
  </si>
  <si>
    <t>CUST0157</t>
  </si>
  <si>
    <t>Ifeanyi Jimenez</t>
  </si>
  <si>
    <t>CUST0159</t>
  </si>
  <si>
    <t>Kunle Nielsen</t>
  </si>
  <si>
    <t>CUST0160</t>
  </si>
  <si>
    <t>Oghene Diaz</t>
  </si>
  <si>
    <t>CUST0161</t>
  </si>
  <si>
    <t>Michael Wilson</t>
  </si>
  <si>
    <t>CUST0162</t>
  </si>
  <si>
    <t>Grace Gallegos</t>
  </si>
  <si>
    <t>CUST0163</t>
  </si>
  <si>
    <t>Nura Jackson</t>
  </si>
  <si>
    <t>CUST0164</t>
  </si>
  <si>
    <t>Maryam Diaz</t>
  </si>
  <si>
    <t>CUST0165</t>
  </si>
  <si>
    <t>Oghene Allison</t>
  </si>
  <si>
    <t>CUST0166</t>
  </si>
  <si>
    <t>Sade Suarez</t>
  </si>
  <si>
    <t>CUST0167</t>
  </si>
  <si>
    <t>Ejiro Thomas</t>
  </si>
  <si>
    <t>CUST0168</t>
  </si>
  <si>
    <t>Abubakar Weiss</t>
  </si>
  <si>
    <t>CUST0169</t>
  </si>
  <si>
    <t>Maryam Dean</t>
  </si>
  <si>
    <t>CUST0170</t>
  </si>
  <si>
    <t>Amaka Whitaker</t>
  </si>
  <si>
    <t>CUST0171</t>
  </si>
  <si>
    <t>Maryam Dixon</t>
  </si>
  <si>
    <t>CUST0172</t>
  </si>
  <si>
    <t>Obinna Miller</t>
  </si>
  <si>
    <t>CUST0173</t>
  </si>
  <si>
    <t>Maryam Soto</t>
  </si>
  <si>
    <t>CUST0174</t>
  </si>
  <si>
    <t>Kunle Jones</t>
  </si>
  <si>
    <t>CUST0175</t>
  </si>
  <si>
    <t>Tamuno Patton</t>
  </si>
  <si>
    <t>CUST0176</t>
  </si>
  <si>
    <t>Maryam Martinez</t>
  </si>
  <si>
    <t>CUST0177</t>
  </si>
  <si>
    <t>Amina Johnson</t>
  </si>
  <si>
    <t>CUST0178</t>
  </si>
  <si>
    <t>Ejiro Johnson</t>
  </si>
  <si>
    <t>CUST0179</t>
  </si>
  <si>
    <t>Bola Curtis</t>
  </si>
  <si>
    <t>CUST0180</t>
  </si>
  <si>
    <t>Ese Haley</t>
  </si>
  <si>
    <t>CUST0181</t>
  </si>
  <si>
    <t>Halima Walker</t>
  </si>
  <si>
    <t>Lagos</t>
  </si>
  <si>
    <t>CUST0182</t>
  </si>
  <si>
    <t>Obinna Mills</t>
  </si>
  <si>
    <t>CUST0183</t>
  </si>
  <si>
    <t>CUST0184</t>
  </si>
  <si>
    <t>Ngozi Webb</t>
  </si>
  <si>
    <t>CUST0185</t>
  </si>
  <si>
    <t>Obinna Young</t>
  </si>
  <si>
    <t>CUST0186</t>
  </si>
  <si>
    <t>Halima Harrison</t>
  </si>
  <si>
    <t>CUST0187</t>
  </si>
  <si>
    <t>Chinedu Brown</t>
  </si>
  <si>
    <t>CUST0188</t>
  </si>
  <si>
    <t>Sade Cruz</t>
  </si>
  <si>
    <t>CUST0189</t>
  </si>
  <si>
    <t>Zainab Mcguire</t>
  </si>
  <si>
    <t>CUST0190</t>
  </si>
  <si>
    <t>Funke Thomas</t>
  </si>
  <si>
    <t>CUST0191</t>
  </si>
  <si>
    <t>Sarah Meyer</t>
  </si>
  <si>
    <t>CUST0192</t>
  </si>
  <si>
    <t>Oghene Schroeder</t>
  </si>
  <si>
    <t>CUST0193</t>
  </si>
  <si>
    <t>Sarah Thomas</t>
  </si>
  <si>
    <t>CUST0194</t>
  </si>
  <si>
    <t>Obinna Dunn</t>
  </si>
  <si>
    <t>CUST0195</t>
  </si>
  <si>
    <t>Oghene Munoz</t>
  </si>
  <si>
    <t>CUST0196</t>
  </si>
  <si>
    <t>Halima Burns</t>
  </si>
  <si>
    <t>CUST0197</t>
  </si>
  <si>
    <t>Ibim Murphy</t>
  </si>
  <si>
    <t>CUST0198</t>
  </si>
  <si>
    <t>Bola Potter</t>
  </si>
  <si>
    <t>CUST0199</t>
  </si>
  <si>
    <t>John Morales</t>
  </si>
  <si>
    <t>CUST0200</t>
  </si>
  <si>
    <t>Saidu Tucker</t>
  </si>
  <si>
    <t>CUST0201</t>
  </si>
  <si>
    <t>John Mcgrath</t>
  </si>
  <si>
    <t>CUST0202</t>
  </si>
  <si>
    <t>Shehu Hays</t>
  </si>
  <si>
    <t>CUST0203</t>
  </si>
  <si>
    <t>Ibim Castro</t>
  </si>
  <si>
    <t>CUST0204</t>
  </si>
  <si>
    <t>Obinna Patterson</t>
  </si>
  <si>
    <t>CUST0205</t>
  </si>
  <si>
    <t>Saidu Munoz</t>
  </si>
  <si>
    <t>CUST0206</t>
  </si>
  <si>
    <t>Ngozi Wood</t>
  </si>
  <si>
    <t>CUST0207</t>
  </si>
  <si>
    <t>Bola Miller</t>
  </si>
  <si>
    <t>CUST0208</t>
  </si>
  <si>
    <t>Ngozi Acevedo</t>
  </si>
  <si>
    <t>CUST0209</t>
  </si>
  <si>
    <t>Kunle Bird</t>
  </si>
  <si>
    <t>CUST0210</t>
  </si>
  <si>
    <t>Ejiro Gill</t>
  </si>
  <si>
    <t>CUST0211</t>
  </si>
  <si>
    <t>Alabo Clay</t>
  </si>
  <si>
    <t>CUST0212</t>
  </si>
  <si>
    <t>Michael Williams</t>
  </si>
  <si>
    <t>CUST0213</t>
  </si>
  <si>
    <t>Zainab Clark</t>
  </si>
  <si>
    <t>CUST0214</t>
  </si>
  <si>
    <t>Ese Cooper</t>
  </si>
  <si>
    <t>CUST0215</t>
  </si>
  <si>
    <t>Grace Figueroa</t>
  </si>
  <si>
    <t>CUST0216</t>
  </si>
  <si>
    <t>John Erickson</t>
  </si>
  <si>
    <t>CUST0217</t>
  </si>
  <si>
    <t>Kunle Collins</t>
  </si>
  <si>
    <t>CUST0218</t>
  </si>
  <si>
    <t>Zina Dawson</t>
  </si>
  <si>
    <t>CUST0219</t>
  </si>
  <si>
    <t>Fatima Scott</t>
  </si>
  <si>
    <t>CUST0220</t>
  </si>
  <si>
    <t>CUST0221</t>
  </si>
  <si>
    <t>Zina Cochran</t>
  </si>
  <si>
    <t>CUST0222</t>
  </si>
  <si>
    <t>Fatima Carpenter</t>
  </si>
  <si>
    <t>CUST0223</t>
  </si>
  <si>
    <t>Sade Howell</t>
  </si>
  <si>
    <t>CUST0224</t>
  </si>
  <si>
    <t>Sarah Stevens</t>
  </si>
  <si>
    <t>CUST0225</t>
  </si>
  <si>
    <t>Bala Cummings</t>
  </si>
  <si>
    <t>CUST0226</t>
  </si>
  <si>
    <t>Grace Carter</t>
  </si>
  <si>
    <t>CUST0227</t>
  </si>
  <si>
    <t>Ese Stewart</t>
  </si>
  <si>
    <t>CUST0228</t>
  </si>
  <si>
    <t>Zina Fuller</t>
  </si>
  <si>
    <t>CUST0229</t>
  </si>
  <si>
    <t>John Edwards</t>
  </si>
  <si>
    <t>CUST0230</t>
  </si>
  <si>
    <t>Ngozi Pierce</t>
  </si>
  <si>
    <t>CUST0231</t>
  </si>
  <si>
    <t>Sade Smith</t>
  </si>
  <si>
    <t>CUST0232</t>
  </si>
  <si>
    <t>Chinedu Hughes</t>
  </si>
  <si>
    <t>CUST0233</t>
  </si>
  <si>
    <t>John Benjamin</t>
  </si>
  <si>
    <t>CUST0234</t>
  </si>
  <si>
    <t>Bala Hardin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</si>
  <si>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</si>
  <si>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</si>
  <si>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</si>
  <si>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</si>
  <si>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</si>
  <si>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</si>
  <si>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</si>
  <si>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</si>
  <si>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</si>
  <si>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</si>
  <si>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</si>
  <si>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</si>
  <si>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</si>
  <si>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</si>
  <si>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</si>
  <si>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</si>
  <si>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</si>
  <si>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</si>
  <si>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</si>
  <si>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</si>
  <si>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</si>
  <si>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</si>
  <si>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</si>
  <si>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CUST0247</t>
  </si>
  <si>
    <t>Chinedu Yates</t>
  </si>
  <si>
    <t>CUST0248</t>
  </si>
  <si>
    <t>Boma Peterson</t>
  </si>
  <si>
    <t>CUST0249</t>
  </si>
  <si>
    <t>Omamuzo Jones</t>
  </si>
  <si>
    <t>CUST0250</t>
  </si>
  <si>
    <t>Tamuno Lawrence</t>
  </si>
  <si>
    <t>CUST0251</t>
  </si>
  <si>
    <t>Zina Nicholson</t>
  </si>
  <si>
    <t>CUST0252</t>
  </si>
  <si>
    <t>Bala Graham</t>
  </si>
  <si>
    <t>CUST0253</t>
  </si>
  <si>
    <t>Zainab Blackwell</t>
  </si>
  <si>
    <t>CUST0254</t>
  </si>
  <si>
    <t>David Rodriguez</t>
  </si>
  <si>
    <t>CUST0255</t>
  </si>
  <si>
    <t>Ejiro Miller</t>
  </si>
  <si>
    <t>CUST0256</t>
  </si>
  <si>
    <t>Alabo Smith</t>
  </si>
  <si>
    <t>CUST0257</t>
  </si>
  <si>
    <t>Omamuzo Smith</t>
  </si>
  <si>
    <t>CUST0258</t>
  </si>
  <si>
    <t>Sarah Munoz</t>
  </si>
  <si>
    <t>CUST0259</t>
  </si>
  <si>
    <t>Ejiro Collins</t>
  </si>
  <si>
    <t>CUST0260</t>
  </si>
  <si>
    <t>Amina Johns</t>
  </si>
  <si>
    <t>CUST0261</t>
  </si>
  <si>
    <t>Obinna Simon</t>
  </si>
  <si>
    <t>CUST0262</t>
  </si>
  <si>
    <t>Funke Alexander</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</si>
  <si>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</si>
  <si>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</si>
  <si>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</si>
  <si>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</si>
  <si>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</si>
  <si>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</si>
  <si>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</si>
  <si>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</si>
  <si>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</si>
  <si>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</si>
  <si>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</si>
  <si>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</si>
  <si>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</si>
  <si>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</si>
  <si>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</si>
  <si>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</si>
  <si>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</si>
  <si>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</si>
  <si>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</si>
  <si>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</si>
  <si>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</si>
  <si>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CUST0274</t>
  </si>
  <si>
    <t>Bola Duffy</t>
  </si>
  <si>
    <t>CUST0275</t>
  </si>
  <si>
    <t>Zina Gallegos</t>
  </si>
  <si>
    <t>CUST0276</t>
  </si>
  <si>
    <t>Zainab Rogers</t>
  </si>
  <si>
    <t>CUST0277</t>
  </si>
  <si>
    <t>Ngozi Dunn</t>
  </si>
  <si>
    <t>CUST0278</t>
  </si>
  <si>
    <t>Amaka Johnson</t>
  </si>
  <si>
    <t>CUST0279</t>
  </si>
  <si>
    <t>Alabo Carlson</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</si>
  <si>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</si>
  <si>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</si>
  <si>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</si>
  <si>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</si>
  <si>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</si>
  <si>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</si>
  <si>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</si>
  <si>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</si>
  <si>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</si>
  <si>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</si>
  <si>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</si>
  <si>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</si>
  <si>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</si>
  <si>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</si>
  <si>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</si>
  <si>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</si>
  <si>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CUST0288</t>
  </si>
  <si>
    <t>Grace Chaney</t>
  </si>
  <si>
    <t>CUST0289</t>
  </si>
  <si>
    <t>CUST0290</t>
  </si>
  <si>
    <t>Sade Ryan</t>
  </si>
  <si>
    <t>CUST0291</t>
  </si>
  <si>
    <t>Halima Mahoney</t>
  </si>
  <si>
    <t>CUST0292</t>
  </si>
  <si>
    <t>Ese Rose</t>
  </si>
  <si>
    <t>CUST0293</t>
  </si>
  <si>
    <t>John Jones</t>
  </si>
  <si>
    <t>CUST0294</t>
  </si>
  <si>
    <t>Ese Bailey</t>
  </si>
  <si>
    <t>CUST0295</t>
  </si>
  <si>
    <t>David Higgins</t>
  </si>
  <si>
    <t>CUST0296</t>
  </si>
  <si>
    <t>Ejiro Scott</t>
  </si>
  <si>
    <t>CUST0297</t>
  </si>
  <si>
    <t>Bola Spencer</t>
  </si>
  <si>
    <t>CUST0298</t>
  </si>
  <si>
    <t>Grace Davis</t>
  </si>
  <si>
    <t>CUST0299</t>
  </si>
  <si>
    <t>Kunle Fuller</t>
  </si>
  <si>
    <t>CUST0300</t>
  </si>
  <si>
    <t>Ibim Wilkerson</t>
  </si>
  <si>
    <t>CUST0301</t>
  </si>
  <si>
    <t>Boma Knight</t>
  </si>
  <si>
    <t>CUST0302</t>
  </si>
  <si>
    <t>Tunde Wallace</t>
  </si>
  <si>
    <t>CUST0303</t>
  </si>
  <si>
    <t>Maryam Walker</t>
  </si>
  <si>
    <t>CUST0304</t>
  </si>
  <si>
    <t>Bola Castro</t>
  </si>
  <si>
    <t>CUST0305</t>
  </si>
  <si>
    <t>Sade Shepard</t>
  </si>
  <si>
    <t>CUST0306</t>
  </si>
  <si>
    <t>Alabo Cortez</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</si>
  <si>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</si>
  <si>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</si>
  <si>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</si>
  <si>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</si>
  <si>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</si>
  <si>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</si>
  <si>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</si>
  <si>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</si>
  <si>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</si>
  <si>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</si>
  <si>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</si>
  <si>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</si>
  <si>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</si>
  <si>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</si>
  <si>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</si>
  <si>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</si>
  <si>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</si>
  <si>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</si>
  <si>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</si>
  <si>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</si>
  <si>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CUST0317</t>
  </si>
  <si>
    <t>Zainab Shaw</t>
  </si>
  <si>
    <t>CUST0318</t>
  </si>
  <si>
    <t>John Martinez</t>
  </si>
  <si>
    <t>CUST0319</t>
  </si>
  <si>
    <t>Fatima Powell</t>
  </si>
  <si>
    <t>CUST0320</t>
  </si>
  <si>
    <t>Omamuzo Perez</t>
  </si>
  <si>
    <t>CUST0321</t>
  </si>
  <si>
    <t>Omamuzo Schwartz</t>
  </si>
  <si>
    <t>CUST0322</t>
  </si>
  <si>
    <t>Alabo Jackson</t>
  </si>
  <si>
    <t>CUST0323</t>
  </si>
  <si>
    <t>Amina Nguyen</t>
  </si>
  <si>
    <t>CUST0324</t>
  </si>
  <si>
    <t>Amina Taylor</t>
  </si>
  <si>
    <t>CUST0325</t>
  </si>
  <si>
    <t>Tunde Terry</t>
  </si>
  <si>
    <t>CUST0326</t>
  </si>
  <si>
    <t>Chinedu Krueger</t>
  </si>
  <si>
    <t>CUST0327</t>
  </si>
  <si>
    <t>Maryam Rhodes</t>
  </si>
  <si>
    <t>CUST0328</t>
  </si>
  <si>
    <t>Kunle Liu</t>
  </si>
  <si>
    <t>CUST0329</t>
  </si>
  <si>
    <t>Saidu Anderson</t>
  </si>
  <si>
    <t>CUST0330</t>
  </si>
  <si>
    <t>Ibim Harrison</t>
  </si>
  <si>
    <t>CUST0331</t>
  </si>
  <si>
    <t>Funke Francis</t>
  </si>
  <si>
    <t>CUST0332</t>
  </si>
  <si>
    <t>David Ward</t>
  </si>
  <si>
    <t>CUST0333</t>
  </si>
  <si>
    <t>Omamuzo Miller</t>
  </si>
  <si>
    <t>CUST0334</t>
  </si>
  <si>
    <t>Fatima Carter</t>
  </si>
  <si>
    <t>CUST0335</t>
  </si>
  <si>
    <t>Maryam Patterson</t>
  </si>
  <si>
    <t>CUST0336</t>
  </si>
  <si>
    <t>Chinedu Reynolds</t>
  </si>
  <si>
    <t>CUST0337</t>
  </si>
  <si>
    <t>Ifeanyi Cunningham</t>
  </si>
  <si>
    <t>CUST0338</t>
  </si>
  <si>
    <t>David Crosby</t>
  </si>
  <si>
    <t>CUST0339</t>
  </si>
  <si>
    <t>CUST0340</t>
  </si>
  <si>
    <t>Obinna Thomas</t>
  </si>
  <si>
    <t>CUST0341</t>
  </si>
  <si>
    <t>Zina Valenzuela</t>
  </si>
  <si>
    <t>CUST0342</t>
  </si>
  <si>
    <t>Omamuzo Holmes</t>
  </si>
  <si>
    <t>CUST0343</t>
  </si>
  <si>
    <t>Zina Diaz</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</si>
  <si>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</si>
  <si>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</si>
  <si>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</si>
  <si>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</si>
  <si>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</si>
  <si>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</si>
  <si>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</si>
  <si>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</si>
  <si>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</si>
  <si>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</si>
  <si>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</si>
  <si>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</si>
  <si>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</si>
  <si>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</si>
  <si>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</si>
  <si>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</si>
  <si>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</si>
  <si>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</si>
  <si>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</si>
  <si>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</si>
  <si>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</si>
  <si>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</si>
  <si>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</si>
  <si>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</si>
  <si>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</si>
  <si>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</si>
  <si>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</si>
  <si>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</si>
  <si>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CUST0358</t>
  </si>
  <si>
    <t>Chinedu Smith</t>
  </si>
  <si>
    <t>CUST0359</t>
  </si>
  <si>
    <t>Omamuzo Juarez</t>
  </si>
  <si>
    <t>CUST0360</t>
  </si>
  <si>
    <t>Fatima Webb</t>
  </si>
  <si>
    <t>CUST0361</t>
  </si>
  <si>
    <t>Obinna Andrews</t>
  </si>
  <si>
    <t>CUST0362</t>
  </si>
  <si>
    <t>Sade Donaldson</t>
  </si>
  <si>
    <t>CUST0363</t>
  </si>
  <si>
    <t>Omamuzo Alexander</t>
  </si>
  <si>
    <t>CUST0364</t>
  </si>
  <si>
    <t>Maryam Harmon</t>
  </si>
  <si>
    <t>CUST0365</t>
  </si>
  <si>
    <t>Kunle Myers</t>
  </si>
  <si>
    <t>CUST0366</t>
  </si>
  <si>
    <t>Kunle Brady</t>
  </si>
  <si>
    <t>CUST0367</t>
  </si>
  <si>
    <t>Bola Carpenter</t>
  </si>
  <si>
    <t>CUST0368</t>
  </si>
  <si>
    <t>Bola Meadows</t>
  </si>
  <si>
    <t>CUST0369</t>
  </si>
  <si>
    <t>Abubakar Rodriguez</t>
  </si>
  <si>
    <t>CUST0370</t>
  </si>
  <si>
    <t>Oghene Bush</t>
  </si>
  <si>
    <t>CUST0371</t>
  </si>
  <si>
    <t>Grace Wilkerson</t>
  </si>
  <si>
    <t>CUST0372</t>
  </si>
  <si>
    <t>Grace Salas</t>
  </si>
  <si>
    <t>CUST0373</t>
  </si>
  <si>
    <t>Ibim Adams</t>
  </si>
  <si>
    <t>CUST0374</t>
  </si>
  <si>
    <t>Oghene Oliver</t>
  </si>
  <si>
    <t>CUST0375</t>
  </si>
  <si>
    <t>Nura Oconnell</t>
  </si>
  <si>
    <t>CUST0376</t>
  </si>
  <si>
    <t>CUST0377</t>
  </si>
  <si>
    <t>Chinedu Christian</t>
  </si>
  <si>
    <t>CUST0378</t>
  </si>
  <si>
    <t>Funke Carlson</t>
  </si>
  <si>
    <t>CUST0379</t>
  </si>
  <si>
    <t>Sarah Woods</t>
  </si>
  <si>
    <t>CUST0380</t>
  </si>
  <si>
    <t>Michael Jacobs</t>
  </si>
  <si>
    <t>CUST0381</t>
  </si>
  <si>
    <t>David Murphy</t>
  </si>
  <si>
    <t>CUST0382</t>
  </si>
  <si>
    <t>Ifeanyi Cooper</t>
  </si>
  <si>
    <t>CUST0383</t>
  </si>
  <si>
    <t>Kunle Manning</t>
  </si>
  <si>
    <t>CUST0384</t>
  </si>
  <si>
    <t>Nura Rodriguez</t>
  </si>
  <si>
    <t>CUST0385</t>
  </si>
  <si>
    <t>Sade George</t>
  </si>
  <si>
    <t>CUST0386</t>
  </si>
  <si>
    <t>Shehu Torres</t>
  </si>
  <si>
    <t>CUST0387</t>
  </si>
  <si>
    <t>Grace Walsh</t>
  </si>
  <si>
    <t>CUST0388</t>
  </si>
  <si>
    <t>Tega Cervantes</t>
  </si>
  <si>
    <t>CUST0389</t>
  </si>
  <si>
    <t>Bala Dunn</t>
  </si>
  <si>
    <t>CUST0390</t>
  </si>
  <si>
    <t>Ejiro Gonzalez</t>
  </si>
  <si>
    <t>CUST0391</t>
  </si>
  <si>
    <t>Ibim Schwartz</t>
  </si>
  <si>
    <t>CUST0392</t>
  </si>
  <si>
    <t>Abubakar Hayes</t>
  </si>
  <si>
    <t>CUST0393</t>
  </si>
  <si>
    <t>Ibim Ballard</t>
  </si>
  <si>
    <t>CUST0394</t>
  </si>
  <si>
    <t>John Nielsen</t>
  </si>
  <si>
    <t>CUST0395</t>
  </si>
  <si>
    <t>Oghene Pacheco</t>
  </si>
  <si>
    <t>CUST0396</t>
  </si>
  <si>
    <t>Ngozi Johnson</t>
  </si>
  <si>
    <t>CUST0397</t>
  </si>
  <si>
    <t>Sarah Perry</t>
  </si>
  <si>
    <t>CUST0398</t>
  </si>
  <si>
    <t>Amaka Shannon</t>
  </si>
  <si>
    <t>CUST0399</t>
  </si>
  <si>
    <t>Nura Delgado</t>
  </si>
  <si>
    <t>CUST0400</t>
  </si>
  <si>
    <t>Bola Vincent</t>
  </si>
  <si>
    <t>CUST0401</t>
  </si>
  <si>
    <t>Ifeanyi Adkins</t>
  </si>
  <si>
    <t>CUST0402</t>
  </si>
  <si>
    <t>Sarah Oconnor</t>
  </si>
  <si>
    <t>CUST0403</t>
  </si>
  <si>
    <t>Ibim Soto</t>
  </si>
  <si>
    <t>CUST0404</t>
  </si>
  <si>
    <t>Maryam Buck</t>
  </si>
  <si>
    <t>CUST0405</t>
  </si>
  <si>
    <t>CUST0406</t>
  </si>
  <si>
    <t>Zainab Soto</t>
  </si>
  <si>
    <t>CUST0407</t>
  </si>
  <si>
    <t>Grace Thompson</t>
  </si>
  <si>
    <t>CUST0408</t>
  </si>
  <si>
    <t>Obinna Daniels</t>
  </si>
  <si>
    <t>CUST0409</t>
  </si>
  <si>
    <t>Boma Burns</t>
  </si>
  <si>
    <t>CUST0410</t>
  </si>
  <si>
    <t>Grace Snyder</t>
  </si>
  <si>
    <t>CUST0411</t>
  </si>
  <si>
    <t>Abubakar Lane</t>
  </si>
  <si>
    <t>CUST0412</t>
  </si>
  <si>
    <t>Oghene Bartlett</t>
  </si>
  <si>
    <t>CUST0413</t>
  </si>
  <si>
    <t>David Giles</t>
  </si>
  <si>
    <t>CUST0414</t>
  </si>
  <si>
    <t>Ngozi Williams</t>
  </si>
  <si>
    <t>CUST0415</t>
  </si>
  <si>
    <t>Maryam Anthony</t>
  </si>
  <si>
    <t>CUST0416</t>
  </si>
  <si>
    <t>Maryam Blankenship</t>
  </si>
  <si>
    <t>CUST0417</t>
  </si>
  <si>
    <t>Zina Hernandez</t>
  </si>
  <si>
    <t>CUST0418</t>
  </si>
  <si>
    <t>Boma Johnson</t>
  </si>
  <si>
    <t>CUST0419</t>
  </si>
  <si>
    <t>Boma Sanchez</t>
  </si>
  <si>
    <t>CUST0420</t>
  </si>
  <si>
    <t>Ese Miller</t>
  </si>
  <si>
    <t>CUST0421</t>
  </si>
  <si>
    <t>Tega Stokes</t>
  </si>
  <si>
    <t>CUST0422</t>
  </si>
  <si>
    <t>John Smith</t>
  </si>
  <si>
    <t>CUST0423</t>
  </si>
  <si>
    <t>Saidu Smith</t>
  </si>
  <si>
    <t>CUST0424</t>
  </si>
  <si>
    <t>Maryam Becker</t>
  </si>
  <si>
    <t>CUST0425</t>
  </si>
  <si>
    <t>Amina Ortega</t>
  </si>
  <si>
    <t>CUST0426</t>
  </si>
  <si>
    <t>Ese Mathis</t>
  </si>
  <si>
    <t>CUST0427</t>
  </si>
  <si>
    <t>Chinedu West</t>
  </si>
  <si>
    <t>CUST0428</t>
  </si>
  <si>
    <t>Amina Skinner</t>
  </si>
  <si>
    <t>CUST0429</t>
  </si>
  <si>
    <t>CUST0430</t>
  </si>
  <si>
    <t>Funke Lawson</t>
  </si>
  <si>
    <t>CUST0431</t>
  </si>
  <si>
    <t>Kunle Cooper</t>
  </si>
  <si>
    <t>CUST0432</t>
  </si>
  <si>
    <t>Amina Espinoza</t>
  </si>
  <si>
    <t>CUST0433</t>
  </si>
  <si>
    <t>Saidu Whitehead</t>
  </si>
  <si>
    <t>CUST0434</t>
  </si>
  <si>
    <t>John Williams</t>
  </si>
  <si>
    <t>CUST0435</t>
  </si>
  <si>
    <t>Michael Santana</t>
  </si>
  <si>
    <t>CUST0436</t>
  </si>
  <si>
    <t>Abubakar Bullock</t>
  </si>
  <si>
    <t>CUST0437</t>
  </si>
  <si>
    <t>Alabo Young</t>
  </si>
  <si>
    <t>CUST0438</t>
  </si>
  <si>
    <t>Chinedu Ramos</t>
  </si>
  <si>
    <t>CUST0439</t>
  </si>
  <si>
    <t>Ifeanyi Zimmerman</t>
  </si>
  <si>
    <t>CUST0440</t>
  </si>
  <si>
    <t>John Carter</t>
  </si>
  <si>
    <t>CUST0441</t>
  </si>
  <si>
    <t>Grace Williams</t>
  </si>
  <si>
    <t>CUST0442</t>
  </si>
  <si>
    <t>Sade Johnson</t>
  </si>
  <si>
    <t>CUST0443</t>
  </si>
  <si>
    <t>Bola Wright</t>
  </si>
  <si>
    <t>CUST0444</t>
  </si>
  <si>
    <t>Boma Shah</t>
  </si>
  <si>
    <t>CUST0445</t>
  </si>
  <si>
    <t>Ejiro Wagner</t>
  </si>
  <si>
    <t>CUST0446</t>
  </si>
  <si>
    <t>Halima Lambert</t>
  </si>
  <si>
    <t>CUST0447</t>
  </si>
  <si>
    <t>Grace Hudson</t>
  </si>
  <si>
    <t>CUST0448</t>
  </si>
  <si>
    <t>Abubakar Ryan</t>
  </si>
  <si>
    <t>CUST0449</t>
  </si>
  <si>
    <t>Funke Chung</t>
  </si>
  <si>
    <t>CUST0450</t>
  </si>
  <si>
    <t>Fatima Curtis</t>
  </si>
  <si>
    <t>CUST0451</t>
  </si>
  <si>
    <t>Sade Baker</t>
  </si>
  <si>
    <t>CUST0452</t>
  </si>
  <si>
    <t>Saidu Jackson</t>
  </si>
  <si>
    <t>CUST0453</t>
  </si>
  <si>
    <t>Michael Madden</t>
  </si>
  <si>
    <t>CUST0454</t>
  </si>
  <si>
    <t>Tunde Fuller</t>
  </si>
  <si>
    <t>CUST0455</t>
  </si>
  <si>
    <t>Boma Baker</t>
  </si>
  <si>
    <t>CUST0456</t>
  </si>
  <si>
    <t>Amina Diaz</t>
  </si>
  <si>
    <t>CUST0457</t>
  </si>
  <si>
    <t>Maryam Martin</t>
  </si>
  <si>
    <t>CUST0458</t>
  </si>
  <si>
    <t>Alabo Bradley</t>
  </si>
  <si>
    <t>CUST0460</t>
  </si>
  <si>
    <t>Ejiro Martin</t>
  </si>
  <si>
    <t>CUST0461</t>
  </si>
  <si>
    <t>CUST0462</t>
  </si>
  <si>
    <t>Ejiro Brown</t>
  </si>
  <si>
    <t>CUST0463</t>
  </si>
  <si>
    <t>Grace Bell</t>
  </si>
  <si>
    <t>CUST0464</t>
  </si>
  <si>
    <t>Ifeanyi Smith</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</si>
  <si>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</si>
  <si>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</si>
  <si>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</si>
  <si>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</si>
  <si>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</si>
  <si>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</si>
  <si>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</si>
  <si>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</si>
  <si>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</si>
  <si>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</si>
  <si>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</si>
  <si>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</si>
  <si>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</si>
  <si>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</si>
  <si>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</si>
  <si>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</si>
  <si>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</si>
  <si>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</si>
  <si>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CUST0474</t>
  </si>
  <si>
    <t>Alabo Moreno</t>
  </si>
  <si>
    <t>CUST0475</t>
  </si>
  <si>
    <t>David Park</t>
  </si>
  <si>
    <t>CUST0476</t>
  </si>
  <si>
    <t>Zainab Lam</t>
  </si>
  <si>
    <t>CUST0478</t>
  </si>
  <si>
    <t>Ifeanyi Ballard</t>
  </si>
  <si>
    <t>CUST0479</t>
  </si>
  <si>
    <t>Ejiro Stewart</t>
  </si>
  <si>
    <t>CUST0480</t>
  </si>
  <si>
    <t>Kunle Goodwin</t>
  </si>
  <si>
    <t>CUST0481</t>
  </si>
  <si>
    <t>Sade Reed</t>
  </si>
  <si>
    <t>CUST0482</t>
  </si>
  <si>
    <t>CUST0484</t>
  </si>
  <si>
    <t>Ngozi Chan</t>
  </si>
  <si>
    <t>CUST0485</t>
  </si>
  <si>
    <t>Alabo Anderson</t>
  </si>
  <si>
    <t>CUST0486</t>
  </si>
  <si>
    <t>Tamuno Hudson</t>
  </si>
  <si>
    <t>CUST0487</t>
  </si>
  <si>
    <t>Kunle Gilmore</t>
  </si>
  <si>
    <t>CUST0488</t>
  </si>
  <si>
    <t>CUST0489</t>
  </si>
  <si>
    <t>Oghene Wilson</t>
  </si>
  <si>
    <t>CUST0490</t>
  </si>
  <si>
    <t>Nura Cox</t>
  </si>
  <si>
    <t>CUST0491</t>
  </si>
  <si>
    <t>Funke Smith</t>
  </si>
  <si>
    <t>CUST0492</t>
  </si>
  <si>
    <t>Tega Kim</t>
  </si>
  <si>
    <t>CUST0493</t>
  </si>
  <si>
    <t>Tega Fischer</t>
  </si>
  <si>
    <t>CUST0494</t>
  </si>
  <si>
    <t>Halima Martin</t>
  </si>
  <si>
    <t>CUST0495</t>
  </si>
  <si>
    <t>Kunle Brown</t>
  </si>
  <si>
    <t>CUST0496</t>
  </si>
  <si>
    <t>Grace Matthews</t>
  </si>
  <si>
    <t>CUST0497</t>
  </si>
  <si>
    <t>Saidu Baker</t>
  </si>
  <si>
    <t>CUST0498</t>
  </si>
  <si>
    <t>Shehu Harris</t>
  </si>
  <si>
    <t>CUST0499</t>
  </si>
  <si>
    <t>Tega Hood</t>
  </si>
  <si>
    <t>CUST0500</t>
  </si>
  <si>
    <t>Oghene Hamilton</t>
  </si>
  <si>
    <t>Revenue Per  Purchase</t>
  </si>
  <si>
    <t>Churn Flag</t>
  </si>
  <si>
    <t>Row Labels</t>
  </si>
  <si>
    <t>Grand Total</t>
  </si>
  <si>
    <t>Age Group</t>
  </si>
  <si>
    <t>Customer Tenure Group</t>
  </si>
  <si>
    <t>CHURNED</t>
  </si>
  <si>
    <t>TOTAL CUSTOMER</t>
  </si>
  <si>
    <t>Average of Satisfaction Rate</t>
  </si>
  <si>
    <t>Sum of Total Revenue</t>
  </si>
  <si>
    <t>CHURN BY PLAN</t>
  </si>
  <si>
    <t>2+years</t>
  </si>
  <si>
    <t xml:space="preserve"> Total Revenue</t>
  </si>
  <si>
    <t xml:space="preserve">Sum of Avg. Revenue per Customer   </t>
  </si>
  <si>
    <t>0-5 months</t>
  </si>
  <si>
    <t>1-2 years</t>
  </si>
  <si>
    <t>6-12 months</t>
  </si>
  <si>
    <t>UNCHURNED</t>
  </si>
  <si>
    <t xml:space="preserve">Customer Churn Rate </t>
  </si>
  <si>
    <t>Sum of Avg. Satisfaction Rate</t>
  </si>
  <si>
    <t>Sum of Data Usage</t>
  </si>
  <si>
    <t>Column Labels</t>
  </si>
  <si>
    <t>Count of Customer ID</t>
  </si>
  <si>
    <t>SAATISFACTION BY STATE</t>
  </si>
  <si>
    <t>CHURN BY DATA USAGE</t>
  </si>
  <si>
    <t xml:space="preserve">  </t>
  </si>
  <si>
    <t xml:space="preserve"> </t>
  </si>
  <si>
    <t>KPI'S</t>
  </si>
  <si>
    <t>REVENUE BY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</si>
</sst>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gt;=1000000]\₦0.0,,&quot;M&quot;;[&gt;=1000]\₦0.0,&quot;K&quot;;0"/>
    <numFmt numFmtId="180" formatCode="[&gt;=1000000]\₦0,,&quot;M&quot;;[&gt;=1000]\₦0,&quot;K&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A76F37"/>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0">
    <xf numFmtId="0" fontId="0" fillId="0" borderId="0" xfId="0"/>
    <xf numFmtId="16"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2" fontId="16" fillId="0" borderId="0" xfId="0" applyNumberFormat="1" applyFont="1" applyAlignment="1">
      <alignment horizontal="center"/>
    </xf>
    <xf numFmtId="2" fontId="0" fillId="0" borderId="0" xfId="0" applyNumberFormat="1"/>
    <xf numFmtId="0" fontId="16" fillId="0" borderId="0" xfId="0" applyFont="1"/>
    <xf numFmtId="0" fontId="16" fillId="0" borderId="0" xfId="0" applyFont="1" applyAlignment="1">
      <alignment horizontal="left"/>
    </xf>
    <xf numFmtId="10" fontId="0" fillId="0" borderId="0" xfId="0" applyNumberFormat="1"/>
    <xf numFmtId="0" fontId="16" fillId="0" borderId="0" xfId="0" applyNumberFormat="1" applyFont="1" applyAlignment="1">
      <alignment horizontal="center"/>
    </xf>
    <xf numFmtId="2" fontId="16" fillId="0" borderId="0" xfId="42" applyNumberFormat="1" applyFont="1" applyAlignment="1">
      <alignment horizontal="center"/>
    </xf>
    <xf numFmtId="2" fontId="0" fillId="0" borderId="0" xfId="42" applyNumberFormat="1" applyFont="1"/>
    <xf numFmtId="0" fontId="18" fillId="33" borderId="0" xfId="0" applyFont="1" applyFill="1"/>
    <xf numFmtId="1" fontId="0" fillId="0" borderId="0" xfId="0" applyNumberFormat="1"/>
    <xf numFmtId="9" fontId="0" fillId="0" borderId="0" xfId="0" applyNumberFormat="1"/>
    <xf numFmtId="164" fontId="0" fillId="0" borderId="0" xfId="0" applyNumberFormat="1"/>
    <xf numFmtId="0" fontId="19" fillId="0" borderId="0" xfId="0" applyFont="1"/>
    <xf numFmtId="18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69">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numFmt numFmtId="165" formatCode="0.0%"/>
    </dxf>
    <dxf>
      <numFmt numFmtId="13" formatCode="0%"/>
    </dxf>
    <dxf>
      <numFmt numFmtId="164" formatCode="[&gt;=1000000]\₦0.0,,&quot;M&quot;;[&gt;=1000]\₦0.0,&quot;K&quot;;0"/>
    </dxf>
    <dxf>
      <numFmt numFmtId="164" formatCode="[&gt;=1000000]\₦0.0,,&quot;M&quot;;[&gt;=1000]\₦0.0,&quot;K&quot;;0"/>
    </dxf>
    <dxf>
      <numFmt numFmtId="178" formatCode="0.00000000"/>
    </dxf>
    <dxf>
      <numFmt numFmtId="177" formatCode="0.0000000"/>
    </dxf>
    <dxf>
      <numFmt numFmtId="176" formatCode="0.000000"/>
    </dxf>
    <dxf>
      <numFmt numFmtId="175" formatCode="0.00000"/>
    </dxf>
    <dxf>
      <numFmt numFmtId="174" formatCode="0.0000"/>
    </dxf>
    <dxf>
      <numFmt numFmtId="173" formatCode="0.000"/>
    </dxf>
    <dxf>
      <numFmt numFmtId="2" formatCode="0.00"/>
    </dxf>
    <dxf>
      <numFmt numFmtId="172" formatCode="0.0"/>
    </dxf>
    <dxf>
      <numFmt numFmtId="1" formatCode="0"/>
    </dxf>
    <dxf>
      <font>
        <b/>
        <i val="0"/>
        <sz val="12"/>
      </font>
    </dxf>
    <dxf>
      <font>
        <color theme="0"/>
      </font>
      <fill>
        <patternFill>
          <bgColor rgb="FF5F3F1F"/>
        </patternFill>
      </fill>
      <border diagonalUp="0" diagonalDown="0">
        <left style="thin">
          <color rgb="FF482400"/>
        </left>
        <right style="thin">
          <color rgb="FF482400"/>
        </right>
        <top style="thin">
          <color rgb="FF482400"/>
        </top>
        <bottom style="thin">
          <color rgb="FF482400"/>
        </bottom>
        <vertical/>
        <horizontal style="thin">
          <color rgb="FF906030"/>
        </horizontal>
      </border>
    </dxf>
    <dxf>
      <numFmt numFmtId="180" formatCode="[&gt;=1000000]\₦0,,&quot;M&quot;;[&gt;=1000]\₦0,&quot;K&quot;;0"/>
    </dxf>
    <dxf>
      <numFmt numFmtId="164" formatCode="[&gt;=1000000]\₦0.0,,&quot;M&quot;;[&gt;=1000]\₦0.0,&quot;K&quot;;0"/>
    </dxf>
    <dxf>
      <numFmt numFmtId="171" formatCode="&quot;₦&quot;#,##0"/>
    </dxf>
    <dxf>
      <numFmt numFmtId="168" formatCode="&quot;₦&quot;#,##0.00"/>
    </dxf>
    <dxf>
      <numFmt numFmtId="167" formatCode="_-[$₦-46A]* #,##0.00_-;\-[$₦-46A]* #,##0.00_-;_-[$₦-46A]* &quot;-&quot;??_-;_-@_-"/>
    </dxf>
    <dxf>
      <numFmt numFmtId="170" formatCode="&quot;$&quot;#,##0"/>
    </dxf>
    <dxf>
      <numFmt numFmtId="169" formatCode="&quot;$&quot;#,##0.0"/>
    </dxf>
    <dxf>
      <numFmt numFmtId="166" formatCode="&quot;$&quot;#,##0.00"/>
    </dxf>
    <dxf>
      <numFmt numFmtId="164" formatCode="[&gt;=1000000]\₦0.0,,&quot;M&quot;;[&gt;=1000]\₦0.0,&quot;K&quot;;0"/>
    </dxf>
    <dxf>
      <numFmt numFmtId="164" formatCode="[&gt;=1000000]\₦0.0,,&quot;M&quot;;[&gt;=1000]\₦0.0,&quot;K&quot;;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 formatCode="0"/>
    </dxf>
    <dxf>
      <numFmt numFmtId="172" formatCode="0.0"/>
    </dxf>
    <dxf>
      <numFmt numFmtId="2" formatCode="0.00"/>
    </dxf>
    <dxf>
      <numFmt numFmtId="173" formatCode="0.000"/>
    </dxf>
    <dxf>
      <numFmt numFmtId="174" formatCode="0.0000"/>
    </dxf>
    <dxf>
      <numFmt numFmtId="175" formatCode="0.00000"/>
    </dxf>
    <dxf>
      <numFmt numFmtId="176" formatCode="0.000000"/>
    </dxf>
    <dxf>
      <numFmt numFmtId="177" formatCode="0.0000000"/>
    </dxf>
    <dxf>
      <numFmt numFmtId="178" formatCode="0.00000000"/>
    </dxf>
    <dxf>
      <numFmt numFmtId="164" formatCode="[&gt;=1000000]\₦0.0,,&quot;M&quot;;[&gt;=1000]\₦0.0,&quot;K&quot;;0"/>
    </dxf>
    <dxf>
      <numFmt numFmtId="168" formatCode="&quot;₦&quot;#,##0.00"/>
    </dxf>
    <dxf>
      <numFmt numFmtId="167" formatCode="_-[$₦-46A]* #,##0.00_-;\-[$₦-46A]* #,##0.00_-;_-[$₦-46A]* &quot;-&quot;??_-;_-@_-"/>
    </dxf>
    <dxf>
      <numFmt numFmtId="166" formatCode="&quot;$&quot;#,##0.00"/>
    </dxf>
    <dxf>
      <numFmt numFmtId="0" formatCode="General"/>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0" formatCode="General"/>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2" formatCode="0.00"/>
    </dxf>
    <dxf>
      <numFmt numFmtId="179" formatCode="d\-mmm"/>
    </dxf>
    <dxf>
      <numFmt numFmtId="2" formatCode="0.0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color rgb="FFE8CBB6"/>
      </font>
    </dxf>
  </dxfs>
  <tableStyles count="2" defaultTableStyle="TableStyleMedium2" defaultPivotStyle="PivotStyleLight16">
    <tableStyle name="Slicer Style 1" pivot="0" table="0" count="4">
      <tableStyleElement type="wholeTable" dxfId="326"/>
      <tableStyleElement type="headerRow" dxfId="325"/>
    </tableStyle>
    <tableStyle name="Slicer Style 2" pivot="0" table="0" count="1">
      <tableStyleElement type="wholeTable" dxfId="368"/>
    </tableStyle>
  </tableStyles>
  <colors>
    <mruColors>
      <color rgb="FF482400"/>
      <color rgb="FF5F3F1F"/>
      <color rgb="FF502800"/>
      <color rgb="FF4C2600"/>
      <color rgb="FF643200"/>
      <color rgb="FF582C00"/>
      <color rgb="FF6E4924"/>
      <color rgb="FF6C3600"/>
      <color rgb="FF663300"/>
      <color rgb="FF6C3A24"/>
    </mruColors>
  </colors>
  <extLst>
    <ext xmlns:x14="http://schemas.microsoft.com/office/spreadsheetml/2009/9/main" uri="{46F421CA-312F-682f-3DD2-61675219B42D}">
      <x14:dxfs count="8">
        <dxf>
          <font>
            <b/>
            <i val="0"/>
            <sz val="10"/>
          </font>
        </dxf>
        <dxf>
          <font>
            <b/>
            <i val="0"/>
            <sz val="10"/>
          </font>
        </dxf>
        <dxf>
          <font>
            <b/>
            <i val="0"/>
            <sz val="10"/>
          </font>
        </dxf>
        <dxf>
          <font>
            <b/>
            <i val="0"/>
            <sz val="10"/>
          </font>
        </dxf>
        <dxf>
          <font>
            <b/>
            <i val="0"/>
            <sz val="10"/>
          </font>
        </dxf>
        <dxf>
          <font>
            <b/>
            <i val="0"/>
            <sz val="10"/>
          </font>
        </dxf>
        <dxf>
          <font>
            <b/>
            <i val="0"/>
            <sz val="10"/>
          </font>
        </dxf>
        <dxf>
          <font>
            <b/>
            <i val="0"/>
            <sz val="1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Analysis.xlsx]PIVOT TABLE!PivotTable4</c:name>
    <c:fmtId val="3"/>
  </c:pivotSource>
  <c:chart>
    <c:title>
      <c:tx>
        <c:rich>
          <a:bodyPr rot="0" spcFirstLastPara="1" vertOverflow="ellipsis" vert="horz" wrap="square" anchor="ctr" anchorCtr="1"/>
          <a:lstStyle/>
          <a:p>
            <a:pPr>
              <a:defRPr sz="1800" b="1" i="0" u="none" strike="noStrike" kern="1200" baseline="0">
                <a:solidFill>
                  <a:schemeClr val="accent2">
                    <a:lumMod val="20000"/>
                    <a:lumOff val="80000"/>
                  </a:schemeClr>
                </a:solidFill>
                <a:latin typeface="+mn-lt"/>
                <a:ea typeface="+mn-ea"/>
                <a:cs typeface="+mn-cs"/>
              </a:defRPr>
            </a:pPr>
            <a:r>
              <a:rPr lang="en-US">
                <a:solidFill>
                  <a:schemeClr val="accent2">
                    <a:lumMod val="20000"/>
                    <a:lumOff val="80000"/>
                  </a:schemeClr>
                </a:solidFill>
              </a:rPr>
              <a:t>REVENUE  BY TENURE GROUP</a:t>
            </a:r>
          </a:p>
        </c:rich>
      </c:tx>
      <c:layout>
        <c:manualLayout>
          <c:xMode val="edge"/>
          <c:yMode val="edge"/>
          <c:x val="0.11125153376591321"/>
          <c:y val="4.87309566759731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20000"/>
                  <a:lumOff val="8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3"/>
      </c:pivotFmt>
      <c:pivotFmt>
        <c:idx val="24"/>
      </c:pivotFmt>
      <c:pivotFmt>
        <c:idx val="25"/>
        <c:spPr>
          <a:ln w="31750" cap="rnd">
            <a:solidFill>
              <a:schemeClr val="accent2">
                <a:lumMod val="75000"/>
              </a:schemeClr>
            </a:solidFill>
            <a:round/>
          </a:ln>
          <a:effectLst/>
        </c:spPr>
        <c:marker>
          <c:symbol val="circle"/>
          <c:size val="17"/>
          <c:spPr>
            <a:solidFill>
              <a:srgbClr val="502800"/>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6992699645406779E-2"/>
          <c:y val="0.19786948724735309"/>
          <c:w val="0.85126815602740569"/>
          <c:h val="0.55362930353907502"/>
        </c:manualLayout>
      </c:layout>
      <c:lineChart>
        <c:grouping val="standard"/>
        <c:varyColors val="0"/>
        <c:ser>
          <c:idx val="1"/>
          <c:order val="0"/>
          <c:tx>
            <c:strRef>
              <c:f>'PIVOT TABLE'!$I$15</c:f>
              <c:strCache>
                <c:ptCount val="1"/>
                <c:pt idx="0">
                  <c:v>Total</c:v>
                </c:pt>
              </c:strCache>
            </c:strRef>
          </c:tx>
          <c:spPr>
            <a:ln w="31750" cap="rnd">
              <a:solidFill>
                <a:schemeClr val="accent2">
                  <a:lumMod val="75000"/>
                </a:schemeClr>
              </a:solidFill>
              <a:round/>
            </a:ln>
            <a:effectLst/>
          </c:spPr>
          <c:marker>
            <c:symbol val="circle"/>
            <c:size val="17"/>
            <c:spPr>
              <a:solidFill>
                <a:srgbClr val="502800"/>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TABLE'!$H$16:$H$20</c:f>
              <c:strCache>
                <c:ptCount val="4"/>
                <c:pt idx="0">
                  <c:v>0-5 months</c:v>
                </c:pt>
                <c:pt idx="1">
                  <c:v>1-2 years</c:v>
                </c:pt>
                <c:pt idx="2">
                  <c:v>2+years</c:v>
                </c:pt>
                <c:pt idx="3">
                  <c:v>6-12 months</c:v>
                </c:pt>
              </c:strCache>
            </c:strRef>
          </c:cat>
          <c:val>
            <c:numRef>
              <c:f>'PIVOT TABLE'!$I$16:$I$20</c:f>
              <c:numCache>
                <c:formatCode>[&gt;=1000000]\₦0.0,,"M";[&gt;=1000]\₦0.0,"K";0</c:formatCode>
                <c:ptCount val="4"/>
                <c:pt idx="0">
                  <c:v>13941550</c:v>
                </c:pt>
                <c:pt idx="1">
                  <c:v>37961250</c:v>
                </c:pt>
                <c:pt idx="2">
                  <c:v>125672300</c:v>
                </c:pt>
                <c:pt idx="3">
                  <c:v>21773100</c:v>
                </c:pt>
              </c:numCache>
            </c:numRef>
          </c:val>
          <c:smooth val="0"/>
          <c:extLst>
            <c:ext xmlns:c16="http://schemas.microsoft.com/office/drawing/2014/chart" uri="{C3380CC4-5D6E-409C-BE32-E72D297353CC}">
              <c16:uniqueId val="{00000021-282E-4DB6-9E4E-1603C26E50F9}"/>
            </c:ext>
          </c:extLst>
        </c:ser>
        <c:dLbls>
          <c:dLblPos val="ctr"/>
          <c:showLegendKey val="0"/>
          <c:showVal val="1"/>
          <c:showCatName val="0"/>
          <c:showSerName val="0"/>
          <c:showPercent val="0"/>
          <c:showBubbleSize val="0"/>
        </c:dLbls>
        <c:marker val="1"/>
        <c:smooth val="0"/>
        <c:axId val="526833264"/>
        <c:axId val="526834248"/>
      </c:lineChart>
      <c:catAx>
        <c:axId val="526833264"/>
        <c:scaling>
          <c:orientation val="minMax"/>
        </c:scaling>
        <c:delete val="1"/>
        <c:axPos val="b"/>
        <c:numFmt formatCode="General" sourceLinked="1"/>
        <c:majorTickMark val="none"/>
        <c:minorTickMark val="none"/>
        <c:tickLblPos val="nextTo"/>
        <c:crossAx val="526834248"/>
        <c:auto val="1"/>
        <c:lblAlgn val="ctr"/>
        <c:lblOffset val="100"/>
        <c:noMultiLvlLbl val="0"/>
      </c:catAx>
      <c:valAx>
        <c:axId val="526834248"/>
        <c:scaling>
          <c:orientation val="minMax"/>
        </c:scaling>
        <c:delete val="1"/>
        <c:axPos val="l"/>
        <c:numFmt formatCode="[&gt;=1000000]\₦0.0,,&quot;M&quot;;[&gt;=1000]\₦0.0,&quot;K&quot;;0" sourceLinked="1"/>
        <c:majorTickMark val="none"/>
        <c:minorTickMark val="none"/>
        <c:tickLblPos val="nextTo"/>
        <c:crossAx val="526833264"/>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Analysis.xlsx]PIVOT TABLE!PivotTable1</c:name>
    <c:fmtId val="2"/>
  </c:pivotSource>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1"/>
              <a:t>CHURN BY PLAN</a:t>
            </a:r>
          </a:p>
        </c:rich>
      </c:tx>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rgbClr val="502800">
              <a:alpha val="88000"/>
            </a:srgbClr>
          </a:solidFill>
          <a:ln>
            <a:noFill/>
          </a:ln>
          <a:effectLst/>
          <a:scene3d>
            <a:camera prst="orthographicFront"/>
            <a:lightRig rig="threePt" dir="t"/>
          </a:scene3d>
          <a:sp3d prstMaterial="flat"/>
        </c:spPr>
        <c:marker>
          <c:symbol val="none"/>
        </c:marker>
        <c:dLbl>
          <c:idx val="0"/>
          <c:layout/>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lumMod val="75000"/>
            </a:schemeClr>
          </a:solidFill>
          <a:ln>
            <a:noFill/>
          </a:ln>
          <a:effectLst/>
          <a:scene3d>
            <a:camera prst="orthographicFront"/>
            <a:lightRig rig="threePt" dir="t"/>
          </a:scene3d>
          <a:sp3d prstMaterial="flat"/>
        </c:spPr>
        <c:marker>
          <c:symbol val="none"/>
        </c:marker>
        <c:dLbl>
          <c:idx val="0"/>
          <c:layout/>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35470242472538"/>
          <c:y val="0.14788181991303523"/>
          <c:w val="0.82087168976333846"/>
          <c:h val="0.51556987743034732"/>
        </c:manualLayout>
      </c:layout>
      <c:bar3DChart>
        <c:barDir val="col"/>
        <c:grouping val="clustered"/>
        <c:varyColors val="0"/>
        <c:ser>
          <c:idx val="0"/>
          <c:order val="0"/>
          <c:tx>
            <c:strRef>
              <c:f>'PIVOT TABLE'!$C$7:$C$8</c:f>
              <c:strCache>
                <c:ptCount val="1"/>
                <c:pt idx="0">
                  <c:v>No</c:v>
                </c:pt>
              </c:strCache>
            </c:strRef>
          </c:tx>
          <c:spPr>
            <a:solidFill>
              <a:srgbClr val="502800">
                <a:alpha val="88000"/>
              </a:srgbClr>
            </a:solidFill>
            <a:ln>
              <a:noFill/>
            </a:ln>
            <a:effectLst/>
            <a:scene3d>
              <a:camera prst="orthographicFront"/>
              <a:lightRig rig="threePt" dir="t"/>
            </a:scene3d>
            <a:sp3d prstMaterial="flat"/>
          </c:spPr>
          <c:invertIfNegative val="0"/>
          <c:dLbls>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TABLE'!$B$9:$B$19</c:f>
              <c:strCache>
                <c:ptCount val="10"/>
                <c:pt idx="0">
                  <c:v>1.5GB 2-Day Plan</c:v>
                </c:pt>
                <c:pt idx="1">
                  <c:v>1.5TB Yearly Broadband Plan</c:v>
                </c:pt>
                <c:pt idx="2">
                  <c:v>10GB+10mins Monthly Plan</c:v>
                </c:pt>
                <c:pt idx="3">
                  <c:v>12.5GB Monthly Plan</c:v>
                </c:pt>
                <c:pt idx="4">
                  <c:v>120GB Monthly Broadband Plan</c:v>
                </c:pt>
                <c:pt idx="5">
                  <c:v>150GB FUP Monthly Unlimited</c:v>
                </c:pt>
                <c:pt idx="6">
                  <c:v>16.5GB+10mins Monthly Plan</c:v>
                </c:pt>
                <c:pt idx="7">
                  <c:v>165GB Monthly Plan</c:v>
                </c:pt>
                <c:pt idx="8">
                  <c:v>1GB+1.5mins Daily Plan</c:v>
                </c:pt>
                <c:pt idx="9">
                  <c:v>2.5GB 2-Day Plan</c:v>
                </c:pt>
              </c:strCache>
            </c:strRef>
          </c:cat>
          <c:val>
            <c:numRef>
              <c:f>'PIVOT TABLE'!$C$9:$C$19</c:f>
              <c:numCache>
                <c:formatCode>General</c:formatCode>
                <c:ptCount val="10"/>
                <c:pt idx="0">
                  <c:v>20</c:v>
                </c:pt>
                <c:pt idx="1">
                  <c:v>18</c:v>
                </c:pt>
                <c:pt idx="2">
                  <c:v>53</c:v>
                </c:pt>
                <c:pt idx="3">
                  <c:v>28</c:v>
                </c:pt>
                <c:pt idx="4">
                  <c:v>54</c:v>
                </c:pt>
                <c:pt idx="5">
                  <c:v>59</c:v>
                </c:pt>
                <c:pt idx="6">
                  <c:v>20</c:v>
                </c:pt>
                <c:pt idx="7">
                  <c:v>52</c:v>
                </c:pt>
                <c:pt idx="8">
                  <c:v>17</c:v>
                </c:pt>
                <c:pt idx="9">
                  <c:v>20</c:v>
                </c:pt>
              </c:numCache>
            </c:numRef>
          </c:val>
          <c:extLst>
            <c:ext xmlns:c16="http://schemas.microsoft.com/office/drawing/2014/chart" uri="{C3380CC4-5D6E-409C-BE32-E72D297353CC}">
              <c16:uniqueId val="{00000000-F2E5-4412-9974-595837A6B766}"/>
            </c:ext>
          </c:extLst>
        </c:ser>
        <c:ser>
          <c:idx val="1"/>
          <c:order val="1"/>
          <c:tx>
            <c:strRef>
              <c:f>'PIVOT TABLE'!$D$7:$D$8</c:f>
              <c:strCache>
                <c:ptCount val="1"/>
                <c:pt idx="0">
                  <c:v>Yes</c:v>
                </c:pt>
              </c:strCache>
            </c:strRef>
          </c:tx>
          <c:spPr>
            <a:solidFill>
              <a:schemeClr val="accent2">
                <a:lumMod val="75000"/>
              </a:schemeClr>
            </a:solidFill>
            <a:ln>
              <a:noFill/>
            </a:ln>
            <a:effectLst/>
            <a:scene3d>
              <a:camera prst="orthographicFront"/>
              <a:lightRig rig="threePt" dir="t"/>
            </a:scene3d>
            <a:sp3d prstMaterial="flat"/>
          </c:spPr>
          <c:invertIfNegative val="0"/>
          <c:dLbls>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TABLE'!$B$9:$B$19</c:f>
              <c:strCache>
                <c:ptCount val="10"/>
                <c:pt idx="0">
                  <c:v>1.5GB 2-Day Plan</c:v>
                </c:pt>
                <c:pt idx="1">
                  <c:v>1.5TB Yearly Broadband Plan</c:v>
                </c:pt>
                <c:pt idx="2">
                  <c:v>10GB+10mins Monthly Plan</c:v>
                </c:pt>
                <c:pt idx="3">
                  <c:v>12.5GB Monthly Plan</c:v>
                </c:pt>
                <c:pt idx="4">
                  <c:v>120GB Monthly Broadband Plan</c:v>
                </c:pt>
                <c:pt idx="5">
                  <c:v>150GB FUP Monthly Unlimited</c:v>
                </c:pt>
                <c:pt idx="6">
                  <c:v>16.5GB+10mins Monthly Plan</c:v>
                </c:pt>
                <c:pt idx="7">
                  <c:v>165GB Monthly Plan</c:v>
                </c:pt>
                <c:pt idx="8">
                  <c:v>1GB+1.5mins Daily Plan</c:v>
                </c:pt>
                <c:pt idx="9">
                  <c:v>2.5GB 2-Day Plan</c:v>
                </c:pt>
              </c:strCache>
            </c:strRef>
          </c:cat>
          <c:val>
            <c:numRef>
              <c:f>'PIVOT TABLE'!$D$9:$D$19</c:f>
              <c:numCache>
                <c:formatCode>General</c:formatCode>
                <c:ptCount val="10"/>
                <c:pt idx="0">
                  <c:v>9</c:v>
                </c:pt>
                <c:pt idx="1">
                  <c:v>7</c:v>
                </c:pt>
                <c:pt idx="2">
                  <c:v>14</c:v>
                </c:pt>
                <c:pt idx="3">
                  <c:v>10</c:v>
                </c:pt>
                <c:pt idx="4">
                  <c:v>14</c:v>
                </c:pt>
                <c:pt idx="5">
                  <c:v>19</c:v>
                </c:pt>
                <c:pt idx="6">
                  <c:v>10</c:v>
                </c:pt>
                <c:pt idx="7">
                  <c:v>21</c:v>
                </c:pt>
                <c:pt idx="8">
                  <c:v>7</c:v>
                </c:pt>
                <c:pt idx="9">
                  <c:v>10</c:v>
                </c:pt>
              </c:numCache>
            </c:numRef>
          </c:val>
          <c:extLst>
            <c:ext xmlns:c16="http://schemas.microsoft.com/office/drawing/2014/chart" uri="{C3380CC4-5D6E-409C-BE32-E72D297353CC}">
              <c16:uniqueId val="{00000000-0E4D-4AE7-80DD-BF4E4A07B84F}"/>
            </c:ext>
          </c:extLst>
        </c:ser>
        <c:dLbls>
          <c:showLegendKey val="0"/>
          <c:showVal val="1"/>
          <c:showCatName val="0"/>
          <c:showSerName val="0"/>
          <c:showPercent val="0"/>
          <c:showBubbleSize val="0"/>
        </c:dLbls>
        <c:gapWidth val="84"/>
        <c:gapDepth val="53"/>
        <c:shape val="box"/>
        <c:axId val="550908608"/>
        <c:axId val="550911888"/>
        <c:axId val="0"/>
      </c:bar3DChart>
      <c:catAx>
        <c:axId val="55090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0911888"/>
        <c:crosses val="autoZero"/>
        <c:auto val="1"/>
        <c:lblAlgn val="ctr"/>
        <c:lblOffset val="100"/>
        <c:noMultiLvlLbl val="0"/>
      </c:catAx>
      <c:valAx>
        <c:axId val="550911888"/>
        <c:scaling>
          <c:orientation val="minMax"/>
        </c:scaling>
        <c:delete val="1"/>
        <c:axPos val="l"/>
        <c:numFmt formatCode="General" sourceLinked="1"/>
        <c:majorTickMark val="out"/>
        <c:minorTickMark val="none"/>
        <c:tickLblPos val="nextTo"/>
        <c:crossAx val="550908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1"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Analysis.xlsx]PIVOT TABLE!PivotTable2</c:name>
    <c:fmtId val="2"/>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SATISFACTION</a:t>
            </a:r>
            <a:r>
              <a:rPr lang="en-US" sz="1800" baseline="0"/>
              <a:t> BY STATE</a:t>
            </a:r>
            <a:endParaRPr lang="en-US" sz="1800"/>
          </a:p>
        </c:rich>
      </c:tx>
      <c:layout/>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rgbClr val="482400"/>
            </a:solidFill>
            <a:round/>
          </a:ln>
          <a:effectLst>
            <a:outerShdw dist="25400" dir="2700000" algn="tl" rotWithShape="0">
              <a:schemeClr val="accent1"/>
            </a:outerShdw>
          </a:effectLst>
        </c:spPr>
        <c:marker>
          <c:symbol val="circle"/>
          <c:size val="14"/>
          <c:spPr>
            <a:solidFill>
              <a:srgbClr val="6C360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rgbClr val="482400"/>
            </a:solidFill>
            <a:round/>
          </a:ln>
          <a:effectLst>
            <a:outerShdw dist="25400" dir="2700000" algn="tl" rotWithShape="0">
              <a:schemeClr val="accent1"/>
            </a:outerShdw>
          </a:effectLst>
        </c:spPr>
        <c:marker>
          <c:symbol val="circle"/>
          <c:size val="14"/>
          <c:spPr>
            <a:solidFill>
              <a:srgbClr val="502800"/>
            </a:solidFill>
            <a:ln>
              <a:solidFill>
                <a:srgbClr val="482400"/>
              </a:solidFill>
            </a:ln>
            <a:effectLst/>
          </c:spPr>
        </c:marker>
        <c:dLbl>
          <c:idx val="0"/>
          <c:layout/>
          <c:spPr>
            <a:solidFill>
              <a:srgbClr val="50280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1"/>
          <c:showBubbleSize val="1"/>
          <c:extLst>
            <c:ext xmlns:c15="http://schemas.microsoft.com/office/drawing/2012/chart" uri="{CE6537A1-D6FC-4f65-9D91-7224C49458BB}">
              <c15:layout/>
            </c:ext>
          </c:extLst>
        </c:dLbl>
      </c:pivotFmt>
      <c:pivotFmt>
        <c:idx val="5"/>
        <c:spPr>
          <a:ln w="25400" cap="rnd">
            <a:solidFill>
              <a:srgbClr val="482400"/>
            </a:solidFill>
            <a:round/>
          </a:ln>
          <a:effectLst>
            <a:outerShdw dist="25400" dir="2700000" algn="tl" rotWithShape="0">
              <a:schemeClr val="accent1"/>
            </a:outerShdw>
          </a:effectLst>
        </c:spPr>
        <c:marker>
          <c:symbol val="circle"/>
          <c:size val="14"/>
          <c:spPr>
            <a:solidFill>
              <a:srgbClr val="502800"/>
            </a:solidFill>
            <a:ln>
              <a:solidFill>
                <a:srgbClr val="482400"/>
              </a:solidFill>
            </a:ln>
            <a:effectLst/>
          </c:spPr>
        </c:marker>
      </c:pivotFmt>
      <c:pivotFmt>
        <c:idx val="6"/>
        <c:spPr>
          <a:ln w="25400" cap="rnd">
            <a:solidFill>
              <a:srgbClr val="482400"/>
            </a:solidFill>
            <a:round/>
          </a:ln>
          <a:effectLst>
            <a:outerShdw dist="25400" dir="2700000" algn="tl" rotWithShape="0">
              <a:schemeClr val="accent1"/>
            </a:outerShdw>
          </a:effectLst>
        </c:spPr>
        <c:marker>
          <c:symbol val="circle"/>
          <c:size val="14"/>
          <c:spPr>
            <a:solidFill>
              <a:srgbClr val="502800"/>
            </a:solidFill>
            <a:ln>
              <a:solidFill>
                <a:srgbClr val="482400"/>
              </a:solidFill>
            </a:ln>
            <a:effectLst/>
          </c:spPr>
        </c:marker>
      </c:pivotFmt>
    </c:pivotFmts>
    <c:plotArea>
      <c:layout>
        <c:manualLayout>
          <c:layoutTarget val="inner"/>
          <c:xMode val="edge"/>
          <c:yMode val="edge"/>
          <c:x val="5.1069335083114613E-2"/>
          <c:y val="0.14958333333333335"/>
          <c:w val="0.9106874453193351"/>
          <c:h val="0.51221711869349662"/>
        </c:manualLayout>
      </c:layout>
      <c:lineChart>
        <c:grouping val="standard"/>
        <c:varyColors val="0"/>
        <c:ser>
          <c:idx val="0"/>
          <c:order val="0"/>
          <c:tx>
            <c:strRef>
              <c:f>'PIVOT TABLE'!$C$24</c:f>
              <c:strCache>
                <c:ptCount val="1"/>
                <c:pt idx="0">
                  <c:v>Total</c:v>
                </c:pt>
              </c:strCache>
            </c:strRef>
          </c:tx>
          <c:spPr>
            <a:ln w="25400" cap="rnd">
              <a:solidFill>
                <a:srgbClr val="482400"/>
              </a:solidFill>
              <a:round/>
            </a:ln>
            <a:effectLst>
              <a:outerShdw dist="25400" dir="2700000" algn="tl" rotWithShape="0">
                <a:schemeClr val="accent1"/>
              </a:outerShdw>
            </a:effectLst>
          </c:spPr>
          <c:marker>
            <c:symbol val="circle"/>
            <c:size val="14"/>
            <c:spPr>
              <a:solidFill>
                <a:srgbClr val="502800"/>
              </a:solidFill>
              <a:ln>
                <a:solidFill>
                  <a:srgbClr val="482400"/>
                </a:solidFill>
              </a:ln>
              <a:effectLst/>
            </c:spPr>
          </c:marker>
          <c:dLbls>
            <c:spPr>
              <a:solidFill>
                <a:srgbClr val="50280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1"/>
            <c:showBubbleSize val="1"/>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 TABLE'!$B$25:$B$60</c:f>
              <c:strCache>
                <c:ptCount val="35"/>
                <c:pt idx="0">
                  <c:v>Abia</c:v>
                </c:pt>
                <c:pt idx="1">
                  <c:v>Abuja (FCT)</c:v>
                </c:pt>
                <c:pt idx="2">
                  <c:v>Adamawa</c:v>
                </c:pt>
                <c:pt idx="3">
                  <c:v>Akwa Ibom</c:v>
                </c:pt>
                <c:pt idx="4">
                  <c:v>Anambra</c:v>
                </c:pt>
                <c:pt idx="5">
                  <c:v>Bauchi</c:v>
                </c:pt>
                <c:pt idx="6">
                  <c:v>Bayelsa</c:v>
                </c:pt>
                <c:pt idx="7">
                  <c:v>Benue</c:v>
                </c:pt>
                <c:pt idx="8">
                  <c:v>Borno</c:v>
                </c:pt>
                <c:pt idx="9">
                  <c:v>Cross River</c:v>
                </c:pt>
                <c:pt idx="10">
                  <c:v>Delta</c:v>
                </c:pt>
                <c:pt idx="11">
                  <c:v>Edo</c:v>
                </c:pt>
                <c:pt idx="12">
                  <c:v>Ekiti</c:v>
                </c:pt>
                <c:pt idx="13">
                  <c:v>Enugu</c:v>
                </c:pt>
                <c:pt idx="14">
                  <c:v>Gombe</c:v>
                </c:pt>
                <c:pt idx="15">
                  <c:v>Imo</c:v>
                </c:pt>
                <c:pt idx="16">
                  <c:v>Jigawa</c:v>
                </c:pt>
                <c:pt idx="17">
                  <c:v>Kaduna</c:v>
                </c:pt>
                <c:pt idx="18">
                  <c:v>Kano</c:v>
                </c:pt>
                <c:pt idx="19">
                  <c:v>Katsina</c:v>
                </c:pt>
                <c:pt idx="20">
                  <c:v>Kebbi</c:v>
                </c:pt>
                <c:pt idx="21">
                  <c:v>Kogi</c:v>
                </c:pt>
                <c:pt idx="22">
                  <c:v>Kwara</c:v>
                </c:pt>
                <c:pt idx="23">
                  <c:v>Lagos</c:v>
                </c:pt>
                <c:pt idx="24">
                  <c:v>Nasarawa</c:v>
                </c:pt>
                <c:pt idx="25">
                  <c:v>Niger</c:v>
                </c:pt>
                <c:pt idx="26">
                  <c:v>Ondo</c:v>
                </c:pt>
                <c:pt idx="27">
                  <c:v>Osun</c:v>
                </c:pt>
                <c:pt idx="28">
                  <c:v>Oyo</c:v>
                </c:pt>
                <c:pt idx="29">
                  <c:v>Plateau</c:v>
                </c:pt>
                <c:pt idx="30">
                  <c:v>Rivers</c:v>
                </c:pt>
                <c:pt idx="31">
                  <c:v>Sokoto</c:v>
                </c:pt>
                <c:pt idx="32">
                  <c:v>Taraba</c:v>
                </c:pt>
                <c:pt idx="33">
                  <c:v>Yobe</c:v>
                </c:pt>
                <c:pt idx="34">
                  <c:v>Zamfara</c:v>
                </c:pt>
              </c:strCache>
            </c:strRef>
          </c:cat>
          <c:val>
            <c:numRef>
              <c:f>'PIVOT TABLE'!$C$25:$C$60</c:f>
              <c:numCache>
                <c:formatCode>0</c:formatCode>
                <c:ptCount val="35"/>
                <c:pt idx="0">
                  <c:v>2.6857142857142855</c:v>
                </c:pt>
                <c:pt idx="1">
                  <c:v>2.9523809523809526</c:v>
                </c:pt>
                <c:pt idx="2">
                  <c:v>2.5555555555555554</c:v>
                </c:pt>
                <c:pt idx="3">
                  <c:v>2.7727272727272729</c:v>
                </c:pt>
                <c:pt idx="4">
                  <c:v>3.5517241379310347</c:v>
                </c:pt>
                <c:pt idx="5">
                  <c:v>2.9142857142857141</c:v>
                </c:pt>
                <c:pt idx="6">
                  <c:v>2.4500000000000002</c:v>
                </c:pt>
                <c:pt idx="7">
                  <c:v>2.5</c:v>
                </c:pt>
                <c:pt idx="8">
                  <c:v>3.0526315789473686</c:v>
                </c:pt>
                <c:pt idx="9">
                  <c:v>3.4516129032258065</c:v>
                </c:pt>
                <c:pt idx="10">
                  <c:v>3.2857142857142856</c:v>
                </c:pt>
                <c:pt idx="11">
                  <c:v>2.3333333333333335</c:v>
                </c:pt>
                <c:pt idx="12">
                  <c:v>2.7878787878787881</c:v>
                </c:pt>
                <c:pt idx="13">
                  <c:v>3.03125</c:v>
                </c:pt>
                <c:pt idx="14">
                  <c:v>3.5714285714285716</c:v>
                </c:pt>
                <c:pt idx="15">
                  <c:v>2.5517241379310347</c:v>
                </c:pt>
                <c:pt idx="16">
                  <c:v>2.1785714285714284</c:v>
                </c:pt>
                <c:pt idx="17">
                  <c:v>3.2352941176470589</c:v>
                </c:pt>
                <c:pt idx="18">
                  <c:v>2.9130434782608696</c:v>
                </c:pt>
                <c:pt idx="19">
                  <c:v>3.4482758620689653</c:v>
                </c:pt>
                <c:pt idx="20">
                  <c:v>2.896551724137931</c:v>
                </c:pt>
                <c:pt idx="21">
                  <c:v>3.3235294117647061</c:v>
                </c:pt>
                <c:pt idx="22">
                  <c:v>3.1764705882352939</c:v>
                </c:pt>
                <c:pt idx="23">
                  <c:v>3.5714285714285716</c:v>
                </c:pt>
                <c:pt idx="24">
                  <c:v>1.8461538461538463</c:v>
                </c:pt>
                <c:pt idx="25">
                  <c:v>3.6538461538461537</c:v>
                </c:pt>
                <c:pt idx="26">
                  <c:v>3.5294117647058822</c:v>
                </c:pt>
                <c:pt idx="27">
                  <c:v>2.6976744186046511</c:v>
                </c:pt>
                <c:pt idx="28">
                  <c:v>3.1212121212121211</c:v>
                </c:pt>
                <c:pt idx="29">
                  <c:v>3.2962962962962963</c:v>
                </c:pt>
                <c:pt idx="30">
                  <c:v>3.3181818181818183</c:v>
                </c:pt>
                <c:pt idx="31">
                  <c:v>2.5517241379310347</c:v>
                </c:pt>
                <c:pt idx="32">
                  <c:v>2.7916666666666665</c:v>
                </c:pt>
                <c:pt idx="33">
                  <c:v>3.1764705882352939</c:v>
                </c:pt>
                <c:pt idx="34">
                  <c:v>2.6071428571428572</c:v>
                </c:pt>
              </c:numCache>
            </c:numRef>
          </c:val>
          <c:smooth val="0"/>
          <c:extLst>
            <c:ext xmlns:c16="http://schemas.microsoft.com/office/drawing/2014/chart" uri="{C3380CC4-5D6E-409C-BE32-E72D297353CC}">
              <c16:uniqueId val="{00000000-79A2-42E8-9D19-E88D0D8BCCAF}"/>
            </c:ext>
          </c:extLst>
        </c:ser>
        <c:dLbls>
          <c:dLblPos val="ctr"/>
          <c:showLegendKey val="0"/>
          <c:showVal val="1"/>
          <c:showCatName val="0"/>
          <c:showSerName val="0"/>
          <c:showPercent val="0"/>
          <c:showBubbleSize val="0"/>
        </c:dLbls>
        <c:dropLines>
          <c:spPr>
            <a:ln w="9525" cap="flat" cmpd="sng" algn="ctr">
              <a:solidFill>
                <a:srgbClr val="502800"/>
              </a:solidFill>
              <a:round/>
            </a:ln>
            <a:effectLst/>
          </c:spPr>
        </c:dropLines>
        <c:marker val="1"/>
        <c:smooth val="0"/>
        <c:axId val="545934080"/>
        <c:axId val="545928832"/>
      </c:lineChart>
      <c:catAx>
        <c:axId val="54593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bg1"/>
                </a:solidFill>
                <a:latin typeface="+mn-lt"/>
                <a:ea typeface="+mn-ea"/>
                <a:cs typeface="+mn-cs"/>
              </a:defRPr>
            </a:pPr>
            <a:endParaRPr lang="en-US"/>
          </a:p>
        </c:txPr>
        <c:crossAx val="545928832"/>
        <c:crosses val="autoZero"/>
        <c:auto val="1"/>
        <c:lblAlgn val="ctr"/>
        <c:lblOffset val="100"/>
        <c:noMultiLvlLbl val="0"/>
      </c:catAx>
      <c:valAx>
        <c:axId val="545928832"/>
        <c:scaling>
          <c:orientation val="minMax"/>
        </c:scaling>
        <c:delete val="1"/>
        <c:axPos val="l"/>
        <c:numFmt formatCode="0" sourceLinked="1"/>
        <c:majorTickMark val="none"/>
        <c:minorTickMark val="none"/>
        <c:tickLblPos val="nextTo"/>
        <c:crossAx val="545934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 Analysis.xlsx]PIVOT TABLE!PivotTable3</c:name>
    <c:fmtId val="5"/>
  </c:pivotSource>
  <c:chart>
    <c:title>
      <c:tx>
        <c:rich>
          <a:bodyPr rot="0" spcFirstLastPara="1" vertOverflow="ellipsis" vert="horz" wrap="square" anchor="ctr" anchorCtr="1"/>
          <a:lstStyle/>
          <a:p>
            <a:pPr>
              <a:defRPr sz="1800" b="1" i="0" u="none" strike="noStrike" kern="1200" baseline="0">
                <a:solidFill>
                  <a:schemeClr val="accent2">
                    <a:lumMod val="20000"/>
                    <a:lumOff val="80000"/>
                  </a:schemeClr>
                </a:solidFill>
                <a:latin typeface="+mn-lt"/>
                <a:ea typeface="+mn-ea"/>
                <a:cs typeface="+mn-cs"/>
              </a:defRPr>
            </a:pPr>
            <a:r>
              <a:rPr lang="en-US" sz="1800">
                <a:solidFill>
                  <a:schemeClr val="accent2">
                    <a:lumMod val="20000"/>
                    <a:lumOff val="80000"/>
                  </a:schemeClr>
                </a:solidFill>
              </a:rPr>
              <a:t>DATA</a:t>
            </a:r>
            <a:r>
              <a:rPr lang="en-US" sz="1800" baseline="0">
                <a:solidFill>
                  <a:schemeClr val="accent2">
                    <a:lumMod val="20000"/>
                    <a:lumOff val="80000"/>
                  </a:schemeClr>
                </a:solidFill>
              </a:rPr>
              <a:t> USAGE CHURN</a:t>
            </a:r>
            <a:endParaRPr lang="en-US" sz="1800">
              <a:solidFill>
                <a:schemeClr val="accent2">
                  <a:lumMod val="20000"/>
                  <a:lumOff val="80000"/>
                </a:schemeClr>
              </a:solidFill>
            </a:endParaRP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20000"/>
                  <a:lumOff val="8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rgbClr val="482400"/>
          </a:solidFill>
          <a:ln>
            <a:noFill/>
          </a:ln>
          <a:effectLst>
            <a:outerShdw blurRad="57150" dist="19050" dir="5400000" algn="ctr" rotWithShape="0">
              <a:srgbClr val="000000">
                <a:alpha val="63000"/>
              </a:srgbClr>
            </a:outerShdw>
          </a:effectLst>
          <a:sp3d/>
        </c:spPr>
      </c:pivotFmt>
      <c:pivotFmt>
        <c:idx val="7"/>
        <c:spPr>
          <a:solidFill>
            <a:schemeClr val="accent2">
              <a:lumMod val="75000"/>
            </a:schemeClr>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1275272998037256"/>
          <c:w val="1"/>
          <c:h val="0.76634133520334446"/>
        </c:manualLayout>
      </c:layout>
      <c:pie3DChart>
        <c:varyColors val="1"/>
        <c:ser>
          <c:idx val="0"/>
          <c:order val="0"/>
          <c:tx>
            <c:strRef>
              <c:f>'PIVOT TABLE'!$I$7</c:f>
              <c:strCache>
                <c:ptCount val="1"/>
                <c:pt idx="0">
                  <c:v>Total</c:v>
                </c:pt>
              </c:strCache>
            </c:strRef>
          </c:tx>
          <c:spPr>
            <a:solidFill>
              <a:schemeClr val="accent2">
                <a:lumMod val="75000"/>
              </a:schemeClr>
            </a:solidFill>
          </c:spPr>
          <c:dPt>
            <c:idx val="0"/>
            <c:bubble3D val="0"/>
            <c:spPr>
              <a:solidFill>
                <a:srgbClr val="4824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0AE-4F28-9503-5D5011C33804}"/>
              </c:ext>
            </c:extLst>
          </c:dPt>
          <c:dPt>
            <c:idx val="1"/>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0AE-4F28-9503-5D5011C3380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TABLE'!$H$8:$H$10</c:f>
              <c:strCache>
                <c:ptCount val="2"/>
                <c:pt idx="0">
                  <c:v>No</c:v>
                </c:pt>
                <c:pt idx="1">
                  <c:v>Yes</c:v>
                </c:pt>
              </c:strCache>
            </c:strRef>
          </c:cat>
          <c:val>
            <c:numRef>
              <c:f>'PIVOT TABLE'!$I$8:$I$10</c:f>
              <c:numCache>
                <c:formatCode>0%</c:formatCode>
                <c:ptCount val="2"/>
                <c:pt idx="0">
                  <c:v>0.69876091314109456</c:v>
                </c:pt>
                <c:pt idx="1">
                  <c:v>0.30123908685890544</c:v>
                </c:pt>
              </c:numCache>
            </c:numRef>
          </c:val>
          <c:extLst>
            <c:ext xmlns:c16="http://schemas.microsoft.com/office/drawing/2014/chart" uri="{C3380CC4-5D6E-409C-BE32-E72D297353CC}">
              <c16:uniqueId val="{00000004-80AE-4F28-9503-5D5011C33804}"/>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image" Target="../media/image1.jpeg"/><Relationship Id="rId1" Type="http://schemas.openxmlformats.org/officeDocument/2006/relationships/hyperlink" Target="#'MTN CUSTOMER CHURN'!A1"/><Relationship Id="rId6" Type="http://schemas.openxmlformats.org/officeDocument/2006/relationships/image" Target="../media/image3.jpeg"/><Relationship Id="rId5" Type="http://schemas.openxmlformats.org/officeDocument/2006/relationships/hyperlink" Target="#DASHBOARD!A1"/><Relationship Id="rId4"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image" Target="../media/image4.jpeg"/><Relationship Id="rId1" Type="http://schemas.openxmlformats.org/officeDocument/2006/relationships/hyperlink" Target="#'MTN CUSTOMER CHURN'!A1"/><Relationship Id="rId6" Type="http://schemas.openxmlformats.org/officeDocument/2006/relationships/image" Target="../media/image5.jpeg"/><Relationship Id="rId5" Type="http://schemas.openxmlformats.org/officeDocument/2006/relationships/hyperlink" Target="#DASHBOARD!A1"/><Relationship Id="rId4" Type="http://schemas.openxmlformats.org/officeDocument/2006/relationships/image" Target="../media/image2.jpeg"/></Relationships>
</file>

<file path=xl/drawings/_rels/drawing3.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chart" Target="../charts/chart3.xml"/><Relationship Id="rId3" Type="http://schemas.openxmlformats.org/officeDocument/2006/relationships/image" Target="../media/image7.jpeg"/><Relationship Id="rId7" Type="http://schemas.openxmlformats.org/officeDocument/2006/relationships/image" Target="../media/image4.jpeg"/><Relationship Id="rId12" Type="http://schemas.openxmlformats.org/officeDocument/2006/relationships/chart" Target="../charts/chart2.xml"/><Relationship Id="rId2" Type="http://schemas.openxmlformats.org/officeDocument/2006/relationships/image" Target="../media/image6.jpeg"/><Relationship Id="rId1" Type="http://schemas.openxmlformats.org/officeDocument/2006/relationships/chart" Target="../charts/chart1.xml"/><Relationship Id="rId6" Type="http://schemas.openxmlformats.org/officeDocument/2006/relationships/hyperlink" Target="#'MTN CUSTOMER CHURN'!A1"/><Relationship Id="rId11" Type="http://schemas.openxmlformats.org/officeDocument/2006/relationships/image" Target="../media/image5.jpeg"/><Relationship Id="rId5" Type="http://schemas.openxmlformats.org/officeDocument/2006/relationships/image" Target="../media/image9.jpeg"/><Relationship Id="rId10" Type="http://schemas.openxmlformats.org/officeDocument/2006/relationships/hyperlink" Target="#DASHBOARD!A1"/><Relationship Id="rId4" Type="http://schemas.openxmlformats.org/officeDocument/2006/relationships/image" Target="../media/image8.jpeg"/><Relationship Id="rId9" Type="http://schemas.openxmlformats.org/officeDocument/2006/relationships/image" Target="../media/image2.jpe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20</xdr:col>
      <xdr:colOff>1</xdr:colOff>
      <xdr:row>5</xdr:row>
      <xdr:rowOff>0</xdr:rowOff>
    </xdr:from>
    <xdr:to>
      <xdr:col>20</xdr:col>
      <xdr:colOff>419101</xdr:colOff>
      <xdr:row>7</xdr:row>
      <xdr:rowOff>8799</xdr:rowOff>
    </xdr:to>
    <xdr:pic>
      <xdr:nvPicPr>
        <xdr:cNvPr id="6" name="Picture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duotone>
            <a:prstClr val="black"/>
            <a:srgbClr val="D9C3A5">
              <a:tint val="50000"/>
              <a:satMod val="180000"/>
            </a:srgbClr>
          </a:duotone>
          <a:extLst>
            <a:ext uri="{28A0092B-C50C-407E-A947-70E740481C1C}">
              <a14:useLocalDpi xmlns:a14="http://schemas.microsoft.com/office/drawing/2010/main" val="0"/>
            </a:ext>
          </a:extLst>
        </a:blip>
        <a:srcRect l="31975" t="45267" r="27942" b="32975"/>
        <a:stretch/>
      </xdr:blipFill>
      <xdr:spPr>
        <a:xfrm>
          <a:off x="28308301" y="920750"/>
          <a:ext cx="419100" cy="377099"/>
        </a:xfrm>
        <a:prstGeom prst="rect">
          <a:avLst/>
        </a:prstGeom>
      </xdr:spPr>
    </xdr:pic>
    <xdr:clientData/>
  </xdr:twoCellAnchor>
  <xdr:twoCellAnchor editAs="oneCell">
    <xdr:from>
      <xdr:col>20</xdr:col>
      <xdr:colOff>609600</xdr:colOff>
      <xdr:row>4</xdr:row>
      <xdr:rowOff>177801</xdr:rowOff>
    </xdr:from>
    <xdr:to>
      <xdr:col>20</xdr:col>
      <xdr:colOff>1098550</xdr:colOff>
      <xdr:row>6</xdr:row>
      <xdr:rowOff>172115</xdr:rowOff>
    </xdr:to>
    <xdr:pic>
      <xdr:nvPicPr>
        <xdr:cNvPr id="8" name="Picture 7">
          <a:hlinkClick xmlns:r="http://schemas.openxmlformats.org/officeDocument/2006/relationships" r:id="rId3"/>
        </xdr:cNvPr>
        <xdr:cNvPicPr>
          <a:picLocks noChangeAspect="1"/>
        </xdr:cNvPicPr>
      </xdr:nvPicPr>
      <xdr:blipFill rotWithShape="1">
        <a:blip xmlns:r="http://schemas.openxmlformats.org/officeDocument/2006/relationships" r:embed="rId4" cstate="print">
          <a:duotone>
            <a:prstClr val="black"/>
            <a:srgbClr val="D9C3A5">
              <a:tint val="50000"/>
              <a:satMod val="180000"/>
            </a:srgbClr>
          </a:duotone>
          <a:extLst>
            <a:ext uri="{28A0092B-C50C-407E-A947-70E740481C1C}">
              <a14:useLocalDpi xmlns:a14="http://schemas.microsoft.com/office/drawing/2010/main" val="0"/>
            </a:ext>
          </a:extLst>
        </a:blip>
        <a:srcRect l="23824" t="34229" r="27112" b="33539"/>
        <a:stretch/>
      </xdr:blipFill>
      <xdr:spPr>
        <a:xfrm>
          <a:off x="28917900" y="914401"/>
          <a:ext cx="488950" cy="362614"/>
        </a:xfrm>
        <a:prstGeom prst="rect">
          <a:avLst/>
        </a:prstGeom>
      </xdr:spPr>
    </xdr:pic>
    <xdr:clientData/>
  </xdr:twoCellAnchor>
  <xdr:twoCellAnchor editAs="oneCell">
    <xdr:from>
      <xdr:col>20</xdr:col>
      <xdr:colOff>1219200</xdr:colOff>
      <xdr:row>4</xdr:row>
      <xdr:rowOff>177801</xdr:rowOff>
    </xdr:from>
    <xdr:to>
      <xdr:col>21</xdr:col>
      <xdr:colOff>82550</xdr:colOff>
      <xdr:row>6</xdr:row>
      <xdr:rowOff>171523</xdr:rowOff>
    </xdr:to>
    <xdr:pic>
      <xdr:nvPicPr>
        <xdr:cNvPr id="10" name="Picture 9">
          <a:hlinkClick xmlns:r="http://schemas.openxmlformats.org/officeDocument/2006/relationships" r:id="rId5"/>
        </xdr:cNvPr>
        <xdr:cNvPicPr>
          <a:picLocks noChangeAspect="1"/>
        </xdr:cNvPicPr>
      </xdr:nvPicPr>
      <xdr:blipFill rotWithShape="1">
        <a:blip xmlns:r="http://schemas.openxmlformats.org/officeDocument/2006/relationships" r:embed="rId6" cstate="print">
          <a:duotone>
            <a:prstClr val="black"/>
            <a:srgbClr val="D9C3A5">
              <a:tint val="50000"/>
              <a:satMod val="180000"/>
            </a:srgbClr>
          </a:duotone>
          <a:extLst>
            <a:ext uri="{28A0092B-C50C-407E-A947-70E740481C1C}">
              <a14:useLocalDpi xmlns:a14="http://schemas.microsoft.com/office/drawing/2010/main" val="0"/>
            </a:ext>
          </a:extLst>
        </a:blip>
        <a:srcRect l="34627" t="47323" r="35712" b="37571"/>
        <a:stretch/>
      </xdr:blipFill>
      <xdr:spPr>
        <a:xfrm>
          <a:off x="29527500" y="914401"/>
          <a:ext cx="450850" cy="3620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1351643</xdr:colOff>
      <xdr:row>1</xdr:row>
      <xdr:rowOff>81642</xdr:rowOff>
    </xdr:from>
    <xdr:to>
      <xdr:col>3</xdr:col>
      <xdr:colOff>167821</xdr:colOff>
      <xdr:row>3</xdr:row>
      <xdr:rowOff>129155</xdr:rowOff>
    </xdr:to>
    <xdr:pic>
      <xdr:nvPicPr>
        <xdr:cNvPr id="10" name="Picture 9">
          <a:hlinkClick xmlns:r="http://schemas.openxmlformats.org/officeDocument/2006/relationships" r:id="rId1"/>
        </xdr:cNvPr>
        <xdr:cNvPicPr>
          <a:picLocks noChangeAspect="1"/>
        </xdr:cNvPicPr>
      </xdr:nvPicPr>
      <xdr:blipFill rotWithShape="1">
        <a:blip xmlns:r="http://schemas.openxmlformats.org/officeDocument/2006/relationships" r:embed="rId2" cstate="print">
          <a:duotone>
            <a:prstClr val="black"/>
            <a:srgbClr val="D9C3A5">
              <a:tint val="50000"/>
              <a:satMod val="180000"/>
            </a:srgbClr>
          </a:duotone>
          <a:extLst>
            <a:ext uri="{28A0092B-C50C-407E-A947-70E740481C1C}">
              <a14:useLocalDpi xmlns:a14="http://schemas.microsoft.com/office/drawing/2010/main" val="0"/>
            </a:ext>
          </a:extLst>
        </a:blip>
        <a:srcRect l="31975" t="45267" r="27942" b="32975"/>
        <a:stretch/>
      </xdr:blipFill>
      <xdr:spPr>
        <a:xfrm>
          <a:off x="2875643" y="263071"/>
          <a:ext cx="521607" cy="464798"/>
        </a:xfrm>
        <a:prstGeom prst="rect">
          <a:avLst/>
        </a:prstGeom>
      </xdr:spPr>
    </xdr:pic>
    <xdr:clientData/>
  </xdr:twoCellAnchor>
  <xdr:twoCellAnchor editAs="oneCell">
    <xdr:from>
      <xdr:col>4</xdr:col>
      <xdr:colOff>408215</xdr:colOff>
      <xdr:row>1</xdr:row>
      <xdr:rowOff>126999</xdr:rowOff>
    </xdr:from>
    <xdr:to>
      <xdr:col>5</xdr:col>
      <xdr:colOff>289530</xdr:colOff>
      <xdr:row>3</xdr:row>
      <xdr:rowOff>174424</xdr:rowOff>
    </xdr:to>
    <xdr:pic>
      <xdr:nvPicPr>
        <xdr:cNvPr id="11" name="Picture 10">
          <a:hlinkClick xmlns:r="http://schemas.openxmlformats.org/officeDocument/2006/relationships" r:id="rId3"/>
        </xdr:cNvPr>
        <xdr:cNvPicPr>
          <a:picLocks noChangeAspect="1"/>
        </xdr:cNvPicPr>
      </xdr:nvPicPr>
      <xdr:blipFill rotWithShape="1">
        <a:blip xmlns:r="http://schemas.openxmlformats.org/officeDocument/2006/relationships" r:embed="rId4" cstate="print">
          <a:duotone>
            <a:prstClr val="black"/>
            <a:srgbClr val="D9C3A5">
              <a:tint val="50000"/>
              <a:satMod val="180000"/>
            </a:srgbClr>
          </a:duotone>
          <a:extLst>
            <a:ext uri="{28A0092B-C50C-407E-A947-70E740481C1C}">
              <a14:useLocalDpi xmlns:a14="http://schemas.microsoft.com/office/drawing/2010/main" val="0"/>
            </a:ext>
          </a:extLst>
        </a:blip>
        <a:srcRect l="23824" t="34229" r="27112" b="33539"/>
        <a:stretch/>
      </xdr:blipFill>
      <xdr:spPr>
        <a:xfrm>
          <a:off x="3900715" y="308428"/>
          <a:ext cx="634244" cy="464710"/>
        </a:xfrm>
        <a:prstGeom prst="rect">
          <a:avLst/>
        </a:prstGeom>
      </xdr:spPr>
    </xdr:pic>
    <xdr:clientData/>
  </xdr:twoCellAnchor>
  <xdr:twoCellAnchor editAs="oneCell">
    <xdr:from>
      <xdr:col>6</xdr:col>
      <xdr:colOff>181429</xdr:colOff>
      <xdr:row>1</xdr:row>
      <xdr:rowOff>99785</xdr:rowOff>
    </xdr:from>
    <xdr:to>
      <xdr:col>7</xdr:col>
      <xdr:colOff>187917</xdr:colOff>
      <xdr:row>3</xdr:row>
      <xdr:rowOff>169998</xdr:rowOff>
    </xdr:to>
    <xdr:pic>
      <xdr:nvPicPr>
        <xdr:cNvPr id="12" name="Picture 11">
          <a:hlinkClick xmlns:r="http://schemas.openxmlformats.org/officeDocument/2006/relationships" r:id="rId5"/>
        </xdr:cNvPr>
        <xdr:cNvPicPr>
          <a:picLocks noChangeAspect="1"/>
        </xdr:cNvPicPr>
      </xdr:nvPicPr>
      <xdr:blipFill rotWithShape="1">
        <a:blip xmlns:r="http://schemas.openxmlformats.org/officeDocument/2006/relationships" r:embed="rId6" cstate="print">
          <a:duotone>
            <a:prstClr val="black"/>
            <a:srgbClr val="D9C3A5">
              <a:tint val="50000"/>
              <a:satMod val="180000"/>
            </a:srgbClr>
          </a:duotone>
          <a:extLst>
            <a:ext uri="{28A0092B-C50C-407E-A947-70E740481C1C}">
              <a14:useLocalDpi xmlns:a14="http://schemas.microsoft.com/office/drawing/2010/main" val="0"/>
            </a:ext>
          </a:extLst>
        </a:blip>
        <a:srcRect l="34627" t="47323" r="35712" b="37571"/>
        <a:stretch/>
      </xdr:blipFill>
      <xdr:spPr>
        <a:xfrm>
          <a:off x="5034643" y="281214"/>
          <a:ext cx="614274" cy="4874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63502</xdr:colOff>
      <xdr:row>5</xdr:row>
      <xdr:rowOff>174625</xdr:rowOff>
    </xdr:from>
    <xdr:to>
      <xdr:col>26</xdr:col>
      <xdr:colOff>529168</xdr:colOff>
      <xdr:row>35</xdr:row>
      <xdr:rowOff>163286</xdr:rowOff>
    </xdr:to>
    <xdr:sp macro="" textlink="">
      <xdr:nvSpPr>
        <xdr:cNvPr id="2" name="Rounded Rectangle 1"/>
        <xdr:cNvSpPr/>
      </xdr:nvSpPr>
      <xdr:spPr>
        <a:xfrm>
          <a:off x="709085" y="1074208"/>
          <a:ext cx="15959666" cy="5386161"/>
        </a:xfrm>
        <a:prstGeom prst="roundRect">
          <a:avLst>
            <a:gd name="adj" fmla="val 7572"/>
          </a:avLst>
        </a:prstGeom>
        <a:solidFill>
          <a:srgbClr val="5F3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134987</xdr:colOff>
      <xdr:row>13</xdr:row>
      <xdr:rowOff>20062</xdr:rowOff>
    </xdr:from>
    <xdr:to>
      <xdr:col>4</xdr:col>
      <xdr:colOff>428064</xdr:colOff>
      <xdr:row>34</xdr:row>
      <xdr:rowOff>169333</xdr:rowOff>
    </xdr:to>
    <xdr:sp macro="" textlink="">
      <xdr:nvSpPr>
        <xdr:cNvPr id="4" name="Rounded Rectangle 3"/>
        <xdr:cNvSpPr/>
      </xdr:nvSpPr>
      <xdr:spPr>
        <a:xfrm>
          <a:off x="780570" y="2358979"/>
          <a:ext cx="1584244" cy="3927521"/>
        </a:xfrm>
        <a:prstGeom prst="roundRect">
          <a:avLst>
            <a:gd name="adj" fmla="val 8975"/>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489683</xdr:colOff>
      <xdr:row>13</xdr:row>
      <xdr:rowOff>108858</xdr:rowOff>
    </xdr:from>
    <xdr:to>
      <xdr:col>12</xdr:col>
      <xdr:colOff>353613</xdr:colOff>
      <xdr:row>34</xdr:row>
      <xdr:rowOff>136458</xdr:rowOff>
    </xdr:to>
    <xdr:sp macro="" textlink="">
      <xdr:nvSpPr>
        <xdr:cNvPr id="5" name="Rounded Rectangle 4"/>
        <xdr:cNvSpPr/>
      </xdr:nvSpPr>
      <xdr:spPr>
        <a:xfrm>
          <a:off x="2421897" y="2467429"/>
          <a:ext cx="5016502" cy="3837600"/>
        </a:xfrm>
        <a:prstGeom prst="roundRect">
          <a:avLst>
            <a:gd name="adj" fmla="val 6780"/>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481311</xdr:colOff>
      <xdr:row>13</xdr:row>
      <xdr:rowOff>108858</xdr:rowOff>
    </xdr:from>
    <xdr:to>
      <xdr:col>20</xdr:col>
      <xdr:colOff>334772</xdr:colOff>
      <xdr:row>34</xdr:row>
      <xdr:rowOff>136249</xdr:rowOff>
    </xdr:to>
    <xdr:sp macro="" textlink="">
      <xdr:nvSpPr>
        <xdr:cNvPr id="6" name="Rounded Rectangle 5"/>
        <xdr:cNvSpPr/>
      </xdr:nvSpPr>
      <xdr:spPr>
        <a:xfrm>
          <a:off x="7566097" y="2467429"/>
          <a:ext cx="5006032" cy="3837391"/>
        </a:xfrm>
        <a:prstGeom prst="roundRect">
          <a:avLst>
            <a:gd name="adj" fmla="val 6738"/>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460548</xdr:colOff>
      <xdr:row>12</xdr:row>
      <xdr:rowOff>63500</xdr:rowOff>
    </xdr:from>
    <xdr:to>
      <xdr:col>26</xdr:col>
      <xdr:colOff>349249</xdr:colOff>
      <xdr:row>22</xdr:row>
      <xdr:rowOff>148166</xdr:rowOff>
    </xdr:to>
    <xdr:sp macro="" textlink="">
      <xdr:nvSpPr>
        <xdr:cNvPr id="3" name="Rounded Rectangle 2"/>
        <xdr:cNvSpPr/>
      </xdr:nvSpPr>
      <xdr:spPr>
        <a:xfrm>
          <a:off x="12726631" y="2222500"/>
          <a:ext cx="3762201" cy="1883833"/>
        </a:xfrm>
        <a:prstGeom prst="roundRect">
          <a:avLst>
            <a:gd name="adj" fmla="val 9421"/>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437870</xdr:colOff>
      <xdr:row>23</xdr:row>
      <xdr:rowOff>116418</xdr:rowOff>
    </xdr:from>
    <xdr:to>
      <xdr:col>26</xdr:col>
      <xdr:colOff>412750</xdr:colOff>
      <xdr:row>34</xdr:row>
      <xdr:rowOff>127000</xdr:rowOff>
    </xdr:to>
    <xdr:sp macro="" textlink="">
      <xdr:nvSpPr>
        <xdr:cNvPr id="7" name="Rounded Rectangle 6"/>
        <xdr:cNvSpPr/>
      </xdr:nvSpPr>
      <xdr:spPr>
        <a:xfrm>
          <a:off x="12703953" y="4254501"/>
          <a:ext cx="3848380" cy="1989666"/>
        </a:xfrm>
        <a:prstGeom prst="roundRect">
          <a:avLst>
            <a:gd name="adj" fmla="val 6522"/>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279992</xdr:colOff>
      <xdr:row>9</xdr:row>
      <xdr:rowOff>11338</xdr:rowOff>
    </xdr:from>
    <xdr:to>
      <xdr:col>5</xdr:col>
      <xdr:colOff>589642</xdr:colOff>
      <xdr:row>11</xdr:row>
      <xdr:rowOff>170088</xdr:rowOff>
    </xdr:to>
    <xdr:sp macro="" textlink="">
      <xdr:nvSpPr>
        <xdr:cNvPr id="8" name="Rounded Rectangle 7"/>
        <xdr:cNvSpPr/>
      </xdr:nvSpPr>
      <xdr:spPr>
        <a:xfrm>
          <a:off x="924063" y="1644195"/>
          <a:ext cx="2241865" cy="521607"/>
        </a:xfrm>
        <a:prstGeom prst="roundRect">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lt1"/>
              </a:solidFill>
              <a:effectLst/>
              <a:latin typeface="+mn-lt"/>
              <a:ea typeface="+mn-ea"/>
              <a:cs typeface="+mn-cs"/>
            </a:rPr>
            <a:t>Customer Churn Rate </a:t>
          </a:r>
          <a:r>
            <a:rPr lang="en-US" sz="1200" b="1" i="0"/>
            <a:t> </a:t>
          </a:r>
        </a:p>
        <a:p>
          <a:pPr algn="r"/>
          <a:r>
            <a:rPr lang="en-US" sz="1200" b="1" i="0"/>
            <a:t> </a:t>
          </a:r>
          <a:endParaRPr lang="en-US" sz="1200" b="1" i="0">
            <a:solidFill>
              <a:sysClr val="windowText" lastClr="000000"/>
            </a:solidFill>
          </a:endParaRPr>
        </a:p>
      </xdr:txBody>
    </xdr:sp>
    <xdr:clientData/>
  </xdr:twoCellAnchor>
  <xdr:twoCellAnchor>
    <xdr:from>
      <xdr:col>6</xdr:col>
      <xdr:colOff>175077</xdr:colOff>
      <xdr:row>9</xdr:row>
      <xdr:rowOff>0</xdr:rowOff>
    </xdr:from>
    <xdr:to>
      <xdr:col>9</xdr:col>
      <xdr:colOff>486953</xdr:colOff>
      <xdr:row>11</xdr:row>
      <xdr:rowOff>163104</xdr:rowOff>
    </xdr:to>
    <xdr:sp macro="" textlink="">
      <xdr:nvSpPr>
        <xdr:cNvPr id="10" name="Rounded Rectangle 9"/>
        <xdr:cNvSpPr/>
      </xdr:nvSpPr>
      <xdr:spPr>
        <a:xfrm>
          <a:off x="2624363" y="1156607"/>
          <a:ext cx="2148840" cy="548640"/>
        </a:xfrm>
        <a:prstGeom prst="roundRect">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lt1"/>
              </a:solidFill>
              <a:effectLst/>
              <a:latin typeface="+mn-lt"/>
              <a:ea typeface="+mn-ea"/>
              <a:cs typeface="+mn-cs"/>
            </a:rPr>
            <a:t>Average Satisfaction Rate</a:t>
          </a:r>
          <a:r>
            <a:rPr lang="en-US" sz="1200" b="1"/>
            <a:t>  </a:t>
          </a:r>
        </a:p>
      </xdr:txBody>
    </xdr:sp>
    <xdr:clientData/>
  </xdr:twoCellAnchor>
  <xdr:twoCellAnchor>
    <xdr:from>
      <xdr:col>10</xdr:col>
      <xdr:colOff>120371</xdr:colOff>
      <xdr:row>9</xdr:row>
      <xdr:rowOff>0</xdr:rowOff>
    </xdr:from>
    <xdr:to>
      <xdr:col>13</xdr:col>
      <xdr:colOff>432246</xdr:colOff>
      <xdr:row>11</xdr:row>
      <xdr:rowOff>151764</xdr:rowOff>
    </xdr:to>
    <xdr:sp macro="" textlink="">
      <xdr:nvSpPr>
        <xdr:cNvPr id="11" name="Rounded Rectangle 10"/>
        <xdr:cNvSpPr/>
      </xdr:nvSpPr>
      <xdr:spPr>
        <a:xfrm>
          <a:off x="5917014" y="1632857"/>
          <a:ext cx="2244089" cy="514621"/>
        </a:xfrm>
        <a:prstGeom prst="roundRect">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Total Revenue</a:t>
          </a:r>
        </a:p>
        <a:p>
          <a:pPr algn="r"/>
          <a:r>
            <a:rPr lang="en-US" sz="1200" b="1"/>
            <a:t>  </a:t>
          </a:r>
        </a:p>
      </xdr:txBody>
    </xdr:sp>
    <xdr:clientData/>
  </xdr:twoCellAnchor>
  <xdr:twoCellAnchor>
    <xdr:from>
      <xdr:col>14</xdr:col>
      <xdr:colOff>95948</xdr:colOff>
      <xdr:row>8</xdr:row>
      <xdr:rowOff>170089</xdr:rowOff>
    </xdr:from>
    <xdr:to>
      <xdr:col>17</xdr:col>
      <xdr:colOff>407824</xdr:colOff>
      <xdr:row>11</xdr:row>
      <xdr:rowOff>140425</xdr:rowOff>
    </xdr:to>
    <xdr:sp macro="" textlink="">
      <xdr:nvSpPr>
        <xdr:cNvPr id="13" name="Rounded Rectangle 12"/>
        <xdr:cNvSpPr/>
      </xdr:nvSpPr>
      <xdr:spPr>
        <a:xfrm>
          <a:off x="7443805" y="1133928"/>
          <a:ext cx="2148840" cy="548640"/>
        </a:xfrm>
        <a:prstGeom prst="roundRect">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lt1"/>
              </a:solidFill>
              <a:effectLst/>
              <a:latin typeface="+mn-lt"/>
              <a:ea typeface="+mn-ea"/>
              <a:cs typeface="+mn-cs"/>
            </a:rPr>
            <a:t>Avg. Revenue per Customer </a:t>
          </a:r>
          <a:r>
            <a:rPr lang="en-US" sz="1200" b="1"/>
            <a:t>   </a:t>
          </a:r>
        </a:p>
      </xdr:txBody>
    </xdr:sp>
    <xdr:clientData/>
  </xdr:twoCellAnchor>
  <xdr:twoCellAnchor>
    <xdr:from>
      <xdr:col>5</xdr:col>
      <xdr:colOff>515561</xdr:colOff>
      <xdr:row>3</xdr:row>
      <xdr:rowOff>170089</xdr:rowOff>
    </xdr:from>
    <xdr:to>
      <xdr:col>22</xdr:col>
      <xdr:colOff>153458</xdr:colOff>
      <xdr:row>7</xdr:row>
      <xdr:rowOff>124732</xdr:rowOff>
    </xdr:to>
    <xdr:sp macro="" textlink="">
      <xdr:nvSpPr>
        <xdr:cNvPr id="16" name="Rounded Rectangle 15"/>
        <xdr:cNvSpPr/>
      </xdr:nvSpPr>
      <xdr:spPr>
        <a:xfrm>
          <a:off x="3097894" y="709839"/>
          <a:ext cx="10612814" cy="674310"/>
        </a:xfrm>
        <a:prstGeom prst="roundRect">
          <a:avLst/>
        </a:prstGeom>
        <a:solidFill>
          <a:srgbClr val="5F3F1F"/>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rPr>
            <a:t>MTN CUSTOMER CHURN DASHBOARD</a:t>
          </a:r>
          <a:endParaRPr lang="en-US" sz="1100" b="1">
            <a:solidFill>
              <a:schemeClr val="bg1"/>
            </a:solidFill>
          </a:endParaRPr>
        </a:p>
      </xdr:txBody>
    </xdr:sp>
    <xdr:clientData/>
  </xdr:twoCellAnchor>
  <xdr:twoCellAnchor>
    <xdr:from>
      <xdr:col>20</xdr:col>
      <xdr:colOff>548821</xdr:colOff>
      <xdr:row>24</xdr:row>
      <xdr:rowOff>31751</xdr:rowOff>
    </xdr:from>
    <xdr:to>
      <xdr:col>26</xdr:col>
      <xdr:colOff>317500</xdr:colOff>
      <xdr:row>35</xdr:row>
      <xdr:rowOff>52918</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251151</xdr:colOff>
      <xdr:row>9</xdr:row>
      <xdr:rowOff>31752</xdr:rowOff>
    </xdr:from>
    <xdr:to>
      <xdr:col>10</xdr:col>
      <xdr:colOff>489856</xdr:colOff>
      <xdr:row>10</xdr:row>
      <xdr:rowOff>156483</xdr:rowOff>
    </xdr:to>
    <xdr:pic>
      <xdr:nvPicPr>
        <xdr:cNvPr id="41" name="Picture 40"/>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4067" t="34620" r="27632" b="27954"/>
        <a:stretch/>
      </xdr:blipFill>
      <xdr:spPr>
        <a:xfrm>
          <a:off x="6047794" y="1664609"/>
          <a:ext cx="238705" cy="306160"/>
        </a:xfrm>
        <a:prstGeom prst="rect">
          <a:avLst/>
        </a:prstGeom>
      </xdr:spPr>
    </xdr:pic>
    <xdr:clientData/>
  </xdr:twoCellAnchor>
  <xdr:twoCellAnchor editAs="oneCell">
    <xdr:from>
      <xdr:col>6</xdr:col>
      <xdr:colOff>260803</xdr:colOff>
      <xdr:row>9</xdr:row>
      <xdr:rowOff>79375</xdr:rowOff>
    </xdr:from>
    <xdr:to>
      <xdr:col>6</xdr:col>
      <xdr:colOff>528248</xdr:colOff>
      <xdr:row>10</xdr:row>
      <xdr:rowOff>147411</xdr:rowOff>
    </xdr:to>
    <xdr:pic>
      <xdr:nvPicPr>
        <xdr:cNvPr id="43" name="Picture 42"/>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237" t="29797" r="11611" b="25139"/>
        <a:stretch/>
      </xdr:blipFill>
      <xdr:spPr>
        <a:xfrm>
          <a:off x="2710089" y="1235982"/>
          <a:ext cx="267445" cy="260804"/>
        </a:xfrm>
        <a:prstGeom prst="rect">
          <a:avLst/>
        </a:prstGeom>
      </xdr:spPr>
    </xdr:pic>
    <xdr:clientData/>
  </xdr:twoCellAnchor>
  <xdr:twoCellAnchor editAs="oneCell">
    <xdr:from>
      <xdr:col>14</xdr:col>
      <xdr:colOff>136071</xdr:colOff>
      <xdr:row>9</xdr:row>
      <xdr:rowOff>53884</xdr:rowOff>
    </xdr:from>
    <xdr:to>
      <xdr:col>14</xdr:col>
      <xdr:colOff>374197</xdr:colOff>
      <xdr:row>10</xdr:row>
      <xdr:rowOff>143522</xdr:rowOff>
    </xdr:to>
    <xdr:pic>
      <xdr:nvPicPr>
        <xdr:cNvPr id="44" name="Picture 43"/>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5935" t="39502" r="25565" b="28143"/>
        <a:stretch/>
      </xdr:blipFill>
      <xdr:spPr>
        <a:xfrm>
          <a:off x="7483928" y="1210491"/>
          <a:ext cx="238126" cy="282406"/>
        </a:xfrm>
        <a:prstGeom prst="rect">
          <a:avLst/>
        </a:prstGeom>
      </xdr:spPr>
    </xdr:pic>
    <xdr:clientData/>
  </xdr:twoCellAnchor>
  <xdr:twoCellAnchor editAs="oneCell">
    <xdr:from>
      <xdr:col>2</xdr:col>
      <xdr:colOff>521606</xdr:colOff>
      <xdr:row>9</xdr:row>
      <xdr:rowOff>113393</xdr:rowOff>
    </xdr:from>
    <xdr:to>
      <xdr:col>3</xdr:col>
      <xdr:colOff>254007</xdr:colOff>
      <xdr:row>11</xdr:row>
      <xdr:rowOff>11340</xdr:rowOff>
    </xdr:to>
    <xdr:pic>
      <xdr:nvPicPr>
        <xdr:cNvPr id="45" name="Picture 44"/>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5832" t="34658" r="14222" b="28502"/>
        <a:stretch/>
      </xdr:blipFill>
      <xdr:spPr>
        <a:xfrm>
          <a:off x="521606" y="1270000"/>
          <a:ext cx="344722" cy="283482"/>
        </a:xfrm>
        <a:prstGeom prst="rect">
          <a:avLst/>
        </a:prstGeom>
      </xdr:spPr>
    </xdr:pic>
    <xdr:clientData/>
  </xdr:twoCellAnchor>
  <xdr:twoCellAnchor>
    <xdr:from>
      <xdr:col>19</xdr:col>
      <xdr:colOff>476250</xdr:colOff>
      <xdr:row>7</xdr:row>
      <xdr:rowOff>170088</xdr:rowOff>
    </xdr:from>
    <xdr:to>
      <xdr:col>24</xdr:col>
      <xdr:colOff>498929</xdr:colOff>
      <xdr:row>11</xdr:row>
      <xdr:rowOff>147409</xdr:rowOff>
    </xdr:to>
    <xdr:sp macro="" textlink="">
      <xdr:nvSpPr>
        <xdr:cNvPr id="48" name="Rounded Rectangle 47"/>
        <xdr:cNvSpPr/>
      </xdr:nvSpPr>
      <xdr:spPr>
        <a:xfrm>
          <a:off x="10885714" y="941159"/>
          <a:ext cx="3084286" cy="748393"/>
        </a:xfrm>
        <a:prstGeom prst="roundRect">
          <a:avLst/>
        </a:prstGeom>
        <a:solidFill>
          <a:srgbClr val="5F3F1F"/>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90713</xdr:colOff>
      <xdr:row>8</xdr:row>
      <xdr:rowOff>124733</xdr:rowOff>
    </xdr:from>
    <xdr:to>
      <xdr:col>20</xdr:col>
      <xdr:colOff>612320</xdr:colOff>
      <xdr:row>11</xdr:row>
      <xdr:rowOff>49781</xdr:rowOff>
    </xdr:to>
    <xdr:pic>
      <xdr:nvPicPr>
        <xdr:cNvPr id="15" name="Picture 14">
          <a:hlinkClick xmlns:r="http://schemas.openxmlformats.org/officeDocument/2006/relationships" r:id="rId6"/>
        </xdr:cNvPr>
        <xdr:cNvPicPr>
          <a:picLocks noChangeAspect="1"/>
        </xdr:cNvPicPr>
      </xdr:nvPicPr>
      <xdr:blipFill rotWithShape="1">
        <a:blip xmlns:r="http://schemas.openxmlformats.org/officeDocument/2006/relationships" r:embed="rId7" cstate="print">
          <a:duotone>
            <a:prstClr val="black"/>
            <a:srgbClr val="D9C3A5">
              <a:tint val="50000"/>
              <a:satMod val="180000"/>
            </a:srgbClr>
          </a:duotone>
          <a:extLst>
            <a:ext uri="{28A0092B-C50C-407E-A947-70E740481C1C}">
              <a14:useLocalDpi xmlns:a14="http://schemas.microsoft.com/office/drawing/2010/main" val="0"/>
            </a:ext>
          </a:extLst>
        </a:blip>
        <a:srcRect l="31975" t="45267" r="27942" b="32975"/>
        <a:stretch/>
      </xdr:blipFill>
      <xdr:spPr>
        <a:xfrm>
          <a:off x="11112499" y="1088572"/>
          <a:ext cx="521607" cy="503351"/>
        </a:xfrm>
        <a:prstGeom prst="rect">
          <a:avLst/>
        </a:prstGeom>
      </xdr:spPr>
    </xdr:pic>
    <xdr:clientData/>
  </xdr:twoCellAnchor>
  <xdr:twoCellAnchor editAs="oneCell">
    <xdr:from>
      <xdr:col>21</xdr:col>
      <xdr:colOff>589643</xdr:colOff>
      <xdr:row>8</xdr:row>
      <xdr:rowOff>97947</xdr:rowOff>
    </xdr:from>
    <xdr:to>
      <xdr:col>22</xdr:col>
      <xdr:colOff>578304</xdr:colOff>
      <xdr:row>11</xdr:row>
      <xdr:rowOff>22907</xdr:rowOff>
    </xdr:to>
    <xdr:pic>
      <xdr:nvPicPr>
        <xdr:cNvPr id="9" name="Picture 8">
          <a:hlinkClick xmlns:r="http://schemas.openxmlformats.org/officeDocument/2006/relationships" r:id="rId8"/>
        </xdr:cNvPr>
        <xdr:cNvPicPr>
          <a:picLocks noChangeAspect="1"/>
        </xdr:cNvPicPr>
      </xdr:nvPicPr>
      <xdr:blipFill rotWithShape="1">
        <a:blip xmlns:r="http://schemas.openxmlformats.org/officeDocument/2006/relationships" r:embed="rId9" cstate="print">
          <a:duotone>
            <a:prstClr val="black"/>
            <a:srgbClr val="D9C3A5">
              <a:tint val="50000"/>
              <a:satMod val="180000"/>
            </a:srgbClr>
          </a:duotone>
          <a:extLst>
            <a:ext uri="{28A0092B-C50C-407E-A947-70E740481C1C}">
              <a14:useLocalDpi xmlns:a14="http://schemas.microsoft.com/office/drawing/2010/main" val="0"/>
            </a:ext>
          </a:extLst>
        </a:blip>
        <a:srcRect l="23824" t="34229" r="27112" b="33539"/>
        <a:stretch/>
      </xdr:blipFill>
      <xdr:spPr>
        <a:xfrm>
          <a:off x="12223750" y="1061786"/>
          <a:ext cx="600982" cy="503263"/>
        </a:xfrm>
        <a:prstGeom prst="rect">
          <a:avLst/>
        </a:prstGeom>
      </xdr:spPr>
    </xdr:pic>
    <xdr:clientData/>
  </xdr:twoCellAnchor>
  <xdr:twoCellAnchor editAs="oneCell">
    <xdr:from>
      <xdr:col>23</xdr:col>
      <xdr:colOff>428185</xdr:colOff>
      <xdr:row>8</xdr:row>
      <xdr:rowOff>79375</xdr:rowOff>
    </xdr:from>
    <xdr:to>
      <xdr:col>24</xdr:col>
      <xdr:colOff>396876</xdr:colOff>
      <xdr:row>11</xdr:row>
      <xdr:rowOff>27123</xdr:rowOff>
    </xdr:to>
    <xdr:pic>
      <xdr:nvPicPr>
        <xdr:cNvPr id="14" name="Picture 13">
          <a:hlinkClick xmlns:r="http://schemas.openxmlformats.org/officeDocument/2006/relationships" r:id="rId10"/>
        </xdr:cNvPr>
        <xdr:cNvPicPr>
          <a:picLocks noChangeAspect="1"/>
        </xdr:cNvPicPr>
      </xdr:nvPicPr>
      <xdr:blipFill rotWithShape="1">
        <a:blip xmlns:r="http://schemas.openxmlformats.org/officeDocument/2006/relationships" r:embed="rId11" cstate="print">
          <a:duotone>
            <a:prstClr val="black"/>
            <a:srgbClr val="D9C3A5">
              <a:tint val="50000"/>
              <a:satMod val="180000"/>
            </a:srgbClr>
          </a:duotone>
          <a:extLst>
            <a:ext uri="{28A0092B-C50C-407E-A947-70E740481C1C}">
              <a14:useLocalDpi xmlns:a14="http://schemas.microsoft.com/office/drawing/2010/main" val="0"/>
            </a:ext>
          </a:extLst>
        </a:blip>
        <a:srcRect l="34627" t="47323" r="35712" b="37571"/>
        <a:stretch/>
      </xdr:blipFill>
      <xdr:spPr>
        <a:xfrm>
          <a:off x="13286935" y="1043214"/>
          <a:ext cx="581012" cy="526051"/>
        </a:xfrm>
        <a:prstGeom prst="rect">
          <a:avLst/>
        </a:prstGeom>
      </xdr:spPr>
    </xdr:pic>
    <xdr:clientData/>
  </xdr:twoCellAnchor>
  <xdr:oneCellAnchor>
    <xdr:from>
      <xdr:col>4</xdr:col>
      <xdr:colOff>426357</xdr:colOff>
      <xdr:row>10</xdr:row>
      <xdr:rowOff>72580</xdr:rowOff>
    </xdr:from>
    <xdr:ext cx="542264" cy="342786"/>
    <xdr:sp macro="" textlink="rate">
      <xdr:nvSpPr>
        <xdr:cNvPr id="12" name="TextBox 11"/>
        <xdr:cNvSpPr txBox="1"/>
      </xdr:nvSpPr>
      <xdr:spPr>
        <a:xfrm>
          <a:off x="2358571" y="1886866"/>
          <a:ext cx="54226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61CB34A-9AAB-4996-8E41-E420D911BD20}" type="TxLink">
            <a:rPr lang="en-US" sz="1600" b="1" i="0" u="none" strike="noStrike">
              <a:solidFill>
                <a:schemeClr val="accent4">
                  <a:lumMod val="20000"/>
                  <a:lumOff val="80000"/>
                </a:schemeClr>
              </a:solidFill>
              <a:latin typeface="Calibri"/>
              <a:ea typeface="Calibri"/>
              <a:cs typeface="Calibri"/>
            </a:rPr>
            <a:pPr/>
            <a:t>29%</a:t>
          </a:fld>
          <a:endParaRPr lang="en-US" sz="1600" b="1">
            <a:solidFill>
              <a:schemeClr val="accent4">
                <a:lumMod val="20000"/>
                <a:lumOff val="80000"/>
              </a:schemeClr>
            </a:solidFill>
          </a:endParaRPr>
        </a:p>
      </xdr:txBody>
    </xdr:sp>
    <xdr:clientData/>
  </xdr:oneCellAnchor>
  <xdr:oneCellAnchor>
    <xdr:from>
      <xdr:col>8</xdr:col>
      <xdr:colOff>199567</xdr:colOff>
      <xdr:row>10</xdr:row>
      <xdr:rowOff>54439</xdr:rowOff>
    </xdr:from>
    <xdr:ext cx="542264" cy="342786"/>
    <xdr:sp macro="" textlink="sat">
      <xdr:nvSpPr>
        <xdr:cNvPr id="17" name="TextBox 16"/>
        <xdr:cNvSpPr txBox="1"/>
      </xdr:nvSpPr>
      <xdr:spPr>
        <a:xfrm>
          <a:off x="4708067" y="1868725"/>
          <a:ext cx="54226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BCACF8B-765D-492B-9730-523BA2CDCB58}" type="TxLink">
            <a:rPr lang="en-US" sz="1600" b="1" i="0" u="none" strike="noStrike">
              <a:solidFill>
                <a:schemeClr val="accent4">
                  <a:lumMod val="20000"/>
                  <a:lumOff val="80000"/>
                </a:schemeClr>
              </a:solidFill>
              <a:latin typeface="Calibri"/>
              <a:ea typeface="Calibri"/>
              <a:cs typeface="Calibri"/>
            </a:rPr>
            <a:pPr/>
            <a:t>71%</a:t>
          </a:fld>
          <a:endParaRPr lang="en-US" sz="1600" b="1">
            <a:solidFill>
              <a:schemeClr val="accent4">
                <a:lumMod val="20000"/>
                <a:lumOff val="80000"/>
              </a:schemeClr>
            </a:solidFill>
          </a:endParaRPr>
        </a:p>
      </xdr:txBody>
    </xdr:sp>
    <xdr:clientData/>
  </xdr:oneCellAnchor>
  <xdr:oneCellAnchor>
    <xdr:from>
      <xdr:col>11</xdr:col>
      <xdr:colOff>117943</xdr:colOff>
      <xdr:row>10</xdr:row>
      <xdr:rowOff>45362</xdr:rowOff>
    </xdr:from>
    <xdr:ext cx="976229" cy="342786"/>
    <xdr:sp macro="" textlink="revenue">
      <xdr:nvSpPr>
        <xdr:cNvPr id="19" name="TextBox 18"/>
        <xdr:cNvSpPr txBox="1"/>
      </xdr:nvSpPr>
      <xdr:spPr>
        <a:xfrm>
          <a:off x="6558657" y="1859648"/>
          <a:ext cx="97622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572BC57-14EF-4EE6-B2D3-70C55BACC2F6}" type="TxLink">
            <a:rPr lang="en-US" sz="1600" b="1" i="0" u="none" strike="noStrike">
              <a:solidFill>
                <a:schemeClr val="accent4">
                  <a:lumMod val="20000"/>
                  <a:lumOff val="80000"/>
                </a:schemeClr>
              </a:solidFill>
              <a:latin typeface="Calibri"/>
              <a:ea typeface="Calibri"/>
              <a:cs typeface="Calibri"/>
            </a:rPr>
            <a:pPr/>
            <a:t>₦199.3M</a:t>
          </a:fld>
          <a:endParaRPr lang="en-US" sz="1600" b="1">
            <a:solidFill>
              <a:schemeClr val="accent4">
                <a:lumMod val="20000"/>
                <a:lumOff val="80000"/>
              </a:schemeClr>
            </a:solidFill>
          </a:endParaRPr>
        </a:p>
      </xdr:txBody>
    </xdr:sp>
    <xdr:clientData/>
  </xdr:oneCellAnchor>
  <xdr:oneCellAnchor>
    <xdr:from>
      <xdr:col>15</xdr:col>
      <xdr:colOff>272148</xdr:colOff>
      <xdr:row>10</xdr:row>
      <xdr:rowOff>27218</xdr:rowOff>
    </xdr:from>
    <xdr:ext cx="750270" cy="342786"/>
    <xdr:sp macro="" textlink="per">
      <xdr:nvSpPr>
        <xdr:cNvPr id="21" name="TextBox 20"/>
        <xdr:cNvSpPr txBox="1"/>
      </xdr:nvSpPr>
      <xdr:spPr>
        <a:xfrm>
          <a:off x="9955898" y="1826385"/>
          <a:ext cx="75027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ABAF90C-CFD6-4151-BB5E-A4136F1A2457}" type="TxLink">
            <a:rPr lang="en-US" sz="1600" b="1" i="0" u="none" strike="noStrike">
              <a:solidFill>
                <a:schemeClr val="accent4">
                  <a:lumMod val="20000"/>
                  <a:lumOff val="80000"/>
                </a:schemeClr>
              </a:solidFill>
              <a:latin typeface="Calibri"/>
              <a:ea typeface="Calibri"/>
              <a:cs typeface="Calibri"/>
            </a:rPr>
            <a:pPr/>
            <a:t>₦205K</a:t>
          </a:fld>
          <a:endParaRPr lang="en-US" sz="1600" b="1">
            <a:solidFill>
              <a:schemeClr val="accent4">
                <a:lumMod val="20000"/>
                <a:lumOff val="80000"/>
              </a:schemeClr>
            </a:solidFill>
          </a:endParaRPr>
        </a:p>
      </xdr:txBody>
    </xdr:sp>
    <xdr:clientData/>
  </xdr:oneCellAnchor>
  <xdr:twoCellAnchor>
    <xdr:from>
      <xdr:col>4</xdr:col>
      <xdr:colOff>526143</xdr:colOff>
      <xdr:row>14</xdr:row>
      <xdr:rowOff>45357</xdr:rowOff>
    </xdr:from>
    <xdr:to>
      <xdr:col>12</xdr:col>
      <xdr:colOff>254000</xdr:colOff>
      <xdr:row>34</xdr:row>
      <xdr:rowOff>9072</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562428</xdr:colOff>
      <xdr:row>14</xdr:row>
      <xdr:rowOff>18143</xdr:rowOff>
    </xdr:from>
    <xdr:to>
      <xdr:col>20</xdr:col>
      <xdr:colOff>199572</xdr:colOff>
      <xdr:row>34</xdr:row>
      <xdr:rowOff>99786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550334</xdr:colOff>
      <xdr:row>12</xdr:row>
      <xdr:rowOff>137584</xdr:rowOff>
    </xdr:from>
    <xdr:to>
      <xdr:col>26</xdr:col>
      <xdr:colOff>328084</xdr:colOff>
      <xdr:row>22</xdr:row>
      <xdr:rowOff>160866</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212149</xdr:colOff>
      <xdr:row>17</xdr:row>
      <xdr:rowOff>116417</xdr:rowOff>
    </xdr:from>
    <xdr:to>
      <xdr:col>4</xdr:col>
      <xdr:colOff>412270</xdr:colOff>
      <xdr:row>22</xdr:row>
      <xdr:rowOff>148166</xdr:rowOff>
    </xdr:to>
    <mc:AlternateContent xmlns:mc="http://schemas.openxmlformats.org/markup-compatibility/2006">
      <mc:Choice xmlns:a14="http://schemas.microsoft.com/office/drawing/2010/main" Requires="a14">
        <xdr:graphicFrame macro="">
          <xdr:nvGraphicFramePr>
            <xdr:cNvPr id="38" name="Customer Tenure Group 1"/>
            <xdr:cNvGraphicFramePr/>
          </xdr:nvGraphicFramePr>
          <xdr:xfrm>
            <a:off x="0" y="0"/>
            <a:ext cx="0" cy="0"/>
          </xdr:xfrm>
          <a:graphic>
            <a:graphicData uri="http://schemas.microsoft.com/office/drawing/2010/slicer">
              <sle:slicer xmlns:sle="http://schemas.microsoft.com/office/drawing/2010/slicer" name="Customer Tenure Group 1"/>
            </a:graphicData>
          </a:graphic>
        </xdr:graphicFrame>
      </mc:Choice>
      <mc:Fallback>
        <xdr:sp macro="" textlink="">
          <xdr:nvSpPr>
            <xdr:cNvPr id="0" name=""/>
            <xdr:cNvSpPr>
              <a:spLocks noTextEdit="1"/>
            </xdr:cNvSpPr>
          </xdr:nvSpPr>
          <xdr:spPr>
            <a:xfrm>
              <a:off x="1503316" y="3175000"/>
              <a:ext cx="1491287" cy="931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232834</xdr:colOff>
      <xdr:row>27</xdr:row>
      <xdr:rowOff>63499</xdr:rowOff>
    </xdr:from>
    <xdr:to>
      <xdr:col>4</xdr:col>
      <xdr:colOff>423335</xdr:colOff>
      <xdr:row>34</xdr:row>
      <xdr:rowOff>105833</xdr:rowOff>
    </xdr:to>
    <mc:AlternateContent xmlns:mc="http://schemas.openxmlformats.org/markup-compatibility/2006">
      <mc:Choice xmlns:a14="http://schemas.microsoft.com/office/drawing/2010/main" Requires="a14">
        <xdr:graphicFrame macro="">
          <xdr:nvGraphicFramePr>
            <xdr:cNvPr id="40" name="Age Group 1"/>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524001" y="4921249"/>
              <a:ext cx="1481667" cy="1301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231873</xdr:colOff>
      <xdr:row>22</xdr:row>
      <xdr:rowOff>179915</xdr:rowOff>
    </xdr:from>
    <xdr:to>
      <xdr:col>4</xdr:col>
      <xdr:colOff>403131</xdr:colOff>
      <xdr:row>27</xdr:row>
      <xdr:rowOff>21166</xdr:rowOff>
    </xdr:to>
    <mc:AlternateContent xmlns:mc="http://schemas.openxmlformats.org/markup-compatibility/2006">
      <mc:Choice xmlns:a14="http://schemas.microsoft.com/office/drawing/2010/main" Requires="a14">
        <xdr:graphicFrame macro="">
          <xdr:nvGraphicFramePr>
            <xdr:cNvPr id="4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23040" y="4138082"/>
              <a:ext cx="1462424" cy="740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189539</xdr:colOff>
      <xdr:row>13</xdr:row>
      <xdr:rowOff>95249</xdr:rowOff>
    </xdr:from>
    <xdr:to>
      <xdr:col>4</xdr:col>
      <xdr:colOff>360797</xdr:colOff>
      <xdr:row>17</xdr:row>
      <xdr:rowOff>31750</xdr:rowOff>
    </xdr:to>
    <mc:AlternateContent xmlns:mc="http://schemas.openxmlformats.org/markup-compatibility/2006">
      <mc:Choice xmlns:a14="http://schemas.microsoft.com/office/drawing/2010/main" Requires="a14">
        <xdr:graphicFrame macro="">
          <xdr:nvGraphicFramePr>
            <xdr:cNvPr id="46" name="Customer Churn Status 1"/>
            <xdr:cNvGraphicFramePr/>
          </xdr:nvGraphicFramePr>
          <xdr:xfrm>
            <a:off x="0" y="0"/>
            <a:ext cx="0" cy="0"/>
          </xdr:xfrm>
          <a:graphic>
            <a:graphicData uri="http://schemas.microsoft.com/office/drawing/2010/slicer">
              <sle:slicer xmlns:sle="http://schemas.microsoft.com/office/drawing/2010/slicer" name="Customer Churn Status 1"/>
            </a:graphicData>
          </a:graphic>
        </xdr:graphicFrame>
      </mc:Choice>
      <mc:Fallback>
        <xdr:sp macro="" textlink="">
          <xdr:nvSpPr>
            <xdr:cNvPr id="0" name=""/>
            <xdr:cNvSpPr>
              <a:spLocks noTextEdit="1"/>
            </xdr:cNvSpPr>
          </xdr:nvSpPr>
          <xdr:spPr>
            <a:xfrm>
              <a:off x="1480706" y="2434166"/>
              <a:ext cx="1462424" cy="656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5867.657629745372" createdVersion="6" refreshedVersion="6" minRefreshableVersion="3" recordCount="975">
  <cacheSource type="worksheet">
    <worksheetSource name="mtn"/>
  </cacheSource>
  <cacheFields count="31">
    <cacheField name="Customer ID" numFmtId="2">
      <sharedItems containsBlank="1"/>
    </cacheField>
    <cacheField name="Full Name" numFmtId="0">
      <sharedItems containsBlank="1"/>
    </cacheField>
    <cacheField name="Date of Purchase" numFmtId="0">
      <sharedItems containsNonDate="0" containsDate="1" containsString="0" containsBlank="1" minDate="2025-01-25T00:00:00" maxDate="2025-03-26T00:00:00"/>
    </cacheField>
    <cacheField name="Age" numFmtId="0">
      <sharedItems containsString="0" containsBlank="1" containsNumber="1" containsInteger="1" minValue="16" maxValue="80"/>
    </cacheField>
    <cacheField name="Age Group" numFmtId="0">
      <sharedItems containsBlank="1" count="6">
        <s v="25-34"/>
        <s v="Under25"/>
        <s v="35-44"/>
        <s v="55+"/>
        <s v="45-54"/>
        <m/>
      </sharedItems>
    </cacheField>
    <cacheField name="State" numFmtId="0">
      <sharedItems containsBlank="1" count="36">
        <s v="Kwara"/>
        <s v="Abuja (FCT)"/>
        <s v="Sokoto"/>
        <s v="Gombe"/>
        <s v="Oyo"/>
        <s v="Plateau"/>
        <s v="Jigawa"/>
        <s v="Imo"/>
        <s v="Bauchi"/>
        <s v="Ondo"/>
        <s v="Kebbi"/>
        <s v="Adamawa"/>
        <s v="Yobe"/>
        <s v="Anambra"/>
        <s v="Cross River"/>
        <s v="Kogi"/>
        <s v="Osun"/>
        <s v="Kano"/>
        <s v="Benue"/>
        <s v="Rivers"/>
        <s v="Enugu"/>
        <s v="Borno"/>
        <s v="Edo"/>
        <s v="Kaduna"/>
        <s v="Abia"/>
        <s v="Ekiti"/>
        <s v="Bayelsa"/>
        <s v="Delta"/>
        <s v="Zamfara"/>
        <s v="Akwa Ibom"/>
        <s v="Nasarawa"/>
        <s v="Taraba"/>
        <s v="Niger"/>
        <s v="Katsina"/>
        <s v="Lagos"/>
        <m/>
      </sharedItems>
    </cacheField>
    <cacheField name="MTN Device" numFmtId="0">
      <sharedItems containsBlank="1"/>
    </cacheField>
    <cacheField name="Gender" numFmtId="0">
      <sharedItems containsBlank="1" count="3">
        <s v="Male"/>
        <s v="Female"/>
        <m/>
      </sharedItems>
    </cacheField>
    <cacheField name="Satisfaction Rate" numFmtId="0">
      <sharedItems containsString="0" containsBlank="1" containsNumber="1" containsInteger="1" minValue="1" maxValue="5"/>
    </cacheField>
    <cacheField name="Customer Review" numFmtId="0">
      <sharedItems containsBlank="1"/>
    </cacheField>
    <cacheField name="Customer Tenure in months" numFmtId="0">
      <sharedItems containsString="0" containsBlank="1" containsNumber="1" containsInteger="1" minValue="1" maxValue="60"/>
    </cacheField>
    <cacheField name="Customer Tenure Group" numFmtId="0">
      <sharedItems containsBlank="1" count="5">
        <s v="0-5 months"/>
        <s v="1-2 years"/>
        <s v="2+years"/>
        <s v="6-12 months"/>
        <m/>
      </sharedItems>
    </cacheField>
    <cacheField name="Subscription Plan" numFmtId="0">
      <sharedItems containsBlank="1" count="22">
        <s v="165GB Monthly Plan"/>
        <s v="12.5GB Monthly Plan"/>
        <s v="150GB FUP Monthly Unlimited"/>
        <s v="1GB+1.5mins Daily Plan"/>
        <s v="30GB Monthly Broadband Plan"/>
        <s v="10GB+10mins Monthly Plan"/>
        <s v="25GB Monthly Plan"/>
        <s v="7GB Monthly Plan"/>
        <s v="1.5TB Yearly Broadband Plan"/>
        <s v="65GB Monthly Plan"/>
        <s v="120GB Monthly Broadband Plan"/>
        <s v="300GB FUP Monthly Unlimited"/>
        <s v="60GB Monthly Broadband Plan"/>
        <s v="500MB Daily Plan"/>
        <s v="3.2GB 2-Day Plan"/>
        <s v="20GB Monthly Plan"/>
        <s v="2.5GB 2-Day Plan"/>
        <s v="450GB 3-Month Broadband Plan"/>
        <s v="200GB Monthly Broadband Plan"/>
        <s v="1.5GB 2-Day Plan"/>
        <s v="16.5GB+10mins Monthly Plan"/>
        <m/>
      </sharedItems>
    </cacheField>
    <cacheField name="Unit Price" numFmtId="0">
      <sharedItems containsString="0" containsBlank="1" containsNumber="1" containsInteger="1" minValue="350" maxValue="150000"/>
    </cacheField>
    <cacheField name="Number of Times Purchased" numFmtId="0">
      <sharedItems containsString="0" containsBlank="1" containsNumber="1" containsInteger="1" minValue="1" maxValue="20"/>
    </cacheField>
    <cacheField name="Total Revenue" numFmtId="0">
      <sharedItems containsString="0" containsBlank="1" containsNumber="1" containsInteger="1" minValue="350" maxValue="3000000"/>
    </cacheField>
    <cacheField name="Revenue Per  Purchase" numFmtId="0">
      <sharedItems containsString="0" containsBlank="1" containsNumber="1" containsInteger="1" minValue="350" maxValue="150000"/>
    </cacheField>
    <cacheField name="Data Usage" numFmtId="2">
      <sharedItems containsString="0" containsBlank="1" containsNumber="1" minValue="0.82" maxValue="200"/>
    </cacheField>
    <cacheField name="Customer Churn Status" numFmtId="0">
      <sharedItems containsBlank="1" count="3">
        <s v="Yes"/>
        <s v="No"/>
        <m/>
      </sharedItems>
    </cacheField>
    <cacheField name="Churn Flag" numFmtId="0">
      <sharedItems containsString="0" containsBlank="1" containsNumber="1" containsInteger="1" minValue="0" maxValue="1"/>
    </cacheField>
    <cacheField name="CHURNED" numFmtId="0">
      <sharedItems containsString="0" containsBlank="1" containsNumber="1" containsInteger="1" minValue="0" maxValue="284"/>
    </cacheField>
    <cacheField name="UNCHURNED" numFmtId="0">
      <sharedItems containsString="0" containsBlank="1" containsNumber="1" containsInteger="1" minValue="0" maxValue="690"/>
    </cacheField>
    <cacheField name="TOTAL CUSTOMER" numFmtId="0">
      <sharedItems containsString="0" containsBlank="1" containsNumber="1" containsInteger="1" minValue="0" maxValue="974"/>
    </cacheField>
    <cacheField name="Customer Churn Rate" numFmtId="0" formula="#NAME?/#NAME?" databaseField="0"/>
    <cacheField name="Avg. Revenue per Customer" numFmtId="0" formula="'Total Revenue'/'TOTAL CUSTOMER'" databaseField="0"/>
    <cacheField name="Field1" numFmtId="0" formula="'Satisfaction Rate'/CHURNED" databaseField="0"/>
    <cacheField name="Avg. Revenue per Customer   " numFmtId="0" formula="'Total Revenue'/'TOTAL CUSTOMER'" databaseField="0"/>
    <cacheField name="Field2" numFmtId="0" formula="'Satisfaction Rate'/'TOTAL CUSTOMER'" databaseField="0"/>
    <cacheField name="Field3" numFmtId="0" formula="CHURNED/'TOTAL CUSTOMER'" databaseField="0"/>
    <cacheField name="Avg. Satisfaction Rate" numFmtId="0" formula="UNCHURNED/'TOTAL CUSTOMER'" databaseField="0"/>
    <cacheField name="Field4" numFmtId="0" formula="'Data Usage'/'TOTAL CUSTOMER'"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5867.668853703704" createdVersion="6" refreshedVersion="6" minRefreshableVersion="3" recordCount="974">
  <cacheSource type="worksheet">
    <worksheetSource name="chrun"/>
  </cacheSource>
  <cacheFields count="23">
    <cacheField name="Customer ID" numFmtId="2">
      <sharedItems/>
    </cacheField>
    <cacheField name="Full Name" numFmtId="0">
      <sharedItems/>
    </cacheField>
    <cacheField name="Date of Purchase" numFmtId="16">
      <sharedItems containsSemiMixedTypes="0" containsNonDate="0" containsDate="1" containsString="0" minDate="2025-01-25T00:00:00" maxDate="2025-03-26T00:00:00"/>
    </cacheField>
    <cacheField name="Age" numFmtId="0">
      <sharedItems containsSemiMixedTypes="0" containsString="0" containsNumber="1" containsInteger="1" minValue="16" maxValue="80"/>
    </cacheField>
    <cacheField name="Age Group" numFmtId="0">
      <sharedItems count="5">
        <s v="25-34"/>
        <s v="Under25"/>
        <s v="35-44"/>
        <s v="55+"/>
        <s v="45-54"/>
      </sharedItems>
    </cacheField>
    <cacheField name="State" numFmtId="0">
      <sharedItems count="35">
        <s v="Kwara"/>
        <s v="Abuja (FCT)"/>
        <s v="Sokoto"/>
        <s v="Gombe"/>
        <s v="Oyo"/>
        <s v="Plateau"/>
        <s v="Jigawa"/>
        <s v="Imo"/>
        <s v="Bauchi"/>
        <s v="Ondo"/>
        <s v="Kebbi"/>
        <s v="Adamawa"/>
        <s v="Yobe"/>
        <s v="Anambra"/>
        <s v="Cross River"/>
        <s v="Kogi"/>
        <s v="Osun"/>
        <s v="Kano"/>
        <s v="Benue"/>
        <s v="Rivers"/>
        <s v="Enugu"/>
        <s v="Borno"/>
        <s v="Edo"/>
        <s v="Kaduna"/>
        <s v="Abia"/>
        <s v="Ekiti"/>
        <s v="Bayelsa"/>
        <s v="Delta"/>
        <s v="Zamfara"/>
        <s v="Akwa Ibom"/>
        <s v="Nasarawa"/>
        <s v="Taraba"/>
        <s v="Niger"/>
        <s v="Katsina"/>
        <s v="Lagos"/>
      </sharedItems>
    </cacheField>
    <cacheField name="MTN Device" numFmtId="0">
      <sharedItems/>
    </cacheField>
    <cacheField name="Gender" numFmtId="0">
      <sharedItems count="2">
        <s v="Male"/>
        <s v="Female"/>
      </sharedItems>
    </cacheField>
    <cacheField name="Satisfaction Rate" numFmtId="0">
      <sharedItems containsSemiMixedTypes="0" containsString="0" containsNumber="1" containsInteger="1" minValue="1" maxValue="5"/>
    </cacheField>
    <cacheField name="Customer Review" numFmtId="0">
      <sharedItems/>
    </cacheField>
    <cacheField name="Customer Tenure in months" numFmtId="0">
      <sharedItems containsSemiMixedTypes="0" containsString="0" containsNumber="1" containsInteger="1" minValue="1" maxValue="60"/>
    </cacheField>
    <cacheField name="Customer Tenure Group" numFmtId="0">
      <sharedItems count="4">
        <s v="0-5 months"/>
        <s v="1-2 years"/>
        <s v="2+years"/>
        <s v="6-12 months"/>
      </sharedItems>
    </cacheField>
    <cacheField name="Subscription Plan" numFmtId="0">
      <sharedItems count="21">
        <s v="165GB Monthly Plan"/>
        <s v="12.5GB Monthly Plan"/>
        <s v="150GB FUP Monthly Unlimited"/>
        <s v="1GB+1.5mins Daily Plan"/>
        <s v="30GB Monthly Broadband Plan"/>
        <s v="10GB+10mins Monthly Plan"/>
        <s v="25GB Monthly Plan"/>
        <s v="7GB Monthly Plan"/>
        <s v="1.5TB Yearly Broadband Plan"/>
        <s v="65GB Monthly Plan"/>
        <s v="120GB Monthly Broadband Plan"/>
        <s v="300GB FUP Monthly Unlimited"/>
        <s v="60GB Monthly Broadband Plan"/>
        <s v="500MB Daily Plan"/>
        <s v="3.2GB 2-Day Plan"/>
        <s v="20GB Monthly Plan"/>
        <s v="2.5GB 2-Day Plan"/>
        <s v="450GB 3-Month Broadband Plan"/>
        <s v="200GB Monthly Broadband Plan"/>
        <s v="1.5GB 2-Day Plan"/>
        <s v="16.5GB+10mins Monthly Plan"/>
      </sharedItems>
    </cacheField>
    <cacheField name="Unit Price" numFmtId="0">
      <sharedItems containsSemiMixedTypes="0" containsString="0" containsNumber="1" containsInteger="1" minValue="350" maxValue="150000"/>
    </cacheField>
    <cacheField name="Number of Times Purchased" numFmtId="0">
      <sharedItems containsSemiMixedTypes="0" containsString="0" containsNumber="1" containsInteger="1" minValue="1" maxValue="20"/>
    </cacheField>
    <cacheField name="Total Revenue" numFmtId="0">
      <sharedItems containsSemiMixedTypes="0" containsString="0" containsNumber="1" containsInteger="1" minValue="350" maxValue="3000000"/>
    </cacheField>
    <cacheField name="Revenue Per  Purchase" numFmtId="0">
      <sharedItems containsSemiMixedTypes="0" containsString="0" containsNumber="1" containsInteger="1" minValue="350" maxValue="150000"/>
    </cacheField>
    <cacheField name="Data Usage" numFmtId="2">
      <sharedItems containsSemiMixedTypes="0" containsString="0" containsNumber="1" minValue="0.82" maxValue="200"/>
    </cacheField>
    <cacheField name="Customer Churn Status" numFmtId="0">
      <sharedItems count="2">
        <s v="Yes"/>
        <s v="No"/>
      </sharedItems>
    </cacheField>
    <cacheField name="Churn Flag" numFmtId="0">
      <sharedItems containsSemiMixedTypes="0" containsString="0" containsNumber="1" containsInteger="1" minValue="0" maxValue="1"/>
    </cacheField>
    <cacheField name="CHURNED" numFmtId="0">
      <sharedItems containsSemiMixedTypes="0" containsString="0" containsNumber="1" containsInteger="1" minValue="0" maxValue="284"/>
    </cacheField>
    <cacheField name="UNCHURNED" numFmtId="0">
      <sharedItems containsSemiMixedTypes="0" containsString="0" containsNumber="1" containsInteger="1" minValue="0" maxValue="690"/>
    </cacheField>
    <cacheField name="TOTAL CUSTOMER" numFmtId="0">
      <sharedItems containsSemiMixedTypes="0" containsString="0" containsNumber="1" containsInteger="1" minValue="0" maxValue="974"/>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75">
  <r>
    <s v="CUST0001"/>
    <s v="Ngozi Berry"/>
    <d v="2025-01-25T00:00:00"/>
    <n v="27"/>
    <x v="0"/>
    <x v="0"/>
    <s v="4G Router"/>
    <x v="0"/>
    <n v="2"/>
    <s v="Fair"/>
    <n v="2"/>
    <x v="0"/>
    <x v="0"/>
    <n v="35000"/>
    <n v="19"/>
    <n v="665000"/>
    <n v="35000"/>
    <n v="44.48"/>
    <x v="0"/>
    <n v="1"/>
    <n v="284"/>
    <n v="690"/>
    <n v="974"/>
  </r>
  <r>
    <s v="CUST0002"/>
    <s v="Zainab Baker"/>
    <d v="2025-03-25T00:00:00"/>
    <n v="16"/>
    <x v="1"/>
    <x v="1"/>
    <s v="Mobile SIM Card"/>
    <x v="1"/>
    <n v="2"/>
    <s v="Fair"/>
    <n v="22"/>
    <x v="1"/>
    <x v="1"/>
    <n v="5500"/>
    <n v="12"/>
    <n v="66000"/>
    <n v="5500"/>
    <n v="19.79"/>
    <x v="0"/>
    <n v="1"/>
    <n v="0"/>
    <n v="0"/>
    <n v="0"/>
  </r>
  <r>
    <s v="CUST0003"/>
    <s v="Saidu Evans"/>
    <d v="2025-03-25T00:00:00"/>
    <n v="21"/>
    <x v="1"/>
    <x v="2"/>
    <s v="5G Broadband Router"/>
    <x v="0"/>
    <n v="1"/>
    <s v="Poor"/>
    <n v="60"/>
    <x v="2"/>
    <x v="2"/>
    <n v="20000"/>
    <n v="8"/>
    <n v="160000"/>
    <n v="20000"/>
    <n v="9.64"/>
    <x v="1"/>
    <n v="0"/>
    <n v="0"/>
    <n v="0"/>
    <n v="0"/>
  </r>
  <r>
    <s v="CUST0003"/>
    <s v="Saidu Evans"/>
    <d v="2025-03-25T00:00:00"/>
    <n v="21"/>
    <x v="1"/>
    <x v="2"/>
    <s v="Mobile SIM Card"/>
    <x v="0"/>
    <n v="1"/>
    <s v="Poor"/>
    <n v="60"/>
    <x v="2"/>
    <x v="3"/>
    <n v="500"/>
    <n v="8"/>
    <n v="4000"/>
    <n v="500"/>
    <n v="197.05"/>
    <x v="1"/>
    <n v="0"/>
    <n v="0"/>
    <n v="0"/>
    <n v="0"/>
  </r>
  <r>
    <s v="CUST0003"/>
    <s v="Saidu Evans"/>
    <d v="2025-03-25T00:00:00"/>
    <n v="21"/>
    <x v="1"/>
    <x v="2"/>
    <s v="Broadband MiFi"/>
    <x v="0"/>
    <n v="1"/>
    <s v="Poor"/>
    <n v="60"/>
    <x v="2"/>
    <x v="4"/>
    <n v="9000"/>
    <n v="15"/>
    <n v="135000"/>
    <n v="9000"/>
    <n v="76.34"/>
    <x v="1"/>
    <n v="0"/>
    <n v="0"/>
    <n v="0"/>
    <n v="0"/>
  </r>
  <r>
    <s v="CUST0004"/>
    <s v="Ejiro Walker"/>
    <d v="2025-03-25T00:00:00"/>
    <n v="36"/>
    <x v="2"/>
    <x v="3"/>
    <s v="4G Router"/>
    <x v="1"/>
    <n v="1"/>
    <s v="Poor"/>
    <n v="14"/>
    <x v="1"/>
    <x v="5"/>
    <n v="4500"/>
    <n v="9"/>
    <n v="40500"/>
    <n v="4500"/>
    <n v="92.72"/>
    <x v="1"/>
    <n v="0"/>
    <n v="0"/>
    <n v="0"/>
    <n v="0"/>
  </r>
  <r>
    <s v="CUST0005"/>
    <s v="Nura Mann"/>
    <d v="2025-01-25T00:00:00"/>
    <n v="57"/>
    <x v="3"/>
    <x v="4"/>
    <s v="4G Router"/>
    <x v="0"/>
    <n v="3"/>
    <s v="Good"/>
    <n v="53"/>
    <x v="2"/>
    <x v="6"/>
    <n v="9000"/>
    <n v="16"/>
    <n v="144000"/>
    <n v="9000"/>
    <n v="42.92"/>
    <x v="1"/>
    <n v="0"/>
    <n v="0"/>
    <n v="0"/>
    <n v="0"/>
  </r>
  <r>
    <s v="CUST0006"/>
    <s v="Tamuno Lewis"/>
    <d v="2025-02-25T00:00:00"/>
    <n v="74"/>
    <x v="3"/>
    <x v="5"/>
    <s v="Mobile SIM Card"/>
    <x v="1"/>
    <n v="5"/>
    <s v="Excellent"/>
    <n v="9"/>
    <x v="3"/>
    <x v="7"/>
    <n v="3500"/>
    <n v="5"/>
    <n v="17500"/>
    <n v="3500"/>
    <n v="44.25"/>
    <x v="1"/>
    <n v="0"/>
    <n v="0"/>
    <n v="0"/>
    <n v="0"/>
  </r>
  <r>
    <s v="CUST0006"/>
    <s v="Tamuno Lewis"/>
    <d v="2025-02-25T00:00:00"/>
    <n v="74"/>
    <x v="3"/>
    <x v="5"/>
    <s v="5G Broadband Router"/>
    <x v="1"/>
    <n v="5"/>
    <s v="Excellent"/>
    <n v="9"/>
    <x v="3"/>
    <x v="8"/>
    <n v="150000"/>
    <n v="2"/>
    <n v="300000"/>
    <n v="150000"/>
    <n v="18.64"/>
    <x v="1"/>
    <n v="0"/>
    <n v="0"/>
    <n v="0"/>
    <n v="0"/>
  </r>
  <r>
    <s v="CUST0006"/>
    <s v="Tamuno Lewis"/>
    <d v="2025-02-25T00:00:00"/>
    <n v="74"/>
    <x v="3"/>
    <x v="5"/>
    <s v="4G Router"/>
    <x v="1"/>
    <n v="5"/>
    <s v="Excellent"/>
    <n v="9"/>
    <x v="3"/>
    <x v="9"/>
    <n v="16000"/>
    <n v="6"/>
    <n v="96000"/>
    <n v="16000"/>
    <n v="30.99"/>
    <x v="1"/>
    <n v="0"/>
    <n v="0"/>
    <n v="0"/>
    <n v="0"/>
  </r>
  <r>
    <s v="CUST0007"/>
    <s v="Boma Stewart"/>
    <d v="2025-03-25T00:00:00"/>
    <n v="24"/>
    <x v="1"/>
    <x v="6"/>
    <s v="Broadband MiFi"/>
    <x v="1"/>
    <n v="5"/>
    <s v="Excellent"/>
    <n v="39"/>
    <x v="2"/>
    <x v="10"/>
    <n v="24000"/>
    <n v="11"/>
    <n v="264000"/>
    <n v="24000"/>
    <n v="150.30000000000001"/>
    <x v="0"/>
    <n v="1"/>
    <n v="0"/>
    <n v="0"/>
    <n v="0"/>
  </r>
  <r>
    <s v="CUST0008"/>
    <s v="Ifeanyi Park"/>
    <d v="2025-01-25T00:00:00"/>
    <n v="53"/>
    <x v="4"/>
    <x v="0"/>
    <s v="Broadband MiFi"/>
    <x v="0"/>
    <n v="3"/>
    <s v="Good"/>
    <n v="30"/>
    <x v="2"/>
    <x v="11"/>
    <n v="30000"/>
    <n v="17"/>
    <n v="510000"/>
    <n v="30000"/>
    <n v="168.41"/>
    <x v="1"/>
    <n v="0"/>
    <n v="0"/>
    <n v="0"/>
    <n v="0"/>
  </r>
  <r>
    <s v="CUST0009"/>
    <s v="Bala Robbins"/>
    <d v="2025-01-25T00:00:00"/>
    <n v="35"/>
    <x v="2"/>
    <x v="3"/>
    <s v="Broadband MiFi"/>
    <x v="0"/>
    <n v="5"/>
    <s v="Excellent"/>
    <n v="35"/>
    <x v="2"/>
    <x v="11"/>
    <n v="30000"/>
    <n v="10"/>
    <n v="300000"/>
    <n v="30000"/>
    <n v="175.81"/>
    <x v="1"/>
    <n v="0"/>
    <n v="0"/>
    <n v="0"/>
    <n v="0"/>
  </r>
  <r>
    <s v="CUST0010"/>
    <s v="Halima Ochoa"/>
    <d v="2025-03-25T00:00:00"/>
    <n v="23"/>
    <x v="1"/>
    <x v="7"/>
    <s v="4G Router"/>
    <x v="0"/>
    <n v="1"/>
    <s v="Poor"/>
    <n v="6"/>
    <x v="3"/>
    <x v="5"/>
    <n v="4500"/>
    <n v="20"/>
    <n v="90000"/>
    <n v="4500"/>
    <n v="53.38"/>
    <x v="1"/>
    <n v="0"/>
    <n v="0"/>
    <n v="0"/>
    <n v="0"/>
  </r>
  <r>
    <s v="CUST0010"/>
    <s v="Halima Ochoa"/>
    <d v="2025-03-25T00:00:00"/>
    <n v="23"/>
    <x v="1"/>
    <x v="7"/>
    <s v="Broadband MiFi"/>
    <x v="0"/>
    <n v="1"/>
    <s v="Poor"/>
    <n v="6"/>
    <x v="3"/>
    <x v="12"/>
    <n v="14500"/>
    <n v="18"/>
    <n v="261000"/>
    <n v="14500"/>
    <n v="192.89"/>
    <x v="1"/>
    <n v="0"/>
    <n v="0"/>
    <n v="0"/>
    <n v="0"/>
  </r>
  <r>
    <s v="CUST0010"/>
    <s v="Halima Ochoa"/>
    <d v="2025-03-25T00:00:00"/>
    <n v="23"/>
    <x v="1"/>
    <x v="7"/>
    <s v="Mobile SIM Card"/>
    <x v="0"/>
    <n v="1"/>
    <s v="Poor"/>
    <n v="6"/>
    <x v="3"/>
    <x v="13"/>
    <n v="350"/>
    <n v="13"/>
    <n v="4550"/>
    <n v="350"/>
    <n v="142.72999999999999"/>
    <x v="1"/>
    <n v="0"/>
    <n v="0"/>
    <n v="0"/>
    <n v="0"/>
  </r>
  <r>
    <s v="CUST0011"/>
    <s v="Ejiro Griffith"/>
    <d v="2025-02-25T00:00:00"/>
    <n v="72"/>
    <x v="3"/>
    <x v="8"/>
    <s v="4G Router"/>
    <x v="1"/>
    <n v="2"/>
    <s v="Fair"/>
    <n v="8"/>
    <x v="3"/>
    <x v="9"/>
    <n v="16000"/>
    <n v="2"/>
    <n v="32000"/>
    <n v="16000"/>
    <n v="14.66"/>
    <x v="0"/>
    <n v="1"/>
    <n v="0"/>
    <n v="0"/>
    <n v="0"/>
  </r>
  <r>
    <s v="CUST0011"/>
    <s v="Ejiro Griffith"/>
    <d v="2025-02-25T00:00:00"/>
    <n v="72"/>
    <x v="3"/>
    <x v="8"/>
    <s v="5G Broadband Router"/>
    <x v="1"/>
    <n v="2"/>
    <s v="Fair"/>
    <n v="8"/>
    <x v="3"/>
    <x v="12"/>
    <n v="14500"/>
    <n v="2"/>
    <n v="29000"/>
    <n v="14500"/>
    <n v="13.95"/>
    <x v="0"/>
    <n v="1"/>
    <n v="0"/>
    <n v="0"/>
    <n v="0"/>
  </r>
  <r>
    <s v="CUST0011"/>
    <s v="Ejiro Griffith"/>
    <d v="2025-02-25T00:00:00"/>
    <n v="72"/>
    <x v="3"/>
    <x v="8"/>
    <s v="Broadband MiFi"/>
    <x v="1"/>
    <n v="2"/>
    <s v="Fair"/>
    <n v="8"/>
    <x v="3"/>
    <x v="11"/>
    <n v="30000"/>
    <n v="8"/>
    <n v="240000"/>
    <n v="30000"/>
    <n v="14.64"/>
    <x v="0"/>
    <n v="1"/>
    <n v="0"/>
    <n v="0"/>
    <n v="0"/>
  </r>
  <r>
    <s v="CUST0012"/>
    <s v="Zainab Morton"/>
    <d v="2025-03-25T00:00:00"/>
    <n v="78"/>
    <x v="3"/>
    <x v="9"/>
    <s v="4G Router"/>
    <x v="0"/>
    <n v="2"/>
    <s v="Fair"/>
    <n v="47"/>
    <x v="2"/>
    <x v="9"/>
    <n v="16000"/>
    <n v="12"/>
    <n v="192000"/>
    <n v="16000"/>
    <n v="131.97"/>
    <x v="1"/>
    <n v="0"/>
    <n v="0"/>
    <n v="0"/>
    <n v="0"/>
  </r>
  <r>
    <s v="CUST0012"/>
    <s v="Zainab Morton"/>
    <d v="2025-03-25T00:00:00"/>
    <n v="78"/>
    <x v="3"/>
    <x v="9"/>
    <s v="Broadband MiFi"/>
    <x v="0"/>
    <n v="2"/>
    <s v="Fair"/>
    <n v="47"/>
    <x v="2"/>
    <x v="12"/>
    <n v="14500"/>
    <n v="2"/>
    <n v="29000"/>
    <n v="14500"/>
    <n v="82.51"/>
    <x v="1"/>
    <n v="0"/>
    <n v="0"/>
    <n v="0"/>
    <n v="0"/>
  </r>
  <r>
    <s v="CUST0013"/>
    <s v="Ngozi Moreno"/>
    <d v="2025-01-25T00:00:00"/>
    <n v="23"/>
    <x v="1"/>
    <x v="10"/>
    <s v="4G Router"/>
    <x v="1"/>
    <n v="2"/>
    <s v="Fair"/>
    <n v="52"/>
    <x v="2"/>
    <x v="5"/>
    <n v="4500"/>
    <n v="8"/>
    <n v="36000"/>
    <n v="4500"/>
    <n v="56.07"/>
    <x v="0"/>
    <n v="1"/>
    <n v="0"/>
    <n v="0"/>
    <n v="0"/>
  </r>
  <r>
    <s v="CUST0013"/>
    <s v="Ngozi Moreno"/>
    <d v="2025-01-25T00:00:00"/>
    <n v="23"/>
    <x v="1"/>
    <x v="10"/>
    <s v="Mobile SIM Card"/>
    <x v="1"/>
    <n v="2"/>
    <s v="Fair"/>
    <n v="52"/>
    <x v="2"/>
    <x v="14"/>
    <n v="1000"/>
    <n v="18"/>
    <n v="18000"/>
    <n v="1000"/>
    <n v="88.9"/>
    <x v="0"/>
    <n v="1"/>
    <n v="0"/>
    <n v="0"/>
    <n v="0"/>
  </r>
  <r>
    <s v="CUST0014"/>
    <s v="Ngozi Crawford"/>
    <d v="2025-02-25T00:00:00"/>
    <n v="22"/>
    <x v="1"/>
    <x v="11"/>
    <s v="4G Router"/>
    <x v="0"/>
    <n v="2"/>
    <s v="Fair"/>
    <n v="6"/>
    <x v="3"/>
    <x v="9"/>
    <n v="16000"/>
    <n v="1"/>
    <n v="16000"/>
    <n v="16000"/>
    <n v="33.35"/>
    <x v="1"/>
    <n v="0"/>
    <n v="0"/>
    <n v="0"/>
    <n v="0"/>
  </r>
  <r>
    <s v="CUST0014"/>
    <s v="Ngozi Crawford"/>
    <d v="2025-02-25T00:00:00"/>
    <n v="22"/>
    <x v="1"/>
    <x v="11"/>
    <s v="Mobile SIM Card"/>
    <x v="0"/>
    <n v="2"/>
    <s v="Fair"/>
    <n v="6"/>
    <x v="3"/>
    <x v="15"/>
    <n v="7500"/>
    <n v="15"/>
    <n v="112500"/>
    <n v="7500"/>
    <n v="53.41"/>
    <x v="1"/>
    <n v="0"/>
    <n v="0"/>
    <n v="0"/>
    <n v="0"/>
  </r>
  <r>
    <s v="CUST0015"/>
    <s v="Abubakar Garner"/>
    <d v="2025-03-25T00:00:00"/>
    <n v="70"/>
    <x v="3"/>
    <x v="12"/>
    <s v="Broadband MiFi"/>
    <x v="0"/>
    <n v="2"/>
    <s v="Fair"/>
    <n v="13"/>
    <x v="1"/>
    <x v="4"/>
    <n v="9000"/>
    <n v="16"/>
    <n v="144000"/>
    <n v="9000"/>
    <n v="10.5"/>
    <x v="1"/>
    <n v="0"/>
    <n v="0"/>
    <n v="0"/>
    <n v="0"/>
  </r>
  <r>
    <s v="CUST0015"/>
    <s v="Abubakar Garner"/>
    <d v="2025-03-25T00:00:00"/>
    <n v="70"/>
    <x v="3"/>
    <x v="12"/>
    <s v="5G Broadband Router"/>
    <x v="0"/>
    <n v="2"/>
    <s v="Fair"/>
    <n v="13"/>
    <x v="1"/>
    <x v="11"/>
    <n v="30000"/>
    <n v="17"/>
    <n v="510000"/>
    <n v="30000"/>
    <n v="11.85"/>
    <x v="1"/>
    <n v="0"/>
    <n v="0"/>
    <n v="0"/>
    <n v="0"/>
  </r>
  <r>
    <s v="CUST0015"/>
    <s v="Abubakar Garner"/>
    <d v="2025-03-25T00:00:00"/>
    <n v="70"/>
    <x v="3"/>
    <x v="12"/>
    <s v="4G Router"/>
    <x v="0"/>
    <n v="2"/>
    <s v="Fair"/>
    <n v="13"/>
    <x v="1"/>
    <x v="9"/>
    <n v="16000"/>
    <n v="3"/>
    <n v="48000"/>
    <n v="16000"/>
    <n v="170.34"/>
    <x v="1"/>
    <n v="0"/>
    <n v="0"/>
    <n v="0"/>
    <n v="0"/>
  </r>
  <r>
    <s v="CUST0016"/>
    <s v="Kunle Ford"/>
    <d v="2025-02-25T00:00:00"/>
    <n v="46"/>
    <x v="4"/>
    <x v="10"/>
    <s v="Broadband MiFi"/>
    <x v="0"/>
    <n v="5"/>
    <s v="Excellent"/>
    <n v="57"/>
    <x v="2"/>
    <x v="11"/>
    <n v="30000"/>
    <n v="11"/>
    <n v="330000"/>
    <n v="30000"/>
    <n v="41.25"/>
    <x v="1"/>
    <n v="0"/>
    <n v="0"/>
    <n v="0"/>
    <n v="0"/>
  </r>
  <r>
    <s v="CUST0016"/>
    <s v="Kunle Ford"/>
    <d v="2025-02-25T00:00:00"/>
    <n v="46"/>
    <x v="4"/>
    <x v="10"/>
    <s v="4G Router"/>
    <x v="0"/>
    <n v="5"/>
    <s v="Excellent"/>
    <n v="57"/>
    <x v="2"/>
    <x v="5"/>
    <n v="4500"/>
    <n v="5"/>
    <n v="22500"/>
    <n v="4500"/>
    <n v="53.49"/>
    <x v="1"/>
    <n v="0"/>
    <n v="0"/>
    <n v="0"/>
    <n v="0"/>
  </r>
  <r>
    <s v="CUST0016"/>
    <s v="Kunle Ford"/>
    <d v="2025-02-25T00:00:00"/>
    <n v="46"/>
    <x v="4"/>
    <x v="10"/>
    <s v="5G Broadband Router"/>
    <x v="0"/>
    <n v="5"/>
    <s v="Excellent"/>
    <n v="57"/>
    <x v="2"/>
    <x v="10"/>
    <n v="24000"/>
    <n v="3"/>
    <n v="72000"/>
    <n v="24000"/>
    <n v="91.72"/>
    <x v="1"/>
    <n v="0"/>
    <n v="0"/>
    <n v="0"/>
    <n v="0"/>
  </r>
  <r>
    <s v="CUST0017"/>
    <s v="Tunde Hayes"/>
    <d v="2025-02-25T00:00:00"/>
    <n v="74"/>
    <x v="3"/>
    <x v="13"/>
    <s v="4G Router"/>
    <x v="0"/>
    <n v="5"/>
    <s v="Excellent"/>
    <n v="35"/>
    <x v="2"/>
    <x v="6"/>
    <n v="9000"/>
    <n v="15"/>
    <n v="135000"/>
    <n v="9000"/>
    <n v="57.35"/>
    <x v="0"/>
    <n v="1"/>
    <n v="0"/>
    <n v="0"/>
    <n v="0"/>
  </r>
  <r>
    <s v="CUST0018"/>
    <s v="David Fletcher"/>
    <d v="2025-03-25T00:00:00"/>
    <n v="54"/>
    <x v="4"/>
    <x v="8"/>
    <s v="5G Broadband Router"/>
    <x v="0"/>
    <n v="1"/>
    <s v="Poor"/>
    <n v="43"/>
    <x v="2"/>
    <x v="2"/>
    <n v="20000"/>
    <n v="18"/>
    <n v="360000"/>
    <n v="20000"/>
    <n v="178"/>
    <x v="1"/>
    <n v="0"/>
    <n v="0"/>
    <n v="0"/>
    <n v="0"/>
  </r>
  <r>
    <s v="CUST0019"/>
    <s v="Obinna Wright"/>
    <d v="2025-03-25T00:00:00"/>
    <n v="50"/>
    <x v="4"/>
    <x v="14"/>
    <s v="Mobile SIM Card"/>
    <x v="0"/>
    <n v="2"/>
    <s v="Fair"/>
    <n v="46"/>
    <x v="2"/>
    <x v="16"/>
    <n v="900"/>
    <n v="14"/>
    <n v="12600"/>
    <n v="900"/>
    <n v="18.91"/>
    <x v="1"/>
    <n v="0"/>
    <n v="0"/>
    <n v="0"/>
    <n v="0"/>
  </r>
  <r>
    <s v="CUST0019"/>
    <s v="Obinna Wright"/>
    <d v="2025-03-25T00:00:00"/>
    <n v="50"/>
    <x v="4"/>
    <x v="14"/>
    <s v="4G Router"/>
    <x v="0"/>
    <n v="2"/>
    <s v="Fair"/>
    <n v="46"/>
    <x v="2"/>
    <x v="6"/>
    <n v="9000"/>
    <n v="11"/>
    <n v="99000"/>
    <n v="9000"/>
    <n v="9.3000000000000007"/>
    <x v="1"/>
    <n v="0"/>
    <n v="0"/>
    <n v="0"/>
    <n v="0"/>
  </r>
  <r>
    <s v="CUST0020"/>
    <s v="Amaka Reed"/>
    <d v="2025-03-25T00:00:00"/>
    <n v="49"/>
    <x v="4"/>
    <x v="1"/>
    <s v="4G Router"/>
    <x v="1"/>
    <n v="5"/>
    <s v="Excellent"/>
    <n v="36"/>
    <x v="2"/>
    <x v="6"/>
    <n v="9000"/>
    <n v="5"/>
    <n v="45000"/>
    <n v="9000"/>
    <n v="116.71"/>
    <x v="0"/>
    <n v="1"/>
    <n v="0"/>
    <n v="0"/>
    <n v="0"/>
  </r>
  <r>
    <s v="CUST0020"/>
    <s v="Amaka Reed"/>
    <d v="2025-03-25T00:00:00"/>
    <n v="49"/>
    <x v="4"/>
    <x v="1"/>
    <s v="5G Broadband Router"/>
    <x v="1"/>
    <n v="5"/>
    <s v="Excellent"/>
    <n v="36"/>
    <x v="2"/>
    <x v="17"/>
    <n v="75000"/>
    <n v="10"/>
    <n v="750000"/>
    <n v="75000"/>
    <n v="25.93"/>
    <x v="0"/>
    <n v="1"/>
    <n v="0"/>
    <n v="0"/>
    <n v="0"/>
  </r>
  <r>
    <s v="CUST0020"/>
    <s v="Amaka Reed"/>
    <d v="2025-03-25T00:00:00"/>
    <n v="49"/>
    <x v="4"/>
    <x v="1"/>
    <s v="Broadband MiFi"/>
    <x v="1"/>
    <n v="5"/>
    <s v="Excellent"/>
    <n v="36"/>
    <x v="2"/>
    <x v="11"/>
    <n v="30000"/>
    <n v="2"/>
    <n v="60000"/>
    <n v="30000"/>
    <n v="179.85"/>
    <x v="0"/>
    <n v="1"/>
    <n v="0"/>
    <n v="0"/>
    <n v="0"/>
  </r>
  <r>
    <s v="CUST0021"/>
    <s v="Oghene Brown"/>
    <d v="2025-03-25T00:00:00"/>
    <n v="42"/>
    <x v="2"/>
    <x v="7"/>
    <s v="Mobile SIM Card"/>
    <x v="0"/>
    <n v="5"/>
    <s v="Excellent"/>
    <n v="23"/>
    <x v="1"/>
    <x v="5"/>
    <n v="4500"/>
    <n v="1"/>
    <n v="4500"/>
    <n v="4500"/>
    <n v="176.34"/>
    <x v="1"/>
    <n v="0"/>
    <n v="0"/>
    <n v="0"/>
    <n v="0"/>
  </r>
  <r>
    <s v="CUST0022"/>
    <s v="Shehu Ferguson"/>
    <d v="2025-02-25T00:00:00"/>
    <n v="58"/>
    <x v="3"/>
    <x v="15"/>
    <s v="Mobile SIM Card"/>
    <x v="0"/>
    <n v="1"/>
    <s v="Poor"/>
    <n v="18"/>
    <x v="1"/>
    <x v="13"/>
    <n v="350"/>
    <n v="15"/>
    <n v="5250"/>
    <n v="350"/>
    <n v="40.31"/>
    <x v="1"/>
    <n v="0"/>
    <n v="0"/>
    <n v="0"/>
    <n v="0"/>
  </r>
  <r>
    <s v="CUST0023"/>
    <s v="Oghene Vazquez"/>
    <d v="2025-02-25T00:00:00"/>
    <n v="55"/>
    <x v="3"/>
    <x v="16"/>
    <s v="5G Broadband Router"/>
    <x v="0"/>
    <n v="4"/>
    <s v="Very Good"/>
    <n v="2"/>
    <x v="0"/>
    <x v="18"/>
    <n v="25000"/>
    <n v="13"/>
    <n v="325000"/>
    <n v="25000"/>
    <n v="128.47999999999999"/>
    <x v="1"/>
    <n v="0"/>
    <n v="0"/>
    <n v="0"/>
    <n v="0"/>
  </r>
  <r>
    <s v="CUST0024"/>
    <s v="David Johnson"/>
    <d v="2025-03-25T00:00:00"/>
    <n v="58"/>
    <x v="3"/>
    <x v="17"/>
    <s v="Broadband MiFi"/>
    <x v="0"/>
    <n v="2"/>
    <s v="Fair"/>
    <n v="57"/>
    <x v="2"/>
    <x v="10"/>
    <n v="24000"/>
    <n v="11"/>
    <n v="264000"/>
    <n v="24000"/>
    <n v="87.2"/>
    <x v="1"/>
    <n v="0"/>
    <n v="0"/>
    <n v="0"/>
    <n v="0"/>
  </r>
  <r>
    <s v="CUST0024"/>
    <s v="David Johnson"/>
    <d v="2025-03-25T00:00:00"/>
    <n v="58"/>
    <x v="3"/>
    <x v="17"/>
    <s v="Mobile SIM Card"/>
    <x v="0"/>
    <n v="2"/>
    <s v="Fair"/>
    <n v="57"/>
    <x v="2"/>
    <x v="15"/>
    <n v="7500"/>
    <n v="17"/>
    <n v="127500"/>
    <n v="7500"/>
    <n v="121.44"/>
    <x v="1"/>
    <n v="0"/>
    <n v="0"/>
    <n v="0"/>
    <n v="0"/>
  </r>
  <r>
    <s v="CUST0025"/>
    <s v="Ifeanyi Brown"/>
    <d v="2025-03-25T00:00:00"/>
    <n v="65"/>
    <x v="3"/>
    <x v="18"/>
    <s v="4G Router"/>
    <x v="1"/>
    <n v="1"/>
    <s v="Poor"/>
    <n v="3"/>
    <x v="0"/>
    <x v="9"/>
    <n v="16000"/>
    <n v="11"/>
    <n v="176000"/>
    <n v="16000"/>
    <n v="189.8"/>
    <x v="1"/>
    <n v="0"/>
    <n v="0"/>
    <n v="0"/>
    <n v="0"/>
  </r>
  <r>
    <s v="CUST0025"/>
    <s v="Ifeanyi Brown"/>
    <d v="2025-03-25T00:00:00"/>
    <n v="65"/>
    <x v="3"/>
    <x v="18"/>
    <s v="Mobile SIM Card"/>
    <x v="1"/>
    <n v="1"/>
    <s v="Poor"/>
    <n v="3"/>
    <x v="0"/>
    <x v="7"/>
    <n v="3500"/>
    <n v="4"/>
    <n v="14000"/>
    <n v="3500"/>
    <n v="132.85"/>
    <x v="1"/>
    <n v="0"/>
    <n v="0"/>
    <n v="0"/>
    <n v="0"/>
  </r>
  <r>
    <s v="CUST0025"/>
    <s v="Ifeanyi Brown"/>
    <d v="2025-03-25T00:00:00"/>
    <n v="65"/>
    <x v="3"/>
    <x v="18"/>
    <s v="5G Broadband Router"/>
    <x v="1"/>
    <n v="1"/>
    <s v="Poor"/>
    <n v="3"/>
    <x v="0"/>
    <x v="10"/>
    <n v="24000"/>
    <n v="14"/>
    <n v="336000"/>
    <n v="24000"/>
    <n v="101.67"/>
    <x v="1"/>
    <n v="0"/>
    <n v="0"/>
    <n v="0"/>
    <n v="0"/>
  </r>
  <r>
    <s v="CUST0026"/>
    <s v="Ese Simmons"/>
    <d v="2025-03-25T00:00:00"/>
    <n v="67"/>
    <x v="3"/>
    <x v="14"/>
    <s v="5G Broadband Router"/>
    <x v="0"/>
    <n v="4"/>
    <s v="Very Good"/>
    <n v="13"/>
    <x v="1"/>
    <x v="17"/>
    <n v="75000"/>
    <n v="1"/>
    <n v="75000"/>
    <n v="75000"/>
    <n v="109.81"/>
    <x v="1"/>
    <n v="0"/>
    <n v="0"/>
    <n v="0"/>
    <n v="0"/>
  </r>
  <r>
    <s v="CUST0027"/>
    <s v="Maryam Reyes"/>
    <d v="2025-03-25T00:00:00"/>
    <n v="52"/>
    <x v="4"/>
    <x v="9"/>
    <s v="4G Router"/>
    <x v="1"/>
    <n v="4"/>
    <s v="Very Good"/>
    <n v="51"/>
    <x v="2"/>
    <x v="5"/>
    <n v="4500"/>
    <n v="10"/>
    <n v="45000"/>
    <n v="4500"/>
    <n v="131.94"/>
    <x v="1"/>
    <n v="0"/>
    <n v="0"/>
    <n v="0"/>
    <n v="0"/>
  </r>
  <r>
    <s v="CUST0027"/>
    <s v="Maryam Reyes"/>
    <d v="2025-03-25T00:00:00"/>
    <n v="52"/>
    <x v="4"/>
    <x v="9"/>
    <s v="5G Broadband Router"/>
    <x v="1"/>
    <n v="4"/>
    <s v="Very Good"/>
    <n v="51"/>
    <x v="2"/>
    <x v="18"/>
    <n v="25000"/>
    <n v="8"/>
    <n v="200000"/>
    <n v="25000"/>
    <n v="19.13"/>
    <x v="1"/>
    <n v="0"/>
    <n v="0"/>
    <n v="0"/>
    <n v="0"/>
  </r>
  <r>
    <s v="CUST0027"/>
    <s v="Maryam Reyes"/>
    <d v="2025-03-25T00:00:00"/>
    <n v="52"/>
    <x v="4"/>
    <x v="9"/>
    <s v="Mobile SIM Card"/>
    <x v="1"/>
    <n v="4"/>
    <s v="Very Good"/>
    <n v="51"/>
    <x v="2"/>
    <x v="3"/>
    <n v="500"/>
    <n v="7"/>
    <n v="3500"/>
    <n v="500"/>
    <n v="45.32"/>
    <x v="1"/>
    <n v="0"/>
    <n v="0"/>
    <n v="0"/>
    <n v="0"/>
  </r>
  <r>
    <s v="CUST0028"/>
    <s v="Obinna Sanchez"/>
    <d v="2025-01-25T00:00:00"/>
    <n v="19"/>
    <x v="1"/>
    <x v="19"/>
    <s v="Mobile SIM Card"/>
    <x v="0"/>
    <n v="4"/>
    <s v="Very Good"/>
    <n v="31"/>
    <x v="2"/>
    <x v="5"/>
    <n v="4500"/>
    <n v="5"/>
    <n v="22500"/>
    <n v="4500"/>
    <n v="80.23"/>
    <x v="1"/>
    <n v="0"/>
    <n v="0"/>
    <n v="0"/>
    <n v="0"/>
  </r>
  <r>
    <s v="CUST0028"/>
    <s v="Obinna Sanchez"/>
    <d v="2025-01-25T00:00:00"/>
    <n v="19"/>
    <x v="1"/>
    <x v="19"/>
    <s v="Mobile SIM Card"/>
    <x v="0"/>
    <n v="4"/>
    <s v="Very Good"/>
    <n v="31"/>
    <x v="2"/>
    <x v="16"/>
    <n v="900"/>
    <n v="4"/>
    <n v="3600"/>
    <n v="900"/>
    <n v="178.59"/>
    <x v="1"/>
    <n v="0"/>
    <n v="0"/>
    <n v="0"/>
    <n v="0"/>
  </r>
  <r>
    <s v="CUST0029"/>
    <s v="Boma Franco"/>
    <d v="2025-02-25T00:00:00"/>
    <n v="44"/>
    <x v="2"/>
    <x v="20"/>
    <s v="5G Broadband Router"/>
    <x v="1"/>
    <n v="1"/>
    <s v="Poor"/>
    <n v="4"/>
    <x v="0"/>
    <x v="17"/>
    <n v="75000"/>
    <n v="18"/>
    <n v="1350000"/>
    <n v="75000"/>
    <n v="166.2"/>
    <x v="1"/>
    <n v="0"/>
    <n v="0"/>
    <n v="0"/>
    <n v="0"/>
  </r>
  <r>
    <s v="CUST0029"/>
    <s v="Boma Franco"/>
    <d v="2025-02-25T00:00:00"/>
    <n v="44"/>
    <x v="2"/>
    <x v="20"/>
    <s v="4G Router"/>
    <x v="1"/>
    <n v="1"/>
    <s v="Poor"/>
    <n v="4"/>
    <x v="0"/>
    <x v="0"/>
    <n v="35000"/>
    <n v="16"/>
    <n v="560000"/>
    <n v="35000"/>
    <n v="179.49"/>
    <x v="1"/>
    <n v="0"/>
    <n v="0"/>
    <n v="0"/>
    <n v="0"/>
  </r>
  <r>
    <s v="CUST0030"/>
    <s v="Alabo Davis"/>
    <d v="2025-03-25T00:00:00"/>
    <n v="49"/>
    <x v="4"/>
    <x v="7"/>
    <s v="5G Broadband Router"/>
    <x v="1"/>
    <n v="2"/>
    <s v="Fair"/>
    <n v="50"/>
    <x v="2"/>
    <x v="18"/>
    <n v="25000"/>
    <n v="18"/>
    <n v="450000"/>
    <n v="25000"/>
    <n v="64.28"/>
    <x v="0"/>
    <n v="1"/>
    <n v="0"/>
    <n v="0"/>
    <n v="0"/>
  </r>
  <r>
    <s v="CUST0030"/>
    <s v="Alabo Davis"/>
    <d v="2025-03-25T00:00:00"/>
    <n v="49"/>
    <x v="4"/>
    <x v="7"/>
    <s v="Broadband MiFi"/>
    <x v="1"/>
    <n v="2"/>
    <s v="Fair"/>
    <n v="50"/>
    <x v="2"/>
    <x v="4"/>
    <n v="9000"/>
    <n v="8"/>
    <n v="72000"/>
    <n v="9000"/>
    <n v="28.11"/>
    <x v="0"/>
    <n v="1"/>
    <n v="0"/>
    <n v="0"/>
    <n v="0"/>
  </r>
  <r>
    <s v="CUST0030"/>
    <s v="Alabo Davis"/>
    <d v="2025-03-25T00:00:00"/>
    <n v="49"/>
    <x v="4"/>
    <x v="7"/>
    <s v="4G Router"/>
    <x v="1"/>
    <n v="2"/>
    <s v="Fair"/>
    <n v="50"/>
    <x v="2"/>
    <x v="0"/>
    <n v="35000"/>
    <n v="7"/>
    <n v="245000"/>
    <n v="35000"/>
    <n v="138.94"/>
    <x v="0"/>
    <n v="1"/>
    <n v="0"/>
    <n v="0"/>
    <n v="0"/>
  </r>
  <r>
    <s v="CUST0031"/>
    <s v="Kunle West"/>
    <d v="2025-03-25T00:00:00"/>
    <n v="69"/>
    <x v="3"/>
    <x v="15"/>
    <s v="Mobile SIM Card"/>
    <x v="1"/>
    <n v="4"/>
    <s v="Very Good"/>
    <n v="35"/>
    <x v="2"/>
    <x v="16"/>
    <n v="900"/>
    <n v="19"/>
    <n v="17100"/>
    <n v="900"/>
    <n v="171.42"/>
    <x v="0"/>
    <n v="1"/>
    <n v="0"/>
    <n v="0"/>
    <n v="0"/>
  </r>
  <r>
    <s v="CUST0031"/>
    <s v="Kunle West"/>
    <d v="2025-02-25T00:00:00"/>
    <n v="69"/>
    <x v="3"/>
    <x v="15"/>
    <s v="5G Broadband Router"/>
    <x v="1"/>
    <n v="4"/>
    <s v="Very Good"/>
    <n v="35"/>
    <x v="2"/>
    <x v="17"/>
    <n v="75000"/>
    <n v="12"/>
    <n v="900000"/>
    <n v="75000"/>
    <n v="95.66"/>
    <x v="0"/>
    <n v="1"/>
    <n v="0"/>
    <n v="0"/>
    <n v="0"/>
  </r>
  <r>
    <s v="CUST0032"/>
    <s v="Maryam Terry"/>
    <d v="2025-02-25T00:00:00"/>
    <n v="65"/>
    <x v="3"/>
    <x v="15"/>
    <s v="Mobile SIM Card"/>
    <x v="0"/>
    <n v="3"/>
    <s v="Good"/>
    <n v="32"/>
    <x v="2"/>
    <x v="7"/>
    <n v="3500"/>
    <n v="13"/>
    <n v="45500"/>
    <n v="3500"/>
    <n v="133.94"/>
    <x v="1"/>
    <n v="0"/>
    <n v="0"/>
    <n v="0"/>
    <n v="0"/>
  </r>
  <r>
    <s v="CUST0033"/>
    <s v="Amina Mosley"/>
    <d v="2025-02-25T00:00:00"/>
    <n v="75"/>
    <x v="3"/>
    <x v="21"/>
    <s v="Broadband MiFi"/>
    <x v="0"/>
    <n v="5"/>
    <s v="Excellent"/>
    <n v="59"/>
    <x v="2"/>
    <x v="12"/>
    <n v="14500"/>
    <n v="15"/>
    <n v="217500"/>
    <n v="14500"/>
    <n v="27.57"/>
    <x v="1"/>
    <n v="0"/>
    <n v="0"/>
    <n v="0"/>
    <n v="0"/>
  </r>
  <r>
    <s v="CUST0034"/>
    <s v="Shehu Anderson"/>
    <d v="2025-02-25T00:00:00"/>
    <n v="22"/>
    <x v="1"/>
    <x v="22"/>
    <s v="5G Broadband Router"/>
    <x v="1"/>
    <n v="4"/>
    <s v="Very Good"/>
    <n v="21"/>
    <x v="1"/>
    <x v="10"/>
    <n v="24000"/>
    <n v="16"/>
    <n v="384000"/>
    <n v="24000"/>
    <n v="167.06"/>
    <x v="1"/>
    <n v="0"/>
    <n v="0"/>
    <n v="0"/>
    <n v="0"/>
  </r>
  <r>
    <s v="CUST0034"/>
    <s v="Shehu Anderson"/>
    <d v="2025-02-25T00:00:00"/>
    <n v="22"/>
    <x v="1"/>
    <x v="22"/>
    <s v="Mobile SIM Card"/>
    <x v="1"/>
    <n v="4"/>
    <s v="Very Good"/>
    <n v="21"/>
    <x v="1"/>
    <x v="9"/>
    <n v="16000"/>
    <n v="2"/>
    <n v="32000"/>
    <n v="16000"/>
    <n v="149.93"/>
    <x v="1"/>
    <n v="0"/>
    <n v="0"/>
    <n v="0"/>
    <n v="0"/>
  </r>
  <r>
    <s v="CUST0035"/>
    <s v="Oghene Mcguire"/>
    <d v="2025-01-25T00:00:00"/>
    <n v="44"/>
    <x v="2"/>
    <x v="23"/>
    <s v="4G Router"/>
    <x v="0"/>
    <n v="2"/>
    <s v="Fair"/>
    <n v="49"/>
    <x v="2"/>
    <x v="0"/>
    <n v="35000"/>
    <n v="19"/>
    <n v="665000"/>
    <n v="35000"/>
    <n v="134.06"/>
    <x v="0"/>
    <n v="1"/>
    <n v="0"/>
    <n v="0"/>
    <n v="0"/>
  </r>
  <r>
    <s v="CUST0035"/>
    <s v="Oghene Mcguire"/>
    <d v="2025-01-25T00:00:00"/>
    <n v="44"/>
    <x v="2"/>
    <x v="23"/>
    <s v="Broadband MiFi"/>
    <x v="0"/>
    <n v="2"/>
    <s v="Fair"/>
    <n v="49"/>
    <x v="2"/>
    <x v="2"/>
    <n v="20000"/>
    <n v="9"/>
    <n v="180000"/>
    <n v="20000"/>
    <n v="93.27"/>
    <x v="0"/>
    <n v="1"/>
    <n v="0"/>
    <n v="0"/>
    <n v="0"/>
  </r>
  <r>
    <s v="CUST0035"/>
    <s v="Oghene Mcguire"/>
    <d v="2025-01-25T00:00:00"/>
    <n v="44"/>
    <x v="2"/>
    <x v="23"/>
    <s v="5G Broadband Router"/>
    <x v="0"/>
    <n v="2"/>
    <s v="Fair"/>
    <n v="49"/>
    <x v="2"/>
    <x v="18"/>
    <n v="25000"/>
    <n v="20"/>
    <n v="500000"/>
    <n v="25000"/>
    <n v="33.97"/>
    <x v="0"/>
    <n v="1"/>
    <n v="0"/>
    <n v="0"/>
    <n v="0"/>
  </r>
  <r>
    <s v="CUST0036"/>
    <s v="Ifeanyi Randall"/>
    <d v="2025-01-25T00:00:00"/>
    <n v="36"/>
    <x v="2"/>
    <x v="24"/>
    <s v="Mobile SIM Card"/>
    <x v="0"/>
    <n v="3"/>
    <s v="Good"/>
    <n v="38"/>
    <x v="2"/>
    <x v="13"/>
    <n v="350"/>
    <n v="8"/>
    <n v="2800"/>
    <n v="350"/>
    <n v="15.66"/>
    <x v="1"/>
    <n v="0"/>
    <n v="0"/>
    <n v="0"/>
    <n v="0"/>
  </r>
  <r>
    <s v="CUST0036"/>
    <s v="Ifeanyi Randall"/>
    <d v="2025-01-25T00:00:00"/>
    <n v="36"/>
    <x v="2"/>
    <x v="24"/>
    <s v="5G Broadband Router"/>
    <x v="0"/>
    <n v="3"/>
    <s v="Good"/>
    <n v="38"/>
    <x v="2"/>
    <x v="2"/>
    <n v="20000"/>
    <n v="10"/>
    <n v="200000"/>
    <n v="20000"/>
    <n v="139.59"/>
    <x v="1"/>
    <n v="0"/>
    <n v="0"/>
    <n v="0"/>
    <n v="0"/>
  </r>
  <r>
    <s v="CUST0037"/>
    <s v="Ifeanyi Ruiz"/>
    <d v="2025-03-25T00:00:00"/>
    <n v="21"/>
    <x v="1"/>
    <x v="25"/>
    <s v="Broadband MiFi"/>
    <x v="1"/>
    <n v="1"/>
    <s v="Poor"/>
    <n v="43"/>
    <x v="2"/>
    <x v="12"/>
    <n v="14500"/>
    <n v="12"/>
    <n v="174000"/>
    <n v="14500"/>
    <n v="21.56"/>
    <x v="1"/>
    <n v="0"/>
    <n v="0"/>
    <n v="0"/>
    <n v="0"/>
  </r>
  <r>
    <s v="CUST0037"/>
    <s v="Ifeanyi Ruiz"/>
    <d v="2025-03-25T00:00:00"/>
    <n v="21"/>
    <x v="1"/>
    <x v="25"/>
    <s v="4G Router"/>
    <x v="1"/>
    <n v="1"/>
    <s v="Poor"/>
    <n v="43"/>
    <x v="2"/>
    <x v="0"/>
    <n v="35000"/>
    <n v="14"/>
    <n v="490000"/>
    <n v="35000"/>
    <n v="141.61000000000001"/>
    <x v="1"/>
    <n v="0"/>
    <n v="0"/>
    <n v="0"/>
    <n v="0"/>
  </r>
  <r>
    <s v="CUST0038"/>
    <s v="Shehu Randall"/>
    <d v="2025-02-25T00:00:00"/>
    <n v="50"/>
    <x v="4"/>
    <x v="11"/>
    <s v="Broadband MiFi"/>
    <x v="1"/>
    <n v="5"/>
    <s v="Excellent"/>
    <n v="30"/>
    <x v="2"/>
    <x v="11"/>
    <n v="30000"/>
    <n v="8"/>
    <n v="240000"/>
    <n v="30000"/>
    <n v="176.39"/>
    <x v="0"/>
    <n v="1"/>
    <n v="0"/>
    <n v="0"/>
    <n v="0"/>
  </r>
  <r>
    <s v="CUST0039"/>
    <s v="Zina Green"/>
    <d v="2025-03-25T00:00:00"/>
    <n v="64"/>
    <x v="3"/>
    <x v="26"/>
    <s v="5G Broadband Router"/>
    <x v="0"/>
    <n v="2"/>
    <s v="Fair"/>
    <n v="32"/>
    <x v="2"/>
    <x v="10"/>
    <n v="24000"/>
    <n v="9"/>
    <n v="216000"/>
    <n v="24000"/>
    <n v="176.12"/>
    <x v="1"/>
    <n v="0"/>
    <n v="0"/>
    <n v="0"/>
    <n v="0"/>
  </r>
  <r>
    <s v="CUST0039"/>
    <s v="Zina Green"/>
    <d v="2025-03-25T00:00:00"/>
    <n v="64"/>
    <x v="3"/>
    <x v="26"/>
    <s v="Mobile SIM Card"/>
    <x v="0"/>
    <n v="2"/>
    <s v="Fair"/>
    <n v="32"/>
    <x v="2"/>
    <x v="9"/>
    <n v="16000"/>
    <n v="7"/>
    <n v="112000"/>
    <n v="16000"/>
    <n v="103.57"/>
    <x v="1"/>
    <n v="0"/>
    <n v="0"/>
    <n v="0"/>
    <n v="0"/>
  </r>
  <r>
    <s v="CUST0040"/>
    <s v="Chinedu Ruiz"/>
    <d v="2025-02-25T00:00:00"/>
    <n v="46"/>
    <x v="4"/>
    <x v="15"/>
    <s v="Mobile SIM Card"/>
    <x v="1"/>
    <n v="4"/>
    <s v="Very Good"/>
    <n v="36"/>
    <x v="2"/>
    <x v="14"/>
    <n v="1000"/>
    <n v="13"/>
    <n v="13000"/>
    <n v="1000"/>
    <n v="59.2"/>
    <x v="1"/>
    <n v="0"/>
    <n v="0"/>
    <n v="0"/>
    <n v="0"/>
  </r>
  <r>
    <s v="CUST0040"/>
    <s v="Chinedu Ruiz"/>
    <d v="2025-02-25T00:00:00"/>
    <n v="46"/>
    <x v="4"/>
    <x v="15"/>
    <s v="Broadband MiFi"/>
    <x v="1"/>
    <n v="4"/>
    <s v="Very Good"/>
    <n v="36"/>
    <x v="2"/>
    <x v="2"/>
    <n v="20000"/>
    <n v="19"/>
    <n v="380000"/>
    <n v="20000"/>
    <n v="61.59"/>
    <x v="1"/>
    <n v="0"/>
    <n v="0"/>
    <n v="0"/>
    <n v="0"/>
  </r>
  <r>
    <s v="CUST0041"/>
    <s v="Ejiro Mason"/>
    <d v="2025-03-25T00:00:00"/>
    <n v="76"/>
    <x v="3"/>
    <x v="8"/>
    <s v="5G Broadband Router"/>
    <x v="1"/>
    <n v="3"/>
    <s v="Good"/>
    <n v="28"/>
    <x v="2"/>
    <x v="12"/>
    <n v="14500"/>
    <n v="7"/>
    <n v="101500"/>
    <n v="14500"/>
    <n v="24.57"/>
    <x v="1"/>
    <n v="0"/>
    <n v="0"/>
    <n v="0"/>
    <n v="0"/>
  </r>
  <r>
    <s v="CUST0041"/>
    <s v="Ejiro Mason"/>
    <d v="2025-03-25T00:00:00"/>
    <n v="76"/>
    <x v="3"/>
    <x v="8"/>
    <s v="Mobile SIM Card"/>
    <x v="1"/>
    <n v="3"/>
    <s v="Good"/>
    <n v="28"/>
    <x v="2"/>
    <x v="6"/>
    <n v="9000"/>
    <n v="18"/>
    <n v="162000"/>
    <n v="9000"/>
    <n v="24.35"/>
    <x v="1"/>
    <n v="0"/>
    <n v="0"/>
    <n v="0"/>
    <n v="0"/>
  </r>
  <r>
    <s v="CUST0042"/>
    <s v="Shehu Hoffman"/>
    <d v="2025-03-25T00:00:00"/>
    <n v="40"/>
    <x v="2"/>
    <x v="9"/>
    <s v="4G Router"/>
    <x v="1"/>
    <n v="1"/>
    <s v="Poor"/>
    <n v="18"/>
    <x v="1"/>
    <x v="5"/>
    <n v="4500"/>
    <n v="18"/>
    <n v="81000"/>
    <n v="4500"/>
    <n v="60.8"/>
    <x v="1"/>
    <n v="0"/>
    <n v="0"/>
    <n v="0"/>
    <n v="0"/>
  </r>
  <r>
    <s v="CUST0042"/>
    <s v="Shehu Hoffman"/>
    <d v="2025-03-25T00:00:00"/>
    <n v="40"/>
    <x v="2"/>
    <x v="9"/>
    <s v="Mobile SIM Card"/>
    <x v="1"/>
    <n v="1"/>
    <s v="Poor"/>
    <n v="18"/>
    <x v="1"/>
    <x v="19"/>
    <n v="600"/>
    <n v="2"/>
    <n v="1200"/>
    <n v="600"/>
    <n v="55.23"/>
    <x v="1"/>
    <n v="0"/>
    <n v="0"/>
    <n v="0"/>
    <n v="0"/>
  </r>
  <r>
    <s v="CUST0043"/>
    <s v="Abubakar Johnson"/>
    <d v="2025-01-25T00:00:00"/>
    <n v="32"/>
    <x v="0"/>
    <x v="12"/>
    <s v="5G Broadband Router"/>
    <x v="0"/>
    <n v="5"/>
    <s v="Excellent"/>
    <n v="56"/>
    <x v="2"/>
    <x v="4"/>
    <n v="9000"/>
    <n v="16"/>
    <n v="144000"/>
    <n v="9000"/>
    <n v="50.87"/>
    <x v="0"/>
    <n v="1"/>
    <n v="0"/>
    <n v="0"/>
    <n v="0"/>
  </r>
  <r>
    <s v="CUST0043"/>
    <s v="Abubakar Johnson"/>
    <d v="2025-01-25T00:00:00"/>
    <n v="32"/>
    <x v="0"/>
    <x v="12"/>
    <s v="Broadband MiFi"/>
    <x v="0"/>
    <n v="5"/>
    <s v="Excellent"/>
    <n v="56"/>
    <x v="2"/>
    <x v="4"/>
    <n v="9000"/>
    <n v="13"/>
    <n v="117000"/>
    <n v="9000"/>
    <n v="164.51"/>
    <x v="0"/>
    <n v="1"/>
    <n v="0"/>
    <n v="0"/>
    <n v="0"/>
  </r>
  <r>
    <s v="CUST0044"/>
    <s v="Grace Walker"/>
    <d v="2025-03-25T00:00:00"/>
    <n v="25"/>
    <x v="0"/>
    <x v="4"/>
    <s v="Mobile SIM Card"/>
    <x v="0"/>
    <n v="1"/>
    <s v="Poor"/>
    <n v="10"/>
    <x v="3"/>
    <x v="13"/>
    <n v="350"/>
    <n v="13"/>
    <n v="4550"/>
    <n v="350"/>
    <n v="155.25"/>
    <x v="1"/>
    <n v="0"/>
    <n v="0"/>
    <n v="0"/>
    <n v="0"/>
  </r>
  <r>
    <s v="CUST0045"/>
    <s v="Alabo Thompson"/>
    <d v="2025-01-25T00:00:00"/>
    <n v="72"/>
    <x v="3"/>
    <x v="24"/>
    <s v="4G Router"/>
    <x v="1"/>
    <n v="5"/>
    <s v="Excellent"/>
    <n v="20"/>
    <x v="1"/>
    <x v="5"/>
    <n v="4500"/>
    <n v="3"/>
    <n v="13500"/>
    <n v="4500"/>
    <n v="53.3"/>
    <x v="1"/>
    <n v="0"/>
    <n v="0"/>
    <n v="0"/>
    <n v="0"/>
  </r>
  <r>
    <s v="CUST0046"/>
    <s v="Amina Wright"/>
    <d v="2025-01-25T00:00:00"/>
    <n v="46"/>
    <x v="4"/>
    <x v="20"/>
    <s v="Mobile SIM Card"/>
    <x v="0"/>
    <n v="4"/>
    <s v="Very Good"/>
    <n v="11"/>
    <x v="3"/>
    <x v="13"/>
    <n v="350"/>
    <n v="10"/>
    <n v="3500"/>
    <n v="350"/>
    <n v="57.98"/>
    <x v="1"/>
    <n v="0"/>
    <n v="0"/>
    <n v="0"/>
    <n v="0"/>
  </r>
  <r>
    <s v="CUST0046"/>
    <s v="Amina Wright"/>
    <d v="2025-01-25T00:00:00"/>
    <n v="46"/>
    <x v="4"/>
    <x v="20"/>
    <s v="4G Router"/>
    <x v="0"/>
    <n v="4"/>
    <s v="Very Good"/>
    <n v="11"/>
    <x v="3"/>
    <x v="0"/>
    <n v="35000"/>
    <n v="8"/>
    <n v="280000"/>
    <n v="35000"/>
    <n v="14.7"/>
    <x v="1"/>
    <n v="0"/>
    <n v="0"/>
    <n v="0"/>
    <n v="0"/>
  </r>
  <r>
    <s v="CUST0046"/>
    <s v="Amina Wright"/>
    <d v="2025-01-25T00:00:00"/>
    <n v="46"/>
    <x v="4"/>
    <x v="20"/>
    <s v="Broadband MiFi"/>
    <x v="0"/>
    <n v="4"/>
    <s v="Very Good"/>
    <n v="11"/>
    <x v="3"/>
    <x v="11"/>
    <n v="30000"/>
    <n v="19"/>
    <n v="570000"/>
    <n v="30000"/>
    <n v="157.66999999999999"/>
    <x v="1"/>
    <n v="0"/>
    <n v="0"/>
    <n v="0"/>
    <n v="0"/>
  </r>
  <r>
    <s v="CUST0047"/>
    <s v="Bala Christian"/>
    <d v="2025-02-25T00:00:00"/>
    <n v="70"/>
    <x v="3"/>
    <x v="27"/>
    <s v="Broadband MiFi"/>
    <x v="0"/>
    <n v="3"/>
    <s v="Good"/>
    <n v="42"/>
    <x v="2"/>
    <x v="2"/>
    <n v="20000"/>
    <n v="20"/>
    <n v="400000"/>
    <n v="20000"/>
    <n v="158.63"/>
    <x v="1"/>
    <n v="0"/>
    <n v="0"/>
    <n v="0"/>
    <n v="0"/>
  </r>
  <r>
    <s v="CUST0048"/>
    <s v="Abubakar Gentry"/>
    <d v="2025-03-25T00:00:00"/>
    <n v="72"/>
    <x v="3"/>
    <x v="27"/>
    <s v="Mobile SIM Card"/>
    <x v="1"/>
    <n v="4"/>
    <s v="Very Good"/>
    <n v="45"/>
    <x v="2"/>
    <x v="16"/>
    <n v="900"/>
    <n v="11"/>
    <n v="9900"/>
    <n v="900"/>
    <n v="177.94"/>
    <x v="1"/>
    <n v="0"/>
    <n v="0"/>
    <n v="0"/>
    <n v="0"/>
  </r>
  <r>
    <s v="CUST0048"/>
    <s v="Abubakar Gentry"/>
    <d v="2025-03-25T00:00:00"/>
    <n v="72"/>
    <x v="3"/>
    <x v="27"/>
    <s v="4G Router"/>
    <x v="1"/>
    <n v="4"/>
    <s v="Very Good"/>
    <n v="45"/>
    <x v="2"/>
    <x v="6"/>
    <n v="9000"/>
    <n v="8"/>
    <n v="72000"/>
    <n v="9000"/>
    <n v="5.66"/>
    <x v="1"/>
    <n v="0"/>
    <n v="0"/>
    <n v="0"/>
    <n v="0"/>
  </r>
  <r>
    <s v="CUST0048"/>
    <s v="Abubakar Gentry"/>
    <d v="2025-03-25T00:00:00"/>
    <n v="72"/>
    <x v="3"/>
    <x v="27"/>
    <s v="Broadband MiFi"/>
    <x v="1"/>
    <n v="4"/>
    <s v="Very Good"/>
    <n v="45"/>
    <x v="2"/>
    <x v="10"/>
    <n v="24000"/>
    <n v="1"/>
    <n v="24000"/>
    <n v="24000"/>
    <n v="117.63"/>
    <x v="1"/>
    <n v="0"/>
    <n v="0"/>
    <n v="0"/>
    <n v="0"/>
  </r>
  <r>
    <s v="CUST0049"/>
    <s v="Zainab Taylor"/>
    <d v="2025-02-25T00:00:00"/>
    <n v="21"/>
    <x v="1"/>
    <x v="20"/>
    <s v="Mobile SIM Card"/>
    <x v="1"/>
    <n v="3"/>
    <s v="Good"/>
    <n v="34"/>
    <x v="2"/>
    <x v="1"/>
    <n v="5500"/>
    <n v="11"/>
    <n v="60500"/>
    <n v="5500"/>
    <n v="69.92"/>
    <x v="0"/>
    <n v="1"/>
    <n v="0"/>
    <n v="0"/>
    <n v="0"/>
  </r>
  <r>
    <s v="CUST0049"/>
    <s v="Zainab Taylor"/>
    <d v="2025-02-25T00:00:00"/>
    <n v="21"/>
    <x v="1"/>
    <x v="20"/>
    <s v="Broadband MiFi"/>
    <x v="1"/>
    <n v="3"/>
    <s v="Good"/>
    <n v="34"/>
    <x v="2"/>
    <x v="11"/>
    <n v="30000"/>
    <n v="6"/>
    <n v="180000"/>
    <n v="30000"/>
    <n v="134.19"/>
    <x v="0"/>
    <n v="1"/>
    <n v="0"/>
    <n v="0"/>
    <n v="0"/>
  </r>
  <r>
    <s v="CUST0050"/>
    <s v="Tega Stevens"/>
    <d v="2025-02-25T00:00:00"/>
    <n v="68"/>
    <x v="3"/>
    <x v="12"/>
    <s v="5G Broadband Router"/>
    <x v="1"/>
    <n v="5"/>
    <s v="Excellent"/>
    <n v="43"/>
    <x v="2"/>
    <x v="2"/>
    <n v="20000"/>
    <n v="13"/>
    <n v="260000"/>
    <n v="20000"/>
    <n v="194.05"/>
    <x v="0"/>
    <n v="1"/>
    <n v="0"/>
    <n v="0"/>
    <n v="0"/>
  </r>
  <r>
    <s v="CUST0050"/>
    <s v="Tega Stevens"/>
    <d v="2025-02-25T00:00:00"/>
    <n v="68"/>
    <x v="3"/>
    <x v="12"/>
    <s v="4G Router"/>
    <x v="1"/>
    <n v="5"/>
    <s v="Excellent"/>
    <n v="43"/>
    <x v="2"/>
    <x v="9"/>
    <n v="16000"/>
    <n v="18"/>
    <n v="288000"/>
    <n v="16000"/>
    <n v="131.69999999999999"/>
    <x v="0"/>
    <n v="1"/>
    <n v="0"/>
    <n v="0"/>
    <n v="0"/>
  </r>
  <r>
    <s v="CUST0051"/>
    <s v="Zina Carter"/>
    <d v="2025-03-25T00:00:00"/>
    <n v="68"/>
    <x v="3"/>
    <x v="4"/>
    <s v="Mobile SIM Card"/>
    <x v="0"/>
    <n v="5"/>
    <s v="Excellent"/>
    <n v="34"/>
    <x v="2"/>
    <x v="3"/>
    <n v="500"/>
    <n v="10"/>
    <n v="5000"/>
    <n v="500"/>
    <n v="110.07"/>
    <x v="1"/>
    <n v="0"/>
    <n v="0"/>
    <n v="0"/>
    <n v="0"/>
  </r>
  <r>
    <s v="CUST0051"/>
    <s v="Zina Carter"/>
    <d v="2025-03-25T00:00:00"/>
    <n v="68"/>
    <x v="3"/>
    <x v="4"/>
    <s v="Broadband MiFi"/>
    <x v="0"/>
    <n v="5"/>
    <s v="Excellent"/>
    <n v="34"/>
    <x v="2"/>
    <x v="12"/>
    <n v="14500"/>
    <n v="16"/>
    <n v="232000"/>
    <n v="14500"/>
    <n v="176.23"/>
    <x v="1"/>
    <n v="0"/>
    <n v="0"/>
    <n v="0"/>
    <n v="0"/>
  </r>
  <r>
    <s v="CUST0051"/>
    <s v="Zina Carter"/>
    <d v="2025-03-25T00:00:00"/>
    <n v="68"/>
    <x v="3"/>
    <x v="4"/>
    <s v="5G Broadband Router"/>
    <x v="0"/>
    <n v="5"/>
    <s v="Excellent"/>
    <n v="34"/>
    <x v="2"/>
    <x v="2"/>
    <n v="20000"/>
    <n v="20"/>
    <n v="400000"/>
    <n v="20000"/>
    <n v="6.26"/>
    <x v="1"/>
    <n v="0"/>
    <n v="0"/>
    <n v="0"/>
    <n v="0"/>
  </r>
  <r>
    <s v="CUST0052"/>
    <s v="Halima Johnston"/>
    <d v="2025-02-25T00:00:00"/>
    <n v="36"/>
    <x v="2"/>
    <x v="24"/>
    <s v="Mobile SIM Card"/>
    <x v="0"/>
    <n v="1"/>
    <s v="Poor"/>
    <n v="36"/>
    <x v="2"/>
    <x v="14"/>
    <n v="1000"/>
    <n v="5"/>
    <n v="5000"/>
    <n v="1000"/>
    <n v="129.72"/>
    <x v="0"/>
    <n v="1"/>
    <n v="0"/>
    <n v="0"/>
    <n v="0"/>
  </r>
  <r>
    <s v="CUST0053"/>
    <s v="Grace Christensen"/>
    <d v="2025-02-25T00:00:00"/>
    <n v="53"/>
    <x v="4"/>
    <x v="28"/>
    <s v="Mobile SIM Card"/>
    <x v="1"/>
    <n v="4"/>
    <s v="Very Good"/>
    <n v="27"/>
    <x v="2"/>
    <x v="13"/>
    <n v="350"/>
    <n v="17"/>
    <n v="5950"/>
    <n v="350"/>
    <n v="184.41"/>
    <x v="0"/>
    <n v="1"/>
    <n v="0"/>
    <n v="0"/>
    <n v="0"/>
  </r>
  <r>
    <s v="CUST0054"/>
    <s v="Amaka Potter"/>
    <d v="2025-03-25T00:00:00"/>
    <n v="24"/>
    <x v="1"/>
    <x v="29"/>
    <s v="Mobile SIM Card"/>
    <x v="1"/>
    <n v="1"/>
    <s v="Poor"/>
    <n v="22"/>
    <x v="1"/>
    <x v="20"/>
    <n v="6500"/>
    <n v="11"/>
    <n v="71500"/>
    <n v="6500"/>
    <n v="97.13"/>
    <x v="0"/>
    <n v="1"/>
    <n v="0"/>
    <n v="0"/>
    <n v="0"/>
  </r>
  <r>
    <s v="CUST0054"/>
    <s v="Amaka Potter"/>
    <d v="2025-03-25T00:00:00"/>
    <n v="24"/>
    <x v="1"/>
    <x v="29"/>
    <s v="Broadband MiFi"/>
    <x v="1"/>
    <n v="1"/>
    <s v="Poor"/>
    <n v="22"/>
    <x v="1"/>
    <x v="10"/>
    <n v="24000"/>
    <n v="13"/>
    <n v="312000"/>
    <n v="24000"/>
    <n v="152.69"/>
    <x v="0"/>
    <n v="1"/>
    <n v="0"/>
    <n v="0"/>
    <n v="0"/>
  </r>
  <r>
    <s v="CUST0054"/>
    <s v="Amaka Potter"/>
    <d v="2025-03-25T00:00:00"/>
    <n v="24"/>
    <x v="1"/>
    <x v="29"/>
    <s v="Mobile SIM Card"/>
    <x v="1"/>
    <n v="1"/>
    <s v="Poor"/>
    <n v="22"/>
    <x v="1"/>
    <x v="0"/>
    <n v="35000"/>
    <n v="7"/>
    <n v="245000"/>
    <n v="35000"/>
    <n v="186.6"/>
    <x v="0"/>
    <n v="1"/>
    <n v="0"/>
    <n v="0"/>
    <n v="0"/>
  </r>
  <r>
    <s v="CUST0055"/>
    <s v="Halima Smith"/>
    <d v="2025-03-25T00:00:00"/>
    <n v="65"/>
    <x v="3"/>
    <x v="16"/>
    <s v="Mobile SIM Card"/>
    <x v="1"/>
    <n v="4"/>
    <s v="Very Good"/>
    <n v="3"/>
    <x v="0"/>
    <x v="19"/>
    <n v="600"/>
    <n v="2"/>
    <n v="1200"/>
    <n v="600"/>
    <n v="99.32"/>
    <x v="1"/>
    <n v="0"/>
    <n v="0"/>
    <n v="0"/>
    <n v="0"/>
  </r>
  <r>
    <s v="CUST0055"/>
    <s v="Halima Smith"/>
    <d v="2025-03-25T00:00:00"/>
    <n v="65"/>
    <x v="3"/>
    <x v="16"/>
    <s v="5G Broadband Router"/>
    <x v="1"/>
    <n v="4"/>
    <s v="Very Good"/>
    <n v="3"/>
    <x v="0"/>
    <x v="11"/>
    <n v="30000"/>
    <n v="19"/>
    <n v="570000"/>
    <n v="30000"/>
    <n v="100.71"/>
    <x v="1"/>
    <n v="0"/>
    <n v="0"/>
    <n v="0"/>
    <n v="0"/>
  </r>
  <r>
    <s v="CUST0056"/>
    <s v="Tega Daniels"/>
    <d v="2025-02-25T00:00:00"/>
    <n v="28"/>
    <x v="0"/>
    <x v="30"/>
    <s v="Mobile SIM Card"/>
    <x v="0"/>
    <n v="1"/>
    <s v="Poor"/>
    <n v="34"/>
    <x v="2"/>
    <x v="0"/>
    <n v="35000"/>
    <n v="9"/>
    <n v="315000"/>
    <n v="35000"/>
    <n v="156.41"/>
    <x v="1"/>
    <n v="0"/>
    <n v="0"/>
    <n v="0"/>
    <n v="0"/>
  </r>
  <r>
    <s v="CUST0056"/>
    <s v="Tega Daniels"/>
    <d v="2025-02-25T00:00:00"/>
    <n v="28"/>
    <x v="0"/>
    <x v="30"/>
    <s v="Broadband MiFi"/>
    <x v="0"/>
    <n v="1"/>
    <s v="Poor"/>
    <n v="34"/>
    <x v="2"/>
    <x v="11"/>
    <n v="30000"/>
    <n v="13"/>
    <n v="390000"/>
    <n v="30000"/>
    <n v="124.84"/>
    <x v="1"/>
    <n v="0"/>
    <n v="0"/>
    <n v="0"/>
    <n v="0"/>
  </r>
  <r>
    <s v="CUST0057"/>
    <s v="Chinedu Davis"/>
    <d v="2025-02-25T00:00:00"/>
    <n v="58"/>
    <x v="3"/>
    <x v="11"/>
    <s v="5G Broadband Router"/>
    <x v="1"/>
    <n v="5"/>
    <s v="Excellent"/>
    <n v="21"/>
    <x v="1"/>
    <x v="12"/>
    <n v="14500"/>
    <n v="14"/>
    <n v="203000"/>
    <n v="14500"/>
    <n v="149.47999999999999"/>
    <x v="0"/>
    <n v="1"/>
    <n v="0"/>
    <n v="0"/>
    <n v="0"/>
  </r>
  <r>
    <s v="CUST0058"/>
    <s v="Ngozi Brown"/>
    <d v="2025-03-25T00:00:00"/>
    <n v="28"/>
    <x v="0"/>
    <x v="30"/>
    <s v="5G Broadband Router"/>
    <x v="0"/>
    <n v="1"/>
    <s v="Poor"/>
    <n v="45"/>
    <x v="2"/>
    <x v="18"/>
    <n v="25000"/>
    <n v="5"/>
    <n v="125000"/>
    <n v="25000"/>
    <n v="75.28"/>
    <x v="0"/>
    <n v="1"/>
    <n v="0"/>
    <n v="0"/>
    <n v="0"/>
  </r>
  <r>
    <s v="CUST0059"/>
    <s v="Halima Williams"/>
    <d v="2025-01-25T00:00:00"/>
    <n v="68"/>
    <x v="3"/>
    <x v="20"/>
    <s v="4G Router"/>
    <x v="0"/>
    <n v="5"/>
    <s v="Excellent"/>
    <n v="12"/>
    <x v="3"/>
    <x v="5"/>
    <n v="4500"/>
    <n v="9"/>
    <n v="40500"/>
    <n v="4500"/>
    <n v="92.5"/>
    <x v="1"/>
    <n v="0"/>
    <n v="0"/>
    <n v="0"/>
    <n v="0"/>
  </r>
  <r>
    <s v="CUST0059"/>
    <s v="Halima Williams"/>
    <d v="2025-01-25T00:00:00"/>
    <n v="68"/>
    <x v="3"/>
    <x v="20"/>
    <s v="Mobile SIM Card"/>
    <x v="0"/>
    <n v="5"/>
    <s v="Excellent"/>
    <n v="12"/>
    <x v="3"/>
    <x v="1"/>
    <n v="5500"/>
    <n v="1"/>
    <n v="5500"/>
    <n v="5500"/>
    <n v="51.44"/>
    <x v="1"/>
    <n v="0"/>
    <n v="0"/>
    <n v="0"/>
    <n v="0"/>
  </r>
  <r>
    <s v="CUST0059"/>
    <s v="Halima Williams"/>
    <d v="2025-01-25T00:00:00"/>
    <n v="68"/>
    <x v="3"/>
    <x v="20"/>
    <s v="Broadband MiFi"/>
    <x v="0"/>
    <n v="5"/>
    <s v="Excellent"/>
    <n v="12"/>
    <x v="3"/>
    <x v="12"/>
    <n v="14500"/>
    <n v="18"/>
    <n v="261000"/>
    <n v="14500"/>
    <n v="180.29"/>
    <x v="1"/>
    <n v="0"/>
    <n v="0"/>
    <n v="0"/>
    <n v="0"/>
  </r>
  <r>
    <s v="CUST0060"/>
    <s v="Amina Payne"/>
    <d v="2025-03-25T00:00:00"/>
    <n v="25"/>
    <x v="0"/>
    <x v="30"/>
    <s v="5G Broadband Router"/>
    <x v="1"/>
    <n v="4"/>
    <s v="Very Good"/>
    <n v="38"/>
    <x v="2"/>
    <x v="17"/>
    <n v="75000"/>
    <n v="4"/>
    <n v="300000"/>
    <n v="75000"/>
    <n v="170.74"/>
    <x v="1"/>
    <n v="0"/>
    <n v="0"/>
    <n v="0"/>
    <n v="0"/>
  </r>
  <r>
    <s v="CUST0060"/>
    <s v="Amina Payne"/>
    <d v="2025-03-25T00:00:00"/>
    <n v="25"/>
    <x v="0"/>
    <x v="30"/>
    <s v="Broadband MiFi"/>
    <x v="1"/>
    <n v="4"/>
    <s v="Very Good"/>
    <n v="38"/>
    <x v="2"/>
    <x v="2"/>
    <n v="20000"/>
    <n v="12"/>
    <n v="240000"/>
    <n v="20000"/>
    <n v="76.58"/>
    <x v="1"/>
    <n v="0"/>
    <n v="0"/>
    <n v="0"/>
    <n v="0"/>
  </r>
  <r>
    <s v="CUST0061"/>
    <s v="Abubakar Ewing"/>
    <d v="2025-01-25T00:00:00"/>
    <n v="53"/>
    <x v="4"/>
    <x v="17"/>
    <s v="Broadband MiFi"/>
    <x v="1"/>
    <n v="5"/>
    <s v="Excellent"/>
    <n v="18"/>
    <x v="1"/>
    <x v="11"/>
    <n v="30000"/>
    <n v="8"/>
    <n v="240000"/>
    <n v="30000"/>
    <n v="155.26"/>
    <x v="1"/>
    <n v="0"/>
    <n v="0"/>
    <n v="0"/>
    <n v="0"/>
  </r>
  <r>
    <s v="CUST0061"/>
    <s v="Abubakar Ewing"/>
    <d v="2025-01-25T00:00:00"/>
    <n v="53"/>
    <x v="4"/>
    <x v="17"/>
    <s v="5G Broadband Router"/>
    <x v="1"/>
    <n v="5"/>
    <s v="Excellent"/>
    <n v="18"/>
    <x v="1"/>
    <x v="18"/>
    <n v="25000"/>
    <n v="7"/>
    <n v="175000"/>
    <n v="25000"/>
    <n v="44.19"/>
    <x v="1"/>
    <n v="0"/>
    <n v="0"/>
    <n v="0"/>
    <n v="0"/>
  </r>
  <r>
    <s v="CUST0061"/>
    <s v="Abubakar Ewing"/>
    <d v="2025-01-25T00:00:00"/>
    <n v="53"/>
    <x v="4"/>
    <x v="17"/>
    <s v="4G Router"/>
    <x v="1"/>
    <n v="5"/>
    <s v="Excellent"/>
    <n v="18"/>
    <x v="1"/>
    <x v="6"/>
    <n v="9000"/>
    <n v="5"/>
    <n v="45000"/>
    <n v="9000"/>
    <n v="135.71"/>
    <x v="1"/>
    <n v="0"/>
    <n v="0"/>
    <n v="0"/>
    <n v="0"/>
  </r>
  <r>
    <s v="CUST0062"/>
    <s v="Ngozi Henson"/>
    <d v="2025-03-25T00:00:00"/>
    <n v="21"/>
    <x v="1"/>
    <x v="24"/>
    <s v="Mobile SIM Card"/>
    <x v="1"/>
    <n v="2"/>
    <s v="Fair"/>
    <n v="3"/>
    <x v="0"/>
    <x v="13"/>
    <n v="350"/>
    <n v="18"/>
    <n v="6300"/>
    <n v="350"/>
    <n v="26.87"/>
    <x v="0"/>
    <n v="1"/>
    <n v="0"/>
    <n v="0"/>
    <n v="0"/>
  </r>
  <r>
    <s v="CUST0062"/>
    <s v="Ngozi Henson"/>
    <d v="2025-03-25T00:00:00"/>
    <n v="21"/>
    <x v="1"/>
    <x v="24"/>
    <s v="Broadband MiFi"/>
    <x v="1"/>
    <n v="2"/>
    <s v="Fair"/>
    <n v="3"/>
    <x v="0"/>
    <x v="11"/>
    <n v="30000"/>
    <n v="9"/>
    <n v="270000"/>
    <n v="30000"/>
    <n v="106.41"/>
    <x v="0"/>
    <n v="1"/>
    <n v="0"/>
    <n v="0"/>
    <n v="0"/>
  </r>
  <r>
    <s v="CUST0063"/>
    <s v="Amina Flores"/>
    <d v="2025-03-25T00:00:00"/>
    <n v="48"/>
    <x v="4"/>
    <x v="31"/>
    <s v="4G Router"/>
    <x v="1"/>
    <n v="1"/>
    <s v="Poor"/>
    <n v="48"/>
    <x v="2"/>
    <x v="5"/>
    <n v="4500"/>
    <n v="13"/>
    <n v="58500"/>
    <n v="4500"/>
    <n v="172.1"/>
    <x v="1"/>
    <n v="0"/>
    <n v="0"/>
    <n v="0"/>
    <n v="0"/>
  </r>
  <r>
    <s v="CUST0064"/>
    <s v="Ejiro Ford"/>
    <d v="2025-01-25T00:00:00"/>
    <n v="27"/>
    <x v="0"/>
    <x v="10"/>
    <s v="5G Broadband Router"/>
    <x v="0"/>
    <n v="4"/>
    <s v="Very Good"/>
    <n v="17"/>
    <x v="1"/>
    <x v="18"/>
    <n v="25000"/>
    <n v="8"/>
    <n v="200000"/>
    <n v="25000"/>
    <n v="22.12"/>
    <x v="1"/>
    <n v="0"/>
    <n v="0"/>
    <n v="0"/>
    <n v="0"/>
  </r>
  <r>
    <s v="CUST0064"/>
    <s v="Ejiro Ford"/>
    <d v="2025-01-25T00:00:00"/>
    <n v="27"/>
    <x v="0"/>
    <x v="10"/>
    <s v="Mobile SIM Card"/>
    <x v="0"/>
    <n v="4"/>
    <s v="Very Good"/>
    <n v="17"/>
    <x v="1"/>
    <x v="1"/>
    <n v="5500"/>
    <n v="18"/>
    <n v="99000"/>
    <n v="5500"/>
    <n v="5.49"/>
    <x v="1"/>
    <n v="0"/>
    <n v="0"/>
    <n v="0"/>
    <n v="0"/>
  </r>
  <r>
    <s v="CUST0064"/>
    <s v="Ejiro Ford"/>
    <d v="2025-01-25T00:00:00"/>
    <n v="27"/>
    <x v="0"/>
    <x v="10"/>
    <s v="4G Router"/>
    <x v="0"/>
    <n v="4"/>
    <s v="Very Good"/>
    <n v="17"/>
    <x v="1"/>
    <x v="6"/>
    <n v="9000"/>
    <n v="8"/>
    <n v="72000"/>
    <n v="9000"/>
    <n v="183.09"/>
    <x v="1"/>
    <n v="0"/>
    <n v="0"/>
    <n v="0"/>
    <n v="0"/>
  </r>
  <r>
    <s v="CUST0065"/>
    <s v="Kunle Shaw"/>
    <d v="2025-02-25T00:00:00"/>
    <n v="75"/>
    <x v="3"/>
    <x v="24"/>
    <s v="Mobile SIM Card"/>
    <x v="1"/>
    <n v="1"/>
    <s v="Poor"/>
    <n v="8"/>
    <x v="3"/>
    <x v="14"/>
    <n v="1000"/>
    <n v="18"/>
    <n v="18000"/>
    <n v="1000"/>
    <n v="47.34"/>
    <x v="1"/>
    <n v="0"/>
    <n v="0"/>
    <n v="0"/>
    <n v="0"/>
  </r>
  <r>
    <s v="CUST0065"/>
    <s v="Kunle Shaw"/>
    <d v="2025-02-25T00:00:00"/>
    <n v="75"/>
    <x v="3"/>
    <x v="24"/>
    <s v="Broadband MiFi"/>
    <x v="1"/>
    <n v="1"/>
    <s v="Poor"/>
    <n v="8"/>
    <x v="3"/>
    <x v="2"/>
    <n v="20000"/>
    <n v="12"/>
    <n v="240000"/>
    <n v="20000"/>
    <n v="78.03"/>
    <x v="1"/>
    <n v="0"/>
    <n v="0"/>
    <n v="0"/>
    <n v="0"/>
  </r>
  <r>
    <s v="CUST0066"/>
    <s v="David Schneider"/>
    <d v="2025-01-25T00:00:00"/>
    <n v="69"/>
    <x v="3"/>
    <x v="5"/>
    <s v="Broadband MiFi"/>
    <x v="1"/>
    <n v="4"/>
    <s v="Very Good"/>
    <n v="42"/>
    <x v="2"/>
    <x v="11"/>
    <n v="30000"/>
    <n v="15"/>
    <n v="450000"/>
    <n v="30000"/>
    <n v="43.85"/>
    <x v="1"/>
    <n v="0"/>
    <n v="0"/>
    <n v="0"/>
    <n v="0"/>
  </r>
  <r>
    <s v="CUST0066"/>
    <s v="David Schneider"/>
    <d v="2025-01-25T00:00:00"/>
    <n v="69"/>
    <x v="3"/>
    <x v="5"/>
    <s v="5G Broadband Router"/>
    <x v="1"/>
    <n v="4"/>
    <s v="Very Good"/>
    <n v="42"/>
    <x v="2"/>
    <x v="12"/>
    <n v="14500"/>
    <n v="4"/>
    <n v="58000"/>
    <n v="14500"/>
    <n v="171.16"/>
    <x v="1"/>
    <n v="0"/>
    <n v="0"/>
    <n v="0"/>
    <n v="0"/>
  </r>
  <r>
    <s v="CUST0067"/>
    <s v="Ejiro Smith"/>
    <d v="2025-02-25T00:00:00"/>
    <n v="61"/>
    <x v="3"/>
    <x v="4"/>
    <s v="Broadband MiFi"/>
    <x v="1"/>
    <n v="1"/>
    <s v="Poor"/>
    <n v="18"/>
    <x v="1"/>
    <x v="2"/>
    <n v="20000"/>
    <n v="20"/>
    <n v="400000"/>
    <n v="20000"/>
    <n v="128.52000000000001"/>
    <x v="1"/>
    <n v="0"/>
    <n v="0"/>
    <n v="0"/>
    <n v="0"/>
  </r>
  <r>
    <s v="CUST0067"/>
    <s v="Ejiro Smith"/>
    <d v="2025-02-25T00:00:00"/>
    <n v="61"/>
    <x v="3"/>
    <x v="4"/>
    <s v="5G Broadband Router"/>
    <x v="1"/>
    <n v="1"/>
    <s v="Poor"/>
    <n v="18"/>
    <x v="1"/>
    <x v="4"/>
    <n v="9000"/>
    <n v="11"/>
    <n v="99000"/>
    <n v="9000"/>
    <n v="10.59"/>
    <x v="1"/>
    <n v="0"/>
    <n v="0"/>
    <n v="0"/>
    <n v="0"/>
  </r>
  <r>
    <s v="CUST0068"/>
    <s v="Halima Anderson"/>
    <d v="2025-02-25T00:00:00"/>
    <n v="32"/>
    <x v="0"/>
    <x v="9"/>
    <s v="5G Broadband Router"/>
    <x v="0"/>
    <n v="5"/>
    <s v="Excellent"/>
    <n v="54"/>
    <x v="2"/>
    <x v="11"/>
    <n v="30000"/>
    <n v="20"/>
    <n v="600000"/>
    <n v="30000"/>
    <n v="157.83000000000001"/>
    <x v="0"/>
    <n v="1"/>
    <n v="0"/>
    <n v="0"/>
    <n v="0"/>
  </r>
  <r>
    <s v="CUST0069"/>
    <s v="Tunde Oliver"/>
    <d v="2025-03-25T00:00:00"/>
    <n v="51"/>
    <x v="4"/>
    <x v="5"/>
    <s v="4G Router"/>
    <x v="0"/>
    <n v="2"/>
    <s v="Fair"/>
    <n v="35"/>
    <x v="2"/>
    <x v="9"/>
    <n v="16000"/>
    <n v="8"/>
    <n v="128000"/>
    <n v="16000"/>
    <n v="71.97"/>
    <x v="0"/>
    <n v="1"/>
    <n v="0"/>
    <n v="0"/>
    <n v="0"/>
  </r>
  <r>
    <s v="CUST0070"/>
    <s v="Ese Obrien"/>
    <d v="2025-02-25T00:00:00"/>
    <n v="18"/>
    <x v="1"/>
    <x v="20"/>
    <s v="4G Router"/>
    <x v="1"/>
    <n v="4"/>
    <s v="Very Good"/>
    <n v="4"/>
    <x v="0"/>
    <x v="5"/>
    <n v="4500"/>
    <n v="4"/>
    <n v="18000"/>
    <n v="4500"/>
    <n v="102.89"/>
    <x v="1"/>
    <n v="0"/>
    <n v="0"/>
    <n v="0"/>
    <n v="0"/>
  </r>
  <r>
    <s v="CUST0071"/>
    <s v="Alabo Keith"/>
    <d v="2025-03-25T00:00:00"/>
    <n v="80"/>
    <x v="3"/>
    <x v="16"/>
    <s v="Broadband MiFi"/>
    <x v="0"/>
    <n v="4"/>
    <s v="Very Good"/>
    <n v="47"/>
    <x v="2"/>
    <x v="12"/>
    <n v="14500"/>
    <n v="14"/>
    <n v="203000"/>
    <n v="14500"/>
    <n v="169.54"/>
    <x v="1"/>
    <n v="0"/>
    <n v="0"/>
    <n v="0"/>
    <n v="0"/>
  </r>
  <r>
    <s v="CUST0072"/>
    <s v="Ngozi Hernandez"/>
    <d v="2025-01-25T00:00:00"/>
    <n v="78"/>
    <x v="3"/>
    <x v="30"/>
    <s v="4G Router"/>
    <x v="0"/>
    <n v="3"/>
    <s v="Good"/>
    <n v="58"/>
    <x v="2"/>
    <x v="6"/>
    <n v="9000"/>
    <n v="19"/>
    <n v="171000"/>
    <n v="9000"/>
    <n v="125.05"/>
    <x v="1"/>
    <n v="0"/>
    <n v="0"/>
    <n v="0"/>
    <n v="0"/>
  </r>
  <r>
    <s v="CUST0073"/>
    <s v="Ese Flowers"/>
    <d v="2025-02-25T00:00:00"/>
    <n v="64"/>
    <x v="3"/>
    <x v="8"/>
    <s v="Mobile SIM Card"/>
    <x v="1"/>
    <n v="1"/>
    <s v="Poor"/>
    <n v="30"/>
    <x v="2"/>
    <x v="0"/>
    <n v="35000"/>
    <n v="8"/>
    <n v="280000"/>
    <n v="35000"/>
    <n v="90.59"/>
    <x v="1"/>
    <n v="0"/>
    <n v="0"/>
    <n v="0"/>
    <n v="0"/>
  </r>
  <r>
    <s v="CUST0074"/>
    <s v="Ibim Marshall"/>
    <d v="2025-01-25T00:00:00"/>
    <n v="59"/>
    <x v="3"/>
    <x v="2"/>
    <s v="5G Broadband Router"/>
    <x v="1"/>
    <n v="3"/>
    <s v="Good"/>
    <n v="27"/>
    <x v="2"/>
    <x v="8"/>
    <n v="150000"/>
    <n v="3"/>
    <n v="450000"/>
    <n v="150000"/>
    <n v="13.89"/>
    <x v="1"/>
    <n v="0"/>
    <n v="0"/>
    <n v="0"/>
    <n v="0"/>
  </r>
  <r>
    <s v="CUST0074"/>
    <s v="Ibim Marshall"/>
    <d v="2025-01-25T00:00:00"/>
    <n v="59"/>
    <x v="3"/>
    <x v="2"/>
    <s v="4G Router"/>
    <x v="1"/>
    <n v="3"/>
    <s v="Good"/>
    <n v="27"/>
    <x v="2"/>
    <x v="9"/>
    <n v="16000"/>
    <n v="12"/>
    <n v="192000"/>
    <n v="16000"/>
    <n v="86.66"/>
    <x v="1"/>
    <n v="0"/>
    <n v="0"/>
    <n v="0"/>
    <n v="0"/>
  </r>
  <r>
    <s v="CUST0074"/>
    <s v="Ibim Marshall"/>
    <d v="2025-01-25T00:00:00"/>
    <n v="59"/>
    <x v="3"/>
    <x v="2"/>
    <s v="Broadband MiFi"/>
    <x v="1"/>
    <n v="3"/>
    <s v="Good"/>
    <n v="27"/>
    <x v="2"/>
    <x v="2"/>
    <n v="20000"/>
    <n v="19"/>
    <n v="380000"/>
    <n v="20000"/>
    <n v="111.5"/>
    <x v="1"/>
    <n v="0"/>
    <n v="0"/>
    <n v="0"/>
    <n v="0"/>
  </r>
  <r>
    <s v="CUST0075"/>
    <s v="Tega Medina"/>
    <d v="2025-02-25T00:00:00"/>
    <n v="31"/>
    <x v="0"/>
    <x v="15"/>
    <s v="5G Broadband Router"/>
    <x v="1"/>
    <n v="1"/>
    <s v="Poor"/>
    <n v="56"/>
    <x v="2"/>
    <x v="12"/>
    <n v="14500"/>
    <n v="16"/>
    <n v="232000"/>
    <n v="14500"/>
    <n v="31.37"/>
    <x v="1"/>
    <n v="0"/>
    <n v="0"/>
    <n v="0"/>
    <n v="0"/>
  </r>
  <r>
    <s v="CUST0075"/>
    <s v="Tega Medina"/>
    <d v="2025-02-25T00:00:00"/>
    <n v="31"/>
    <x v="0"/>
    <x v="15"/>
    <s v="4G Router"/>
    <x v="1"/>
    <n v="1"/>
    <s v="Poor"/>
    <n v="56"/>
    <x v="2"/>
    <x v="5"/>
    <n v="4500"/>
    <n v="12"/>
    <n v="54000"/>
    <n v="4500"/>
    <n v="169.53"/>
    <x v="1"/>
    <n v="0"/>
    <n v="0"/>
    <n v="0"/>
    <n v="0"/>
  </r>
  <r>
    <s v="CUST0075"/>
    <s v="Tega Medina"/>
    <d v="2025-02-25T00:00:00"/>
    <n v="31"/>
    <x v="0"/>
    <x v="15"/>
    <s v="Broadband MiFi"/>
    <x v="1"/>
    <n v="1"/>
    <s v="Poor"/>
    <n v="56"/>
    <x v="2"/>
    <x v="10"/>
    <n v="24000"/>
    <n v="9"/>
    <n v="216000"/>
    <n v="24000"/>
    <n v="73.83"/>
    <x v="1"/>
    <n v="0"/>
    <n v="0"/>
    <n v="0"/>
    <n v="0"/>
  </r>
  <r>
    <s v="CUST0076"/>
    <s v="Nura Mcneil"/>
    <d v="2025-02-25T00:00:00"/>
    <n v="70"/>
    <x v="3"/>
    <x v="17"/>
    <s v="5G Broadband Router"/>
    <x v="1"/>
    <n v="3"/>
    <s v="Good"/>
    <n v="2"/>
    <x v="0"/>
    <x v="4"/>
    <n v="9000"/>
    <n v="5"/>
    <n v="45000"/>
    <n v="9000"/>
    <n v="36.69"/>
    <x v="1"/>
    <n v="0"/>
    <n v="0"/>
    <n v="0"/>
    <n v="0"/>
  </r>
  <r>
    <s v="CUST0076"/>
    <s v="Nura Mcneil"/>
    <d v="2025-02-25T00:00:00"/>
    <n v="70"/>
    <x v="3"/>
    <x v="17"/>
    <s v="4G Router"/>
    <x v="1"/>
    <n v="3"/>
    <s v="Good"/>
    <n v="2"/>
    <x v="0"/>
    <x v="0"/>
    <n v="35000"/>
    <n v="1"/>
    <n v="35000"/>
    <n v="35000"/>
    <n v="14.38"/>
    <x v="1"/>
    <n v="0"/>
    <n v="0"/>
    <n v="0"/>
    <n v="0"/>
  </r>
  <r>
    <s v="CUST0077"/>
    <s v="Chinedu Pitts"/>
    <d v="2025-03-25T00:00:00"/>
    <n v="43"/>
    <x v="2"/>
    <x v="6"/>
    <s v="5G Broadband Router"/>
    <x v="1"/>
    <n v="2"/>
    <s v="Fair"/>
    <n v="30"/>
    <x v="2"/>
    <x v="4"/>
    <n v="9000"/>
    <n v="20"/>
    <n v="180000"/>
    <n v="9000"/>
    <n v="31.54"/>
    <x v="1"/>
    <n v="0"/>
    <n v="0"/>
    <n v="0"/>
    <n v="0"/>
  </r>
  <r>
    <s v="CUST0077"/>
    <s v="Chinedu Pitts"/>
    <d v="2025-03-25T00:00:00"/>
    <n v="43"/>
    <x v="2"/>
    <x v="6"/>
    <s v="Mobile SIM Card"/>
    <x v="1"/>
    <n v="2"/>
    <s v="Fair"/>
    <n v="30"/>
    <x v="2"/>
    <x v="16"/>
    <n v="900"/>
    <n v="9"/>
    <n v="8100"/>
    <n v="900"/>
    <n v="134.96"/>
    <x v="1"/>
    <n v="0"/>
    <n v="0"/>
    <n v="0"/>
    <n v="0"/>
  </r>
  <r>
    <s v="CUST0077"/>
    <s v="Chinedu Pitts"/>
    <d v="2025-03-25T00:00:00"/>
    <n v="43"/>
    <x v="2"/>
    <x v="6"/>
    <s v="Broadband MiFi"/>
    <x v="1"/>
    <n v="2"/>
    <s v="Fair"/>
    <n v="30"/>
    <x v="2"/>
    <x v="12"/>
    <n v="14500"/>
    <n v="16"/>
    <n v="232000"/>
    <n v="14500"/>
    <n v="132.56"/>
    <x v="1"/>
    <n v="0"/>
    <n v="0"/>
    <n v="0"/>
    <n v="0"/>
  </r>
  <r>
    <s v="CUST0078"/>
    <s v="Alabo Kelly"/>
    <d v="2025-01-25T00:00:00"/>
    <n v="69"/>
    <x v="3"/>
    <x v="29"/>
    <s v="Mobile SIM Card"/>
    <x v="0"/>
    <n v="3"/>
    <s v="Good"/>
    <n v="49"/>
    <x v="2"/>
    <x v="3"/>
    <n v="500"/>
    <n v="13"/>
    <n v="6500"/>
    <n v="500"/>
    <n v="9.56"/>
    <x v="1"/>
    <n v="0"/>
    <n v="0"/>
    <n v="0"/>
    <n v="0"/>
  </r>
  <r>
    <s v="CUST0078"/>
    <s v="Alabo Kelly"/>
    <d v="2025-01-25T00:00:00"/>
    <n v="69"/>
    <x v="3"/>
    <x v="29"/>
    <s v="5G Broadband Router"/>
    <x v="0"/>
    <n v="3"/>
    <s v="Good"/>
    <n v="49"/>
    <x v="2"/>
    <x v="4"/>
    <n v="9000"/>
    <n v="10"/>
    <n v="90000"/>
    <n v="9000"/>
    <n v="2.0299999999999998"/>
    <x v="1"/>
    <n v="0"/>
    <n v="0"/>
    <n v="0"/>
    <n v="0"/>
  </r>
  <r>
    <s v="CUST0079"/>
    <s v="Fatima Pennington"/>
    <d v="2025-01-25T00:00:00"/>
    <n v="33"/>
    <x v="0"/>
    <x v="22"/>
    <s v="Mobile SIM Card"/>
    <x v="1"/>
    <n v="1"/>
    <s v="Poor"/>
    <n v="21"/>
    <x v="1"/>
    <x v="0"/>
    <n v="35000"/>
    <n v="8"/>
    <n v="280000"/>
    <n v="35000"/>
    <n v="106.75"/>
    <x v="1"/>
    <n v="0"/>
    <n v="0"/>
    <n v="0"/>
    <n v="0"/>
  </r>
  <r>
    <s v="CUST0079"/>
    <s v="Fatima Pennington"/>
    <d v="2025-01-25T00:00:00"/>
    <n v="33"/>
    <x v="0"/>
    <x v="22"/>
    <s v="Broadband MiFi"/>
    <x v="1"/>
    <n v="1"/>
    <s v="Poor"/>
    <n v="21"/>
    <x v="1"/>
    <x v="10"/>
    <n v="24000"/>
    <n v="12"/>
    <n v="288000"/>
    <n v="24000"/>
    <n v="111.97"/>
    <x v="1"/>
    <n v="0"/>
    <n v="0"/>
    <n v="0"/>
    <n v="0"/>
  </r>
  <r>
    <s v="CUST0080"/>
    <s v="Kunle Williams"/>
    <d v="2025-02-25T00:00:00"/>
    <n v="66"/>
    <x v="3"/>
    <x v="19"/>
    <s v="Mobile SIM Card"/>
    <x v="1"/>
    <n v="1"/>
    <s v="Poor"/>
    <n v="2"/>
    <x v="0"/>
    <x v="15"/>
    <n v="7500"/>
    <n v="13"/>
    <n v="97500"/>
    <n v="7500"/>
    <n v="58.26"/>
    <x v="1"/>
    <n v="0"/>
    <n v="0"/>
    <n v="0"/>
    <n v="0"/>
  </r>
  <r>
    <s v="CUST0080"/>
    <s v="Kunle Williams"/>
    <d v="2025-02-25T00:00:00"/>
    <n v="66"/>
    <x v="3"/>
    <x v="19"/>
    <s v="5G Broadband Router"/>
    <x v="1"/>
    <n v="1"/>
    <s v="Poor"/>
    <n v="2"/>
    <x v="0"/>
    <x v="4"/>
    <n v="9000"/>
    <n v="6"/>
    <n v="54000"/>
    <n v="9000"/>
    <n v="193.26"/>
    <x v="1"/>
    <n v="0"/>
    <n v="0"/>
    <n v="0"/>
    <n v="0"/>
  </r>
  <r>
    <s v="CUST0080"/>
    <s v="Kunle Williams"/>
    <d v="2025-02-25T00:00:00"/>
    <n v="66"/>
    <x v="3"/>
    <x v="19"/>
    <s v="4G Router"/>
    <x v="1"/>
    <n v="1"/>
    <s v="Poor"/>
    <n v="2"/>
    <x v="0"/>
    <x v="0"/>
    <n v="35000"/>
    <n v="12"/>
    <n v="420000"/>
    <n v="35000"/>
    <n v="166.49"/>
    <x v="1"/>
    <n v="0"/>
    <n v="0"/>
    <n v="0"/>
    <n v="0"/>
  </r>
  <r>
    <s v="CUST0081"/>
    <s v="Chinedu Ortiz"/>
    <d v="2025-02-25T00:00:00"/>
    <n v="71"/>
    <x v="3"/>
    <x v="13"/>
    <s v="5G Broadband Router"/>
    <x v="0"/>
    <n v="5"/>
    <s v="Excellent"/>
    <n v="28"/>
    <x v="2"/>
    <x v="18"/>
    <n v="25000"/>
    <n v="3"/>
    <n v="75000"/>
    <n v="25000"/>
    <n v="155.93"/>
    <x v="0"/>
    <n v="1"/>
    <n v="0"/>
    <n v="0"/>
    <n v="0"/>
  </r>
  <r>
    <s v="CUST0081"/>
    <s v="Chinedu Ortiz"/>
    <d v="2025-02-25T00:00:00"/>
    <n v="71"/>
    <x v="3"/>
    <x v="13"/>
    <s v="Broadband MiFi"/>
    <x v="0"/>
    <n v="5"/>
    <s v="Excellent"/>
    <n v="28"/>
    <x v="2"/>
    <x v="10"/>
    <n v="24000"/>
    <n v="17"/>
    <n v="408000"/>
    <n v="24000"/>
    <n v="126.83"/>
    <x v="0"/>
    <n v="1"/>
    <n v="0"/>
    <n v="0"/>
    <n v="0"/>
  </r>
  <r>
    <s v="CUST0082"/>
    <s v="Michael Ortiz"/>
    <d v="2025-02-25T00:00:00"/>
    <n v="40"/>
    <x v="2"/>
    <x v="25"/>
    <s v="4G Router"/>
    <x v="1"/>
    <n v="2"/>
    <s v="Fair"/>
    <n v="47"/>
    <x v="2"/>
    <x v="5"/>
    <n v="4500"/>
    <n v="3"/>
    <n v="13500"/>
    <n v="4500"/>
    <n v="152.16"/>
    <x v="0"/>
    <n v="1"/>
    <n v="0"/>
    <n v="0"/>
    <n v="0"/>
  </r>
  <r>
    <s v="CUST0083"/>
    <s v="Shehu Holt"/>
    <d v="2025-03-25T00:00:00"/>
    <n v="79"/>
    <x v="3"/>
    <x v="2"/>
    <s v="Mobile SIM Card"/>
    <x v="1"/>
    <n v="3"/>
    <s v="Good"/>
    <n v="44"/>
    <x v="2"/>
    <x v="3"/>
    <n v="500"/>
    <n v="19"/>
    <n v="9500"/>
    <n v="500"/>
    <n v="159.37"/>
    <x v="0"/>
    <n v="1"/>
    <n v="0"/>
    <n v="0"/>
    <n v="0"/>
  </r>
  <r>
    <s v="CUST0083"/>
    <s v="Shehu Holt"/>
    <d v="2025-03-25T00:00:00"/>
    <n v="79"/>
    <x v="3"/>
    <x v="2"/>
    <s v="5G Broadband Router"/>
    <x v="1"/>
    <n v="3"/>
    <s v="Good"/>
    <n v="44"/>
    <x v="2"/>
    <x v="4"/>
    <n v="9000"/>
    <n v="3"/>
    <n v="27000"/>
    <n v="9000"/>
    <n v="70.709999999999994"/>
    <x v="0"/>
    <n v="1"/>
    <n v="0"/>
    <n v="0"/>
    <n v="0"/>
  </r>
  <r>
    <s v="CUST0084"/>
    <s v="Maryam Velez"/>
    <d v="2025-03-25T00:00:00"/>
    <n v="75"/>
    <x v="3"/>
    <x v="30"/>
    <s v="Mobile SIM Card"/>
    <x v="0"/>
    <n v="3"/>
    <s v="Good"/>
    <n v="4"/>
    <x v="0"/>
    <x v="1"/>
    <n v="5500"/>
    <n v="2"/>
    <n v="11000"/>
    <n v="5500"/>
    <n v="116.28"/>
    <x v="0"/>
    <n v="1"/>
    <n v="0"/>
    <n v="0"/>
    <n v="0"/>
  </r>
  <r>
    <s v="CUST0085"/>
    <s v="Alabo Turner"/>
    <d v="2025-02-25T00:00:00"/>
    <n v="40"/>
    <x v="2"/>
    <x v="32"/>
    <s v="Broadband MiFi"/>
    <x v="1"/>
    <n v="1"/>
    <s v="Poor"/>
    <n v="33"/>
    <x v="2"/>
    <x v="2"/>
    <n v="20000"/>
    <n v="15"/>
    <n v="300000"/>
    <n v="20000"/>
    <n v="8.31"/>
    <x v="1"/>
    <n v="0"/>
    <n v="0"/>
    <n v="0"/>
    <n v="0"/>
  </r>
  <r>
    <s v="CUST0085"/>
    <s v="Alabo Turner"/>
    <d v="2025-02-25T00:00:00"/>
    <n v="40"/>
    <x v="2"/>
    <x v="32"/>
    <s v="5G Broadband Router"/>
    <x v="1"/>
    <n v="1"/>
    <s v="Poor"/>
    <n v="33"/>
    <x v="2"/>
    <x v="8"/>
    <n v="150000"/>
    <n v="20"/>
    <n v="3000000"/>
    <n v="150000"/>
    <n v="105.05"/>
    <x v="1"/>
    <n v="0"/>
    <n v="0"/>
    <n v="0"/>
    <n v="0"/>
  </r>
  <r>
    <s v="CUST0086"/>
    <s v="Amina Rivas"/>
    <d v="2025-02-25T00:00:00"/>
    <n v="62"/>
    <x v="3"/>
    <x v="3"/>
    <s v="5G Broadband Router"/>
    <x v="1"/>
    <n v="3"/>
    <s v="Good"/>
    <n v="25"/>
    <x v="2"/>
    <x v="2"/>
    <n v="20000"/>
    <n v="18"/>
    <n v="360000"/>
    <n v="20000"/>
    <n v="66.27"/>
    <x v="1"/>
    <n v="0"/>
    <n v="0"/>
    <n v="0"/>
    <n v="0"/>
  </r>
  <r>
    <s v="CUST0087"/>
    <s v="Omamuzo Guerrero"/>
    <d v="2025-01-25T00:00:00"/>
    <n v="52"/>
    <x v="4"/>
    <x v="22"/>
    <s v="5G Broadband Router"/>
    <x v="0"/>
    <n v="5"/>
    <s v="Excellent"/>
    <n v="22"/>
    <x v="1"/>
    <x v="17"/>
    <n v="75000"/>
    <n v="3"/>
    <n v="225000"/>
    <n v="75000"/>
    <n v="26.23"/>
    <x v="1"/>
    <n v="0"/>
    <n v="0"/>
    <n v="0"/>
    <n v="0"/>
  </r>
  <r>
    <s v="CUST0087"/>
    <s v="Omamuzo Guerrero"/>
    <d v="2025-01-25T00:00:00"/>
    <n v="52"/>
    <x v="4"/>
    <x v="22"/>
    <s v="Mobile SIM Card"/>
    <x v="0"/>
    <n v="5"/>
    <s v="Excellent"/>
    <n v="22"/>
    <x v="1"/>
    <x v="3"/>
    <n v="500"/>
    <n v="11"/>
    <n v="5500"/>
    <n v="500"/>
    <n v="112"/>
    <x v="1"/>
    <n v="0"/>
    <n v="0"/>
    <n v="0"/>
    <n v="0"/>
  </r>
  <r>
    <s v="CUST0088"/>
    <s v="Amaka Brown"/>
    <d v="2025-03-25T00:00:00"/>
    <n v="27"/>
    <x v="0"/>
    <x v="0"/>
    <s v="Mobile SIM Card"/>
    <x v="1"/>
    <n v="3"/>
    <s v="Good"/>
    <n v="2"/>
    <x v="0"/>
    <x v="13"/>
    <n v="350"/>
    <n v="5"/>
    <n v="1750"/>
    <n v="350"/>
    <n v="200"/>
    <x v="0"/>
    <n v="1"/>
    <n v="0"/>
    <n v="0"/>
    <n v="0"/>
  </r>
  <r>
    <s v="CUST0088"/>
    <s v="Amaka Brown"/>
    <d v="2025-03-25T00:00:00"/>
    <n v="27"/>
    <x v="0"/>
    <x v="0"/>
    <s v="Broadband MiFi"/>
    <x v="1"/>
    <n v="3"/>
    <s v="Good"/>
    <n v="2"/>
    <x v="0"/>
    <x v="4"/>
    <n v="9000"/>
    <n v="4"/>
    <n v="36000"/>
    <n v="9000"/>
    <n v="59.51"/>
    <x v="0"/>
    <n v="1"/>
    <n v="0"/>
    <n v="0"/>
    <n v="0"/>
  </r>
  <r>
    <s v="CUST0089"/>
    <s v="Michael Schultz"/>
    <d v="2025-02-25T00:00:00"/>
    <n v="20"/>
    <x v="1"/>
    <x v="26"/>
    <s v="4G Router"/>
    <x v="0"/>
    <n v="2"/>
    <s v="Fair"/>
    <n v="39"/>
    <x v="2"/>
    <x v="9"/>
    <n v="16000"/>
    <n v="8"/>
    <n v="128000"/>
    <n v="16000"/>
    <n v="82.47"/>
    <x v="0"/>
    <n v="1"/>
    <n v="0"/>
    <n v="0"/>
    <n v="0"/>
  </r>
  <r>
    <s v="CUST0089"/>
    <s v="Michael Schultz"/>
    <d v="2025-02-25T00:00:00"/>
    <n v="20"/>
    <x v="1"/>
    <x v="26"/>
    <s v="5G Broadband Router"/>
    <x v="0"/>
    <n v="2"/>
    <s v="Fair"/>
    <n v="39"/>
    <x v="2"/>
    <x v="8"/>
    <n v="150000"/>
    <n v="15"/>
    <n v="2250000"/>
    <n v="150000"/>
    <n v="122.31"/>
    <x v="0"/>
    <n v="1"/>
    <n v="0"/>
    <n v="0"/>
    <n v="0"/>
  </r>
  <r>
    <s v="CUST0089"/>
    <s v="Michael Schultz"/>
    <d v="2025-02-25T00:00:00"/>
    <n v="20"/>
    <x v="1"/>
    <x v="26"/>
    <s v="Mobile SIM Card"/>
    <x v="0"/>
    <n v="2"/>
    <s v="Fair"/>
    <n v="39"/>
    <x v="2"/>
    <x v="13"/>
    <n v="350"/>
    <n v="10"/>
    <n v="3500"/>
    <n v="350"/>
    <n v="107.04"/>
    <x v="0"/>
    <n v="1"/>
    <n v="0"/>
    <n v="0"/>
    <n v="0"/>
  </r>
  <r>
    <s v="CUST0090"/>
    <s v="John Montoya"/>
    <d v="2025-03-25T00:00:00"/>
    <n v="40"/>
    <x v="2"/>
    <x v="3"/>
    <s v="Mobile SIM Card"/>
    <x v="1"/>
    <n v="4"/>
    <s v="Very Good"/>
    <n v="30"/>
    <x v="2"/>
    <x v="5"/>
    <n v="4500"/>
    <n v="2"/>
    <n v="9000"/>
    <n v="4500"/>
    <n v="174.66"/>
    <x v="1"/>
    <n v="0"/>
    <n v="0"/>
    <n v="0"/>
    <n v="0"/>
  </r>
  <r>
    <s v="CUST0090"/>
    <s v="John Montoya"/>
    <d v="2025-03-25T00:00:00"/>
    <n v="40"/>
    <x v="2"/>
    <x v="3"/>
    <s v="Broadband MiFi"/>
    <x v="1"/>
    <n v="4"/>
    <s v="Very Good"/>
    <n v="30"/>
    <x v="2"/>
    <x v="12"/>
    <n v="14500"/>
    <n v="18"/>
    <n v="261000"/>
    <n v="14500"/>
    <n v="174.89"/>
    <x v="1"/>
    <n v="0"/>
    <n v="0"/>
    <n v="0"/>
    <n v="0"/>
  </r>
  <r>
    <s v="CUST0091"/>
    <s v="Ngozi Fox"/>
    <d v="2025-02-25T00:00:00"/>
    <n v="31"/>
    <x v="0"/>
    <x v="14"/>
    <s v="4G Router"/>
    <x v="0"/>
    <n v="3"/>
    <s v="Good"/>
    <n v="49"/>
    <x v="2"/>
    <x v="5"/>
    <n v="4500"/>
    <n v="12"/>
    <n v="54000"/>
    <n v="4500"/>
    <n v="163.43"/>
    <x v="1"/>
    <n v="0"/>
    <n v="0"/>
    <n v="0"/>
    <n v="0"/>
  </r>
  <r>
    <s v="CUST0091"/>
    <s v="Ngozi Fox"/>
    <d v="2025-02-25T00:00:00"/>
    <n v="31"/>
    <x v="0"/>
    <x v="14"/>
    <s v="Mobile SIM Card"/>
    <x v="0"/>
    <n v="3"/>
    <s v="Good"/>
    <n v="49"/>
    <x v="2"/>
    <x v="16"/>
    <n v="900"/>
    <n v="13"/>
    <n v="11700"/>
    <n v="900"/>
    <n v="83.27"/>
    <x v="1"/>
    <n v="0"/>
    <n v="0"/>
    <n v="0"/>
    <n v="0"/>
  </r>
  <r>
    <s v="CUST0091"/>
    <s v="Ngozi Fox"/>
    <d v="2025-02-25T00:00:00"/>
    <n v="31"/>
    <x v="0"/>
    <x v="14"/>
    <s v="Broadband MiFi"/>
    <x v="0"/>
    <n v="3"/>
    <s v="Good"/>
    <n v="49"/>
    <x v="2"/>
    <x v="10"/>
    <n v="24000"/>
    <n v="13"/>
    <n v="312000"/>
    <n v="24000"/>
    <n v="75.11"/>
    <x v="1"/>
    <n v="0"/>
    <n v="0"/>
    <n v="0"/>
    <n v="0"/>
  </r>
  <r>
    <s v="CUST0092"/>
    <s v="Chinedu Burke"/>
    <d v="2025-01-25T00:00:00"/>
    <n v="63"/>
    <x v="3"/>
    <x v="16"/>
    <s v="Broadband MiFi"/>
    <x v="0"/>
    <n v="3"/>
    <s v="Good"/>
    <n v="21"/>
    <x v="1"/>
    <x v="11"/>
    <n v="30000"/>
    <n v="16"/>
    <n v="480000"/>
    <n v="30000"/>
    <n v="183.52"/>
    <x v="1"/>
    <n v="0"/>
    <n v="0"/>
    <n v="0"/>
    <n v="0"/>
  </r>
  <r>
    <s v="CUST0093"/>
    <s v="Amaka Webb"/>
    <d v="2025-01-25T00:00:00"/>
    <n v="76"/>
    <x v="3"/>
    <x v="30"/>
    <s v="Mobile SIM Card"/>
    <x v="0"/>
    <n v="1"/>
    <s v="Poor"/>
    <n v="58"/>
    <x v="2"/>
    <x v="14"/>
    <n v="1000"/>
    <n v="8"/>
    <n v="8000"/>
    <n v="1000"/>
    <n v="155.35"/>
    <x v="0"/>
    <n v="1"/>
    <n v="0"/>
    <n v="0"/>
    <n v="0"/>
  </r>
  <r>
    <s v="CUST0094"/>
    <s v="Maryam Tucker"/>
    <d v="2025-02-25T00:00:00"/>
    <n v="31"/>
    <x v="0"/>
    <x v="4"/>
    <s v="Broadband MiFi"/>
    <x v="0"/>
    <n v="1"/>
    <s v="Poor"/>
    <n v="27"/>
    <x v="2"/>
    <x v="2"/>
    <n v="20000"/>
    <n v="1"/>
    <n v="20000"/>
    <n v="20000"/>
    <n v="58.61"/>
    <x v="0"/>
    <n v="1"/>
    <n v="0"/>
    <n v="0"/>
    <n v="0"/>
  </r>
  <r>
    <s v="CUST0094"/>
    <s v="Maryam Tucker"/>
    <d v="2025-02-25T00:00:00"/>
    <n v="31"/>
    <x v="0"/>
    <x v="4"/>
    <s v="5G Broadband Router"/>
    <x v="0"/>
    <n v="1"/>
    <s v="Poor"/>
    <n v="27"/>
    <x v="2"/>
    <x v="18"/>
    <n v="25000"/>
    <n v="14"/>
    <n v="350000"/>
    <n v="25000"/>
    <n v="48.49"/>
    <x v="0"/>
    <n v="1"/>
    <n v="0"/>
    <n v="0"/>
    <n v="0"/>
  </r>
  <r>
    <s v="CUST0094"/>
    <s v="Maryam Tucker"/>
    <d v="2025-02-25T00:00:00"/>
    <n v="31"/>
    <x v="0"/>
    <x v="4"/>
    <s v="Mobile SIM Card"/>
    <x v="0"/>
    <n v="1"/>
    <s v="Poor"/>
    <n v="27"/>
    <x v="2"/>
    <x v="19"/>
    <n v="600"/>
    <n v="3"/>
    <n v="1800"/>
    <n v="600"/>
    <n v="133.04"/>
    <x v="0"/>
    <n v="1"/>
    <n v="0"/>
    <n v="0"/>
    <n v="0"/>
  </r>
  <r>
    <s v="CUST0095"/>
    <s v="Sarah James"/>
    <d v="2025-02-25T00:00:00"/>
    <n v="62"/>
    <x v="3"/>
    <x v="23"/>
    <s v="5G Broadband Router"/>
    <x v="0"/>
    <n v="1"/>
    <s v="Poor"/>
    <n v="25"/>
    <x v="2"/>
    <x v="4"/>
    <n v="9000"/>
    <n v="3"/>
    <n v="27000"/>
    <n v="9000"/>
    <n v="71.739999999999995"/>
    <x v="1"/>
    <n v="0"/>
    <n v="0"/>
    <n v="0"/>
    <n v="0"/>
  </r>
  <r>
    <s v="CUST0095"/>
    <s v="Sarah James"/>
    <d v="2025-02-25T00:00:00"/>
    <n v="62"/>
    <x v="3"/>
    <x v="23"/>
    <s v="Mobile SIM Card"/>
    <x v="0"/>
    <n v="1"/>
    <s v="Poor"/>
    <n v="25"/>
    <x v="2"/>
    <x v="7"/>
    <n v="3500"/>
    <n v="4"/>
    <n v="14000"/>
    <n v="3500"/>
    <n v="48.6"/>
    <x v="1"/>
    <n v="0"/>
    <n v="0"/>
    <n v="0"/>
    <n v="0"/>
  </r>
  <r>
    <s v="CUST0096"/>
    <s v="Tega Turner"/>
    <d v="2025-03-25T00:00:00"/>
    <n v="33"/>
    <x v="0"/>
    <x v="19"/>
    <s v="Mobile SIM Card"/>
    <x v="1"/>
    <n v="2"/>
    <s v="Fair"/>
    <n v="35"/>
    <x v="2"/>
    <x v="19"/>
    <n v="600"/>
    <n v="3"/>
    <n v="1800"/>
    <n v="600"/>
    <n v="162.38999999999999"/>
    <x v="1"/>
    <n v="0"/>
    <n v="0"/>
    <n v="0"/>
    <n v="0"/>
  </r>
  <r>
    <s v="CUST0096"/>
    <s v="Tega Turner"/>
    <d v="2025-03-25T00:00:00"/>
    <n v="33"/>
    <x v="0"/>
    <x v="19"/>
    <s v="5G Broadband Router"/>
    <x v="1"/>
    <n v="2"/>
    <s v="Fair"/>
    <n v="35"/>
    <x v="2"/>
    <x v="8"/>
    <n v="150000"/>
    <n v="7"/>
    <n v="1050000"/>
    <n v="150000"/>
    <n v="7.88"/>
    <x v="1"/>
    <n v="0"/>
    <n v="0"/>
    <n v="0"/>
    <n v="0"/>
  </r>
  <r>
    <s v="CUST0096"/>
    <s v="Tega Turner"/>
    <d v="2025-03-25T00:00:00"/>
    <n v="33"/>
    <x v="0"/>
    <x v="19"/>
    <s v="4G Router"/>
    <x v="1"/>
    <n v="2"/>
    <s v="Fair"/>
    <n v="35"/>
    <x v="2"/>
    <x v="9"/>
    <n v="16000"/>
    <n v="2"/>
    <n v="32000"/>
    <n v="16000"/>
    <n v="158.33000000000001"/>
    <x v="1"/>
    <n v="0"/>
    <n v="0"/>
    <n v="0"/>
    <n v="0"/>
  </r>
  <r>
    <s v="CUST0097"/>
    <s v="Ese Perez"/>
    <d v="2025-02-25T00:00:00"/>
    <n v="55"/>
    <x v="3"/>
    <x v="28"/>
    <s v="5G Broadband Router"/>
    <x v="1"/>
    <n v="3"/>
    <s v="Good"/>
    <n v="53"/>
    <x v="2"/>
    <x v="18"/>
    <n v="25000"/>
    <n v="2"/>
    <n v="50000"/>
    <n v="25000"/>
    <n v="172.5"/>
    <x v="0"/>
    <n v="1"/>
    <n v="0"/>
    <n v="0"/>
    <n v="0"/>
  </r>
  <r>
    <s v="CUST0098"/>
    <s v="Tega Murray"/>
    <d v="2025-02-25T00:00:00"/>
    <n v="50"/>
    <x v="4"/>
    <x v="27"/>
    <s v="5G Broadband Router"/>
    <x v="1"/>
    <n v="4"/>
    <s v="Very Good"/>
    <n v="28"/>
    <x v="2"/>
    <x v="8"/>
    <n v="150000"/>
    <n v="12"/>
    <n v="1800000"/>
    <n v="150000"/>
    <n v="138.57"/>
    <x v="1"/>
    <n v="0"/>
    <n v="0"/>
    <n v="0"/>
    <n v="0"/>
  </r>
  <r>
    <s v="CUST0098"/>
    <s v="Tega Murray"/>
    <d v="2025-02-25T00:00:00"/>
    <n v="50"/>
    <x v="4"/>
    <x v="27"/>
    <s v="Broadband MiFi"/>
    <x v="1"/>
    <n v="4"/>
    <s v="Very Good"/>
    <n v="28"/>
    <x v="2"/>
    <x v="10"/>
    <n v="24000"/>
    <n v="3"/>
    <n v="72000"/>
    <n v="24000"/>
    <n v="53.71"/>
    <x v="1"/>
    <n v="0"/>
    <n v="0"/>
    <n v="0"/>
    <n v="0"/>
  </r>
  <r>
    <s v="CUST0099"/>
    <s v="Boma Gonzalez"/>
    <d v="2025-03-25T00:00:00"/>
    <n v="26"/>
    <x v="0"/>
    <x v="0"/>
    <s v="5G Broadband Router"/>
    <x v="0"/>
    <n v="3"/>
    <s v="Good"/>
    <n v="35"/>
    <x v="2"/>
    <x v="17"/>
    <n v="75000"/>
    <n v="15"/>
    <n v="1125000"/>
    <n v="75000"/>
    <n v="33.75"/>
    <x v="0"/>
    <n v="1"/>
    <n v="0"/>
    <n v="0"/>
    <n v="0"/>
  </r>
  <r>
    <s v="CUST0099"/>
    <s v="Boma Gonzalez"/>
    <d v="2025-03-25T00:00:00"/>
    <n v="26"/>
    <x v="0"/>
    <x v="0"/>
    <s v="4G Router"/>
    <x v="0"/>
    <n v="3"/>
    <s v="Good"/>
    <n v="35"/>
    <x v="2"/>
    <x v="6"/>
    <n v="9000"/>
    <n v="12"/>
    <n v="108000"/>
    <n v="9000"/>
    <n v="89.7"/>
    <x v="0"/>
    <n v="1"/>
    <n v="0"/>
    <n v="0"/>
    <n v="0"/>
  </r>
  <r>
    <s v="CUST0099"/>
    <s v="Boma Gonzalez"/>
    <d v="2025-03-25T00:00:00"/>
    <n v="26"/>
    <x v="0"/>
    <x v="0"/>
    <s v="Mobile SIM Card"/>
    <x v="0"/>
    <n v="3"/>
    <s v="Good"/>
    <n v="35"/>
    <x v="2"/>
    <x v="15"/>
    <n v="7500"/>
    <n v="2"/>
    <n v="15000"/>
    <n v="7500"/>
    <n v="55.27"/>
    <x v="0"/>
    <n v="1"/>
    <n v="0"/>
    <n v="0"/>
    <n v="0"/>
  </r>
  <r>
    <s v="CUST0100"/>
    <s v="Kunle Davis"/>
    <d v="2025-02-25T00:00:00"/>
    <n v="67"/>
    <x v="3"/>
    <x v="3"/>
    <s v="Broadband MiFi"/>
    <x v="0"/>
    <n v="5"/>
    <s v="Excellent"/>
    <n v="2"/>
    <x v="0"/>
    <x v="4"/>
    <n v="9000"/>
    <n v="12"/>
    <n v="108000"/>
    <n v="9000"/>
    <n v="47.58"/>
    <x v="1"/>
    <n v="0"/>
    <n v="0"/>
    <n v="0"/>
    <n v="0"/>
  </r>
  <r>
    <s v="CUST0100"/>
    <s v="Kunle Davis"/>
    <d v="2025-02-25T00:00:00"/>
    <n v="67"/>
    <x v="3"/>
    <x v="3"/>
    <s v="Mobile SIM Card"/>
    <x v="0"/>
    <n v="5"/>
    <s v="Excellent"/>
    <n v="2"/>
    <x v="0"/>
    <x v="7"/>
    <n v="3500"/>
    <n v="19"/>
    <n v="66500"/>
    <n v="3500"/>
    <n v="76.88"/>
    <x v="1"/>
    <n v="0"/>
    <n v="0"/>
    <n v="0"/>
    <n v="0"/>
  </r>
  <r>
    <s v="CUST0101"/>
    <s v="Bola Brown"/>
    <d v="2025-02-25T00:00:00"/>
    <n v="35"/>
    <x v="2"/>
    <x v="30"/>
    <s v="5G Broadband Router"/>
    <x v="1"/>
    <n v="1"/>
    <s v="Poor"/>
    <n v="24"/>
    <x v="1"/>
    <x v="10"/>
    <n v="24000"/>
    <n v="4"/>
    <n v="96000"/>
    <n v="24000"/>
    <n v="50.3"/>
    <x v="1"/>
    <n v="0"/>
    <n v="0"/>
    <n v="0"/>
    <n v="0"/>
  </r>
  <r>
    <s v="CUST0101"/>
    <s v="Bola Brown"/>
    <d v="2025-02-25T00:00:00"/>
    <n v="35"/>
    <x v="2"/>
    <x v="30"/>
    <s v="Mobile SIM Card"/>
    <x v="1"/>
    <n v="1"/>
    <s v="Poor"/>
    <n v="24"/>
    <x v="1"/>
    <x v="9"/>
    <n v="16000"/>
    <n v="16"/>
    <n v="256000"/>
    <n v="16000"/>
    <n v="147.27000000000001"/>
    <x v="1"/>
    <n v="0"/>
    <n v="0"/>
    <n v="0"/>
    <n v="0"/>
  </r>
  <r>
    <s v="CUST0101"/>
    <s v="Bola Brown"/>
    <d v="2025-02-25T00:00:00"/>
    <n v="35"/>
    <x v="2"/>
    <x v="30"/>
    <s v="Mobile SIM Card"/>
    <x v="1"/>
    <n v="1"/>
    <s v="Poor"/>
    <n v="24"/>
    <x v="1"/>
    <x v="20"/>
    <n v="6500"/>
    <n v="18"/>
    <n v="117000"/>
    <n v="6500"/>
    <n v="77.7"/>
    <x v="1"/>
    <n v="0"/>
    <n v="0"/>
    <n v="0"/>
    <n v="0"/>
  </r>
  <r>
    <s v="CUST0102"/>
    <s v="Ifeanyi Burns"/>
    <d v="2025-03-25T00:00:00"/>
    <n v="49"/>
    <x v="4"/>
    <x v="22"/>
    <s v="Mobile SIM Card"/>
    <x v="1"/>
    <n v="4"/>
    <s v="Very Good"/>
    <n v="14"/>
    <x v="1"/>
    <x v="19"/>
    <n v="600"/>
    <n v="15"/>
    <n v="9000"/>
    <n v="600"/>
    <n v="179.79"/>
    <x v="0"/>
    <n v="1"/>
    <n v="0"/>
    <n v="0"/>
    <n v="0"/>
  </r>
  <r>
    <s v="CUST0103"/>
    <s v="Chinedu Barrera"/>
    <d v="2025-03-25T00:00:00"/>
    <n v="56"/>
    <x v="3"/>
    <x v="25"/>
    <s v="4G Router"/>
    <x v="0"/>
    <n v="3"/>
    <s v="Good"/>
    <n v="36"/>
    <x v="2"/>
    <x v="9"/>
    <n v="16000"/>
    <n v="5"/>
    <n v="80000"/>
    <n v="16000"/>
    <n v="197.03"/>
    <x v="1"/>
    <n v="0"/>
    <n v="0"/>
    <n v="0"/>
    <n v="0"/>
  </r>
  <r>
    <s v="CUST0103"/>
    <s v="Chinedu Barrera"/>
    <d v="2025-03-25T00:00:00"/>
    <n v="56"/>
    <x v="3"/>
    <x v="25"/>
    <s v="Mobile SIM Card"/>
    <x v="0"/>
    <n v="3"/>
    <s v="Good"/>
    <n v="36"/>
    <x v="2"/>
    <x v="13"/>
    <n v="350"/>
    <n v="1"/>
    <n v="350"/>
    <n v="350"/>
    <n v="158.18"/>
    <x v="1"/>
    <n v="0"/>
    <n v="0"/>
    <n v="0"/>
    <n v="0"/>
  </r>
  <r>
    <s v="CUST0103"/>
    <s v="Chinedu Barrera"/>
    <d v="2025-03-25T00:00:00"/>
    <n v="56"/>
    <x v="3"/>
    <x v="25"/>
    <s v="Broadband MiFi"/>
    <x v="0"/>
    <n v="3"/>
    <s v="Good"/>
    <n v="36"/>
    <x v="2"/>
    <x v="11"/>
    <n v="30000"/>
    <n v="12"/>
    <n v="360000"/>
    <n v="30000"/>
    <n v="111.03"/>
    <x v="1"/>
    <n v="0"/>
    <n v="0"/>
    <n v="0"/>
    <n v="0"/>
  </r>
  <r>
    <s v="CUST0104"/>
    <s v="Zina Fischer"/>
    <d v="2025-02-25T00:00:00"/>
    <n v="32"/>
    <x v="0"/>
    <x v="33"/>
    <s v="Broadband MiFi"/>
    <x v="0"/>
    <n v="4"/>
    <s v="Very Good"/>
    <n v="20"/>
    <x v="1"/>
    <x v="11"/>
    <n v="30000"/>
    <n v="15"/>
    <n v="450000"/>
    <n v="30000"/>
    <n v="128.65"/>
    <x v="1"/>
    <n v="0"/>
    <n v="0"/>
    <n v="0"/>
    <n v="0"/>
  </r>
  <r>
    <s v="CUST0104"/>
    <s v="Zina Fischer"/>
    <d v="2025-02-25T00:00:00"/>
    <n v="32"/>
    <x v="0"/>
    <x v="33"/>
    <s v="Mobile SIM Card"/>
    <x v="0"/>
    <n v="4"/>
    <s v="Very Good"/>
    <n v="20"/>
    <x v="1"/>
    <x v="1"/>
    <n v="5500"/>
    <n v="12"/>
    <n v="66000"/>
    <n v="5500"/>
    <n v="136.18"/>
    <x v="1"/>
    <n v="0"/>
    <n v="0"/>
    <n v="0"/>
    <n v="0"/>
  </r>
  <r>
    <s v="CUST0105"/>
    <s v="Amaka Garcia"/>
    <d v="2025-01-25T00:00:00"/>
    <n v="39"/>
    <x v="2"/>
    <x v="21"/>
    <s v="Mobile SIM Card"/>
    <x v="1"/>
    <n v="1"/>
    <s v="Poor"/>
    <n v="33"/>
    <x v="2"/>
    <x v="6"/>
    <n v="9000"/>
    <n v="8"/>
    <n v="72000"/>
    <n v="9000"/>
    <n v="186.98"/>
    <x v="1"/>
    <n v="0"/>
    <n v="0"/>
    <n v="0"/>
    <n v="0"/>
  </r>
  <r>
    <s v="CUST0105"/>
    <s v="Amaka Garcia"/>
    <d v="2025-01-25T00:00:00"/>
    <n v="39"/>
    <x v="2"/>
    <x v="21"/>
    <s v="Broadband MiFi"/>
    <x v="1"/>
    <n v="1"/>
    <s v="Poor"/>
    <n v="33"/>
    <x v="2"/>
    <x v="11"/>
    <n v="30000"/>
    <n v="17"/>
    <n v="510000"/>
    <n v="30000"/>
    <n v="189.52"/>
    <x v="1"/>
    <n v="0"/>
    <n v="0"/>
    <n v="0"/>
    <n v="0"/>
  </r>
  <r>
    <s v="CUST0106"/>
    <s v="Abubakar Holmes"/>
    <d v="2025-03-25T00:00:00"/>
    <n v="26"/>
    <x v="0"/>
    <x v="22"/>
    <s v="Broadband MiFi"/>
    <x v="0"/>
    <n v="2"/>
    <s v="Fair"/>
    <n v="41"/>
    <x v="2"/>
    <x v="10"/>
    <n v="24000"/>
    <n v="5"/>
    <n v="120000"/>
    <n v="24000"/>
    <n v="188.35"/>
    <x v="1"/>
    <n v="0"/>
    <n v="0"/>
    <n v="0"/>
    <n v="0"/>
  </r>
  <r>
    <s v="CUST0106"/>
    <s v="Abubakar Holmes"/>
    <d v="2025-03-25T00:00:00"/>
    <n v="26"/>
    <x v="0"/>
    <x v="22"/>
    <s v="5G Broadband Router"/>
    <x v="0"/>
    <n v="2"/>
    <s v="Fair"/>
    <n v="41"/>
    <x v="2"/>
    <x v="11"/>
    <n v="30000"/>
    <n v="20"/>
    <n v="600000"/>
    <n v="30000"/>
    <n v="131.91999999999999"/>
    <x v="1"/>
    <n v="0"/>
    <n v="0"/>
    <n v="0"/>
    <n v="0"/>
  </r>
  <r>
    <s v="CUST0106"/>
    <s v="Abubakar Holmes"/>
    <d v="2025-03-25T00:00:00"/>
    <n v="26"/>
    <x v="0"/>
    <x v="22"/>
    <s v="Mobile SIM Card"/>
    <x v="0"/>
    <n v="2"/>
    <s v="Fair"/>
    <n v="41"/>
    <x v="2"/>
    <x v="7"/>
    <n v="3500"/>
    <n v="19"/>
    <n v="66500"/>
    <n v="3500"/>
    <n v="168.58"/>
    <x v="1"/>
    <n v="0"/>
    <n v="0"/>
    <n v="0"/>
    <n v="0"/>
  </r>
  <r>
    <s v="CUST0107"/>
    <s v="Bola Rogers"/>
    <d v="2025-03-25T00:00:00"/>
    <n v="19"/>
    <x v="1"/>
    <x v="33"/>
    <s v="4G Router"/>
    <x v="0"/>
    <n v="2"/>
    <s v="Fair"/>
    <n v="42"/>
    <x v="2"/>
    <x v="5"/>
    <n v="4500"/>
    <n v="10"/>
    <n v="45000"/>
    <n v="4500"/>
    <n v="128.56"/>
    <x v="1"/>
    <n v="0"/>
    <n v="0"/>
    <n v="0"/>
    <n v="0"/>
  </r>
  <r>
    <s v="CUST0108"/>
    <s v="John Rose"/>
    <d v="2025-01-25T00:00:00"/>
    <n v="47"/>
    <x v="4"/>
    <x v="10"/>
    <s v="Mobile SIM Card"/>
    <x v="1"/>
    <n v="1"/>
    <s v="Poor"/>
    <n v="30"/>
    <x v="2"/>
    <x v="7"/>
    <n v="3500"/>
    <n v="11"/>
    <n v="38500"/>
    <n v="3500"/>
    <n v="121.53"/>
    <x v="0"/>
    <n v="1"/>
    <n v="0"/>
    <n v="0"/>
    <n v="0"/>
  </r>
  <r>
    <s v="CUST0108"/>
    <s v="John Rose"/>
    <d v="2025-01-25T00:00:00"/>
    <n v="47"/>
    <x v="4"/>
    <x v="10"/>
    <s v="Broadband MiFi"/>
    <x v="1"/>
    <n v="1"/>
    <s v="Poor"/>
    <n v="30"/>
    <x v="2"/>
    <x v="11"/>
    <n v="30000"/>
    <n v="12"/>
    <n v="360000"/>
    <n v="30000"/>
    <n v="146.97"/>
    <x v="0"/>
    <n v="1"/>
    <n v="0"/>
    <n v="0"/>
    <n v="0"/>
  </r>
  <r>
    <s v="CUST0109"/>
    <s v="Tamuno Bates"/>
    <d v="2025-02-25T00:00:00"/>
    <n v="32"/>
    <x v="0"/>
    <x v="3"/>
    <s v="Mobile SIM Card"/>
    <x v="0"/>
    <n v="4"/>
    <s v="Very Good"/>
    <n v="21"/>
    <x v="1"/>
    <x v="9"/>
    <n v="16000"/>
    <n v="13"/>
    <n v="208000"/>
    <n v="16000"/>
    <n v="10.6"/>
    <x v="0"/>
    <n v="1"/>
    <n v="0"/>
    <n v="0"/>
    <n v="0"/>
  </r>
  <r>
    <s v="CUST0110"/>
    <s v="Ibim Richards"/>
    <d v="2025-03-25T00:00:00"/>
    <n v="47"/>
    <x v="4"/>
    <x v="1"/>
    <s v="Mobile SIM Card"/>
    <x v="1"/>
    <n v="2"/>
    <s v="Fair"/>
    <n v="60"/>
    <x v="2"/>
    <x v="3"/>
    <n v="500"/>
    <n v="3"/>
    <n v="1500"/>
    <n v="500"/>
    <n v="99.73"/>
    <x v="1"/>
    <n v="0"/>
    <n v="0"/>
    <n v="0"/>
    <n v="0"/>
  </r>
  <r>
    <s v="CUST0110"/>
    <s v="Ibim Richards"/>
    <d v="2025-03-25T00:00:00"/>
    <n v="47"/>
    <x v="4"/>
    <x v="1"/>
    <s v="4G Router"/>
    <x v="1"/>
    <n v="2"/>
    <s v="Fair"/>
    <n v="60"/>
    <x v="2"/>
    <x v="0"/>
    <n v="35000"/>
    <n v="8"/>
    <n v="280000"/>
    <n v="35000"/>
    <n v="101.34"/>
    <x v="1"/>
    <n v="0"/>
    <n v="0"/>
    <n v="0"/>
    <n v="0"/>
  </r>
  <r>
    <s v="CUST0111"/>
    <s v="Fatima Blevins"/>
    <d v="2025-02-25T00:00:00"/>
    <n v="61"/>
    <x v="3"/>
    <x v="4"/>
    <s v="Mobile SIM Card"/>
    <x v="0"/>
    <n v="5"/>
    <s v="Excellent"/>
    <n v="19"/>
    <x v="1"/>
    <x v="14"/>
    <n v="1000"/>
    <n v="9"/>
    <n v="9000"/>
    <n v="1000"/>
    <n v="86.47"/>
    <x v="1"/>
    <n v="0"/>
    <n v="0"/>
    <n v="0"/>
    <n v="0"/>
  </r>
  <r>
    <s v="CUST0111"/>
    <s v="Fatima Blevins"/>
    <d v="2025-02-25T00:00:00"/>
    <n v="61"/>
    <x v="3"/>
    <x v="4"/>
    <s v="4G Router"/>
    <x v="0"/>
    <n v="5"/>
    <s v="Excellent"/>
    <n v="19"/>
    <x v="1"/>
    <x v="6"/>
    <n v="9000"/>
    <n v="12"/>
    <n v="108000"/>
    <n v="9000"/>
    <n v="152.88999999999999"/>
    <x v="1"/>
    <n v="0"/>
    <n v="0"/>
    <n v="0"/>
    <n v="0"/>
  </r>
  <r>
    <s v="CUST0111"/>
    <s v="Fatima Blevins"/>
    <d v="2025-02-25T00:00:00"/>
    <n v="61"/>
    <x v="3"/>
    <x v="4"/>
    <s v="Broadband MiFi"/>
    <x v="0"/>
    <n v="5"/>
    <s v="Excellent"/>
    <n v="19"/>
    <x v="1"/>
    <x v="4"/>
    <n v="9000"/>
    <n v="19"/>
    <n v="171000"/>
    <n v="9000"/>
    <n v="80.42"/>
    <x v="1"/>
    <n v="0"/>
    <n v="0"/>
    <n v="0"/>
    <n v="0"/>
  </r>
  <r>
    <s v="CUST0112"/>
    <s v="Bala Smith"/>
    <d v="2025-02-25T00:00:00"/>
    <n v="62"/>
    <x v="3"/>
    <x v="14"/>
    <s v="Broadband MiFi"/>
    <x v="0"/>
    <n v="5"/>
    <s v="Excellent"/>
    <n v="25"/>
    <x v="2"/>
    <x v="12"/>
    <n v="14500"/>
    <n v="11"/>
    <n v="159500"/>
    <n v="14500"/>
    <n v="74.95"/>
    <x v="0"/>
    <n v="1"/>
    <n v="0"/>
    <n v="0"/>
    <n v="0"/>
  </r>
  <r>
    <s v="CUST0112"/>
    <s v="Bala Smith"/>
    <d v="2025-02-25T00:00:00"/>
    <n v="62"/>
    <x v="3"/>
    <x v="14"/>
    <s v="Mobile SIM Card"/>
    <x v="0"/>
    <n v="5"/>
    <s v="Excellent"/>
    <n v="25"/>
    <x v="2"/>
    <x v="20"/>
    <n v="6500"/>
    <n v="5"/>
    <n v="32500"/>
    <n v="6500"/>
    <n v="187.82"/>
    <x v="0"/>
    <n v="1"/>
    <n v="0"/>
    <n v="0"/>
    <n v="0"/>
  </r>
  <r>
    <s v="CUST0112"/>
    <s v="Bala Smith"/>
    <d v="2025-02-25T00:00:00"/>
    <n v="62"/>
    <x v="3"/>
    <x v="14"/>
    <s v="5G Broadband Router"/>
    <x v="0"/>
    <n v="5"/>
    <s v="Excellent"/>
    <n v="25"/>
    <x v="2"/>
    <x v="12"/>
    <n v="14500"/>
    <n v="13"/>
    <n v="188500"/>
    <n v="14500"/>
    <n v="120.69"/>
    <x v="0"/>
    <n v="1"/>
    <n v="0"/>
    <n v="0"/>
    <n v="0"/>
  </r>
  <r>
    <s v="CUST0113"/>
    <s v="Michael Evans"/>
    <d v="2025-03-25T00:00:00"/>
    <n v="21"/>
    <x v="1"/>
    <x v="19"/>
    <s v="4G Router"/>
    <x v="0"/>
    <n v="4"/>
    <s v="Very Good"/>
    <n v="9"/>
    <x v="3"/>
    <x v="6"/>
    <n v="9000"/>
    <n v="11"/>
    <n v="99000"/>
    <n v="9000"/>
    <n v="186.31"/>
    <x v="1"/>
    <n v="0"/>
    <n v="0"/>
    <n v="0"/>
    <n v="0"/>
  </r>
  <r>
    <s v="CUST0114"/>
    <s v="Amina Todd"/>
    <d v="2025-02-25T00:00:00"/>
    <n v="66"/>
    <x v="3"/>
    <x v="24"/>
    <s v="5G Broadband Router"/>
    <x v="1"/>
    <n v="5"/>
    <s v="Excellent"/>
    <n v="33"/>
    <x v="2"/>
    <x v="18"/>
    <n v="25000"/>
    <n v="14"/>
    <n v="350000"/>
    <n v="25000"/>
    <n v="134.91999999999999"/>
    <x v="0"/>
    <n v="1"/>
    <n v="0"/>
    <n v="0"/>
    <n v="0"/>
  </r>
  <r>
    <s v="CUST0115"/>
    <s v="Maryam Smith"/>
    <d v="2025-02-25T00:00:00"/>
    <n v="19"/>
    <x v="1"/>
    <x v="31"/>
    <s v="Mobile SIM Card"/>
    <x v="1"/>
    <n v="1"/>
    <s v="Poor"/>
    <n v="42"/>
    <x v="2"/>
    <x v="19"/>
    <n v="600"/>
    <n v="8"/>
    <n v="4800"/>
    <n v="600"/>
    <n v="164.42"/>
    <x v="1"/>
    <n v="0"/>
    <n v="0"/>
    <n v="0"/>
    <n v="0"/>
  </r>
  <r>
    <s v="CUST0116"/>
    <s v="Bola Garcia"/>
    <d v="2025-03-25T00:00:00"/>
    <n v="30"/>
    <x v="0"/>
    <x v="18"/>
    <s v="Mobile SIM Card"/>
    <x v="0"/>
    <n v="4"/>
    <s v="Very Good"/>
    <n v="29"/>
    <x v="2"/>
    <x v="20"/>
    <n v="6500"/>
    <n v="16"/>
    <n v="104000"/>
    <n v="6500"/>
    <n v="155.11000000000001"/>
    <x v="0"/>
    <n v="1"/>
    <n v="0"/>
    <n v="0"/>
    <n v="0"/>
  </r>
  <r>
    <s v="CUST0117"/>
    <s v="Sade Collins"/>
    <d v="2025-03-25T00:00:00"/>
    <n v="33"/>
    <x v="0"/>
    <x v="8"/>
    <s v="4G Router"/>
    <x v="0"/>
    <n v="4"/>
    <s v="Very Good"/>
    <n v="36"/>
    <x v="2"/>
    <x v="6"/>
    <n v="9000"/>
    <n v="9"/>
    <n v="81000"/>
    <n v="9000"/>
    <n v="109.48"/>
    <x v="1"/>
    <n v="0"/>
    <n v="0"/>
    <n v="0"/>
    <n v="0"/>
  </r>
  <r>
    <s v="CUST0117"/>
    <s v="Sade Collins"/>
    <d v="2025-03-25T00:00:00"/>
    <n v="33"/>
    <x v="0"/>
    <x v="8"/>
    <s v="Mobile SIM Card"/>
    <x v="0"/>
    <n v="4"/>
    <s v="Very Good"/>
    <n v="36"/>
    <x v="2"/>
    <x v="1"/>
    <n v="5500"/>
    <n v="8"/>
    <n v="44000"/>
    <n v="5500"/>
    <n v="38.86"/>
    <x v="1"/>
    <n v="0"/>
    <n v="0"/>
    <n v="0"/>
    <n v="0"/>
  </r>
  <r>
    <s v="CUST0118"/>
    <s v="Zainab Garcia"/>
    <d v="2025-03-25T00:00:00"/>
    <n v="54"/>
    <x v="4"/>
    <x v="16"/>
    <s v="5G Broadband Router"/>
    <x v="1"/>
    <n v="2"/>
    <s v="Fair"/>
    <n v="50"/>
    <x v="2"/>
    <x v="18"/>
    <n v="25000"/>
    <n v="9"/>
    <n v="225000"/>
    <n v="25000"/>
    <n v="112.32"/>
    <x v="1"/>
    <n v="0"/>
    <n v="0"/>
    <n v="0"/>
    <n v="0"/>
  </r>
  <r>
    <s v="CUST0118"/>
    <s v="Zainab Garcia"/>
    <d v="2025-03-25T00:00:00"/>
    <n v="54"/>
    <x v="4"/>
    <x v="16"/>
    <s v="4G Router"/>
    <x v="1"/>
    <n v="2"/>
    <s v="Fair"/>
    <n v="50"/>
    <x v="2"/>
    <x v="6"/>
    <n v="9000"/>
    <n v="18"/>
    <n v="162000"/>
    <n v="9000"/>
    <n v="24.81"/>
    <x v="1"/>
    <n v="0"/>
    <n v="0"/>
    <n v="0"/>
    <n v="0"/>
  </r>
  <r>
    <s v="CUST0119"/>
    <s v="Omamuzo Terry"/>
    <d v="2025-01-25T00:00:00"/>
    <n v="66"/>
    <x v="3"/>
    <x v="25"/>
    <s v="5G Broadband Router"/>
    <x v="0"/>
    <n v="3"/>
    <s v="Good"/>
    <n v="19"/>
    <x v="1"/>
    <x v="8"/>
    <n v="150000"/>
    <n v="16"/>
    <n v="2400000"/>
    <n v="150000"/>
    <n v="131.37"/>
    <x v="1"/>
    <n v="0"/>
    <n v="0"/>
    <n v="0"/>
    <n v="0"/>
  </r>
  <r>
    <s v="CUST0120"/>
    <s v="Fatima Lindsey"/>
    <d v="2025-03-25T00:00:00"/>
    <n v="41"/>
    <x v="2"/>
    <x v="11"/>
    <s v="4G Router"/>
    <x v="1"/>
    <n v="2"/>
    <s v="Fair"/>
    <n v="60"/>
    <x v="2"/>
    <x v="5"/>
    <n v="4500"/>
    <n v="2"/>
    <n v="9000"/>
    <n v="4500"/>
    <n v="127.77"/>
    <x v="0"/>
    <n v="1"/>
    <n v="0"/>
    <n v="0"/>
    <n v="0"/>
  </r>
  <r>
    <s v="CUST0120"/>
    <s v="Fatima Lindsey"/>
    <d v="2025-03-25T00:00:00"/>
    <n v="41"/>
    <x v="2"/>
    <x v="11"/>
    <s v="Broadband MiFi"/>
    <x v="1"/>
    <n v="2"/>
    <s v="Fair"/>
    <n v="60"/>
    <x v="2"/>
    <x v="4"/>
    <n v="9000"/>
    <n v="16"/>
    <n v="144000"/>
    <n v="9000"/>
    <n v="82.95"/>
    <x v="0"/>
    <n v="1"/>
    <n v="0"/>
    <n v="0"/>
    <n v="0"/>
  </r>
  <r>
    <s v="CUST0120"/>
    <s v="Fatima Lindsey"/>
    <d v="2025-03-25T00:00:00"/>
    <n v="41"/>
    <x v="2"/>
    <x v="11"/>
    <s v="5G Broadband Router"/>
    <x v="1"/>
    <n v="2"/>
    <s v="Fair"/>
    <n v="60"/>
    <x v="2"/>
    <x v="2"/>
    <n v="20000"/>
    <n v="5"/>
    <n v="100000"/>
    <n v="20000"/>
    <n v="136.4"/>
    <x v="0"/>
    <n v="1"/>
    <n v="0"/>
    <n v="0"/>
    <n v="0"/>
  </r>
  <r>
    <s v="CUST0121"/>
    <s v="Tunde Smith"/>
    <d v="2025-02-25T00:00:00"/>
    <n v="36"/>
    <x v="2"/>
    <x v="15"/>
    <s v="Broadband MiFi"/>
    <x v="1"/>
    <n v="3"/>
    <s v="Good"/>
    <n v="31"/>
    <x v="2"/>
    <x v="10"/>
    <n v="24000"/>
    <n v="2"/>
    <n v="48000"/>
    <n v="24000"/>
    <n v="147.87"/>
    <x v="1"/>
    <n v="0"/>
    <n v="0"/>
    <n v="0"/>
    <n v="0"/>
  </r>
  <r>
    <s v="CUST0121"/>
    <s v="Tunde Smith"/>
    <d v="2025-02-25T00:00:00"/>
    <n v="36"/>
    <x v="2"/>
    <x v="15"/>
    <s v="Mobile SIM Card"/>
    <x v="1"/>
    <n v="3"/>
    <s v="Good"/>
    <n v="31"/>
    <x v="2"/>
    <x v="19"/>
    <n v="600"/>
    <n v="6"/>
    <n v="3600"/>
    <n v="600"/>
    <n v="83.87"/>
    <x v="1"/>
    <n v="0"/>
    <n v="0"/>
    <n v="0"/>
    <n v="0"/>
  </r>
  <r>
    <s v="CUST0121"/>
    <s v="Tunde Smith"/>
    <d v="2025-02-25T00:00:00"/>
    <n v="36"/>
    <x v="2"/>
    <x v="15"/>
    <s v="5G Broadband Router"/>
    <x v="1"/>
    <n v="3"/>
    <s v="Good"/>
    <n v="31"/>
    <x v="2"/>
    <x v="4"/>
    <n v="9000"/>
    <n v="13"/>
    <n v="117000"/>
    <n v="9000"/>
    <n v="199.44"/>
    <x v="1"/>
    <n v="0"/>
    <n v="0"/>
    <n v="0"/>
    <n v="0"/>
  </r>
  <r>
    <s v="CUST0122"/>
    <s v="Grace Fowler"/>
    <d v="2025-03-25T00:00:00"/>
    <n v="39"/>
    <x v="2"/>
    <x v="14"/>
    <s v="5G Broadband Router"/>
    <x v="0"/>
    <n v="5"/>
    <s v="Excellent"/>
    <n v="1"/>
    <x v="0"/>
    <x v="8"/>
    <n v="150000"/>
    <n v="5"/>
    <n v="750000"/>
    <n v="150000"/>
    <n v="177.91"/>
    <x v="1"/>
    <n v="0"/>
    <n v="0"/>
    <n v="0"/>
    <n v="0"/>
  </r>
  <r>
    <s v="CUST0122"/>
    <s v="Grace Fowler"/>
    <d v="2025-03-25T00:00:00"/>
    <n v="39"/>
    <x v="2"/>
    <x v="14"/>
    <s v="4G Router"/>
    <x v="0"/>
    <n v="5"/>
    <s v="Excellent"/>
    <n v="1"/>
    <x v="0"/>
    <x v="0"/>
    <n v="35000"/>
    <n v="4"/>
    <n v="140000"/>
    <n v="35000"/>
    <n v="54.93"/>
    <x v="1"/>
    <n v="0"/>
    <n v="0"/>
    <n v="0"/>
    <n v="0"/>
  </r>
  <r>
    <s v="CUST0123"/>
    <s v="Tega Chen"/>
    <d v="2025-02-25T00:00:00"/>
    <n v="36"/>
    <x v="2"/>
    <x v="2"/>
    <s v="4G Router"/>
    <x v="1"/>
    <n v="1"/>
    <s v="Poor"/>
    <n v="46"/>
    <x v="2"/>
    <x v="0"/>
    <n v="35000"/>
    <n v="17"/>
    <n v="595000"/>
    <n v="35000"/>
    <n v="165.48"/>
    <x v="1"/>
    <n v="0"/>
    <n v="0"/>
    <n v="0"/>
    <n v="0"/>
  </r>
  <r>
    <s v="CUST0123"/>
    <s v="Tega Chen"/>
    <d v="2025-02-25T00:00:00"/>
    <n v="36"/>
    <x v="2"/>
    <x v="2"/>
    <s v="Broadband MiFi"/>
    <x v="1"/>
    <n v="1"/>
    <s v="Poor"/>
    <n v="46"/>
    <x v="2"/>
    <x v="11"/>
    <n v="30000"/>
    <n v="4"/>
    <n v="120000"/>
    <n v="30000"/>
    <n v="17.8"/>
    <x v="1"/>
    <n v="0"/>
    <n v="0"/>
    <n v="0"/>
    <n v="0"/>
  </r>
  <r>
    <s v="CUST0124"/>
    <s v="Shehu Nguyen"/>
    <d v="2025-02-25T00:00:00"/>
    <n v="33"/>
    <x v="0"/>
    <x v="31"/>
    <s v="5G Broadband Router"/>
    <x v="1"/>
    <n v="1"/>
    <s v="Poor"/>
    <n v="60"/>
    <x v="2"/>
    <x v="10"/>
    <n v="24000"/>
    <n v="19"/>
    <n v="456000"/>
    <n v="24000"/>
    <n v="116.7"/>
    <x v="0"/>
    <n v="1"/>
    <n v="0"/>
    <n v="0"/>
    <n v="0"/>
  </r>
  <r>
    <s v="CUST0124"/>
    <s v="Shehu Nguyen"/>
    <d v="2025-02-25T00:00:00"/>
    <n v="33"/>
    <x v="0"/>
    <x v="31"/>
    <s v="4G Router"/>
    <x v="1"/>
    <n v="1"/>
    <s v="Poor"/>
    <n v="60"/>
    <x v="2"/>
    <x v="9"/>
    <n v="16000"/>
    <n v="12"/>
    <n v="192000"/>
    <n v="16000"/>
    <n v="52.68"/>
    <x v="0"/>
    <n v="1"/>
    <n v="0"/>
    <n v="0"/>
    <n v="0"/>
  </r>
  <r>
    <s v="CUST0125"/>
    <s v="Halima Aguilar"/>
    <d v="2025-02-25T00:00:00"/>
    <n v="23"/>
    <x v="1"/>
    <x v="27"/>
    <s v="5G Broadband Router"/>
    <x v="1"/>
    <n v="4"/>
    <s v="Very Good"/>
    <n v="20"/>
    <x v="1"/>
    <x v="10"/>
    <n v="24000"/>
    <n v="8"/>
    <n v="192000"/>
    <n v="24000"/>
    <n v="73.83"/>
    <x v="1"/>
    <n v="0"/>
    <n v="0"/>
    <n v="0"/>
    <n v="0"/>
  </r>
  <r>
    <s v="CUST0125"/>
    <s v="Halima Aguilar"/>
    <d v="2025-02-25T00:00:00"/>
    <n v="23"/>
    <x v="1"/>
    <x v="27"/>
    <s v="Mobile SIM Card"/>
    <x v="1"/>
    <n v="4"/>
    <s v="Very Good"/>
    <n v="20"/>
    <x v="1"/>
    <x v="13"/>
    <n v="350"/>
    <n v="16"/>
    <n v="5600"/>
    <n v="350"/>
    <n v="191.49"/>
    <x v="1"/>
    <n v="0"/>
    <n v="0"/>
    <n v="0"/>
    <n v="0"/>
  </r>
  <r>
    <s v="CUST0125"/>
    <s v="Halima Aguilar"/>
    <d v="2025-02-25T00:00:00"/>
    <n v="23"/>
    <x v="1"/>
    <x v="27"/>
    <s v="Broadband MiFi"/>
    <x v="1"/>
    <n v="4"/>
    <s v="Very Good"/>
    <n v="20"/>
    <x v="1"/>
    <x v="2"/>
    <n v="20000"/>
    <n v="20"/>
    <n v="400000"/>
    <n v="20000"/>
    <n v="91.27"/>
    <x v="1"/>
    <n v="0"/>
    <n v="0"/>
    <n v="0"/>
    <n v="0"/>
  </r>
  <r>
    <s v="CUST0126"/>
    <s v="Ejiro Ware"/>
    <d v="2025-02-25T00:00:00"/>
    <n v="69"/>
    <x v="3"/>
    <x v="31"/>
    <s v="Mobile SIM Card"/>
    <x v="0"/>
    <n v="5"/>
    <s v="Excellent"/>
    <n v="49"/>
    <x v="2"/>
    <x v="20"/>
    <n v="6500"/>
    <n v="3"/>
    <n v="19500"/>
    <n v="6500"/>
    <n v="140.9"/>
    <x v="1"/>
    <n v="0"/>
    <n v="0"/>
    <n v="0"/>
    <n v="0"/>
  </r>
  <r>
    <s v="CUST0127"/>
    <s v="Ifeanyi Clayton"/>
    <d v="2025-02-25T00:00:00"/>
    <n v="23"/>
    <x v="1"/>
    <x v="28"/>
    <s v="Mobile SIM Card"/>
    <x v="0"/>
    <n v="2"/>
    <s v="Fair"/>
    <n v="37"/>
    <x v="2"/>
    <x v="1"/>
    <n v="5500"/>
    <n v="17"/>
    <n v="93500"/>
    <n v="5500"/>
    <n v="18.64"/>
    <x v="1"/>
    <n v="0"/>
    <n v="0"/>
    <n v="0"/>
    <n v="0"/>
  </r>
  <r>
    <s v="CUST0127"/>
    <s v="Ifeanyi Clayton"/>
    <d v="2025-02-25T00:00:00"/>
    <n v="23"/>
    <x v="1"/>
    <x v="28"/>
    <s v="Broadband MiFi"/>
    <x v="0"/>
    <n v="2"/>
    <s v="Fair"/>
    <n v="37"/>
    <x v="2"/>
    <x v="12"/>
    <n v="14500"/>
    <n v="15"/>
    <n v="217500"/>
    <n v="14500"/>
    <n v="161.83000000000001"/>
    <x v="1"/>
    <n v="0"/>
    <n v="0"/>
    <n v="0"/>
    <n v="0"/>
  </r>
  <r>
    <s v="CUST0127"/>
    <s v="Ifeanyi Clayton"/>
    <d v="2025-02-25T00:00:00"/>
    <n v="23"/>
    <x v="1"/>
    <x v="28"/>
    <s v="5G Broadband Router"/>
    <x v="0"/>
    <n v="2"/>
    <s v="Fair"/>
    <n v="37"/>
    <x v="2"/>
    <x v="11"/>
    <n v="30000"/>
    <n v="15"/>
    <n v="450000"/>
    <n v="30000"/>
    <n v="102.89"/>
    <x v="1"/>
    <n v="0"/>
    <n v="0"/>
    <n v="0"/>
    <n v="0"/>
  </r>
  <r>
    <s v="CUST0128"/>
    <s v="Sade Berry"/>
    <d v="2025-03-25T00:00:00"/>
    <n v="75"/>
    <x v="3"/>
    <x v="24"/>
    <s v="Broadband MiFi"/>
    <x v="0"/>
    <n v="1"/>
    <s v="Poor"/>
    <n v="26"/>
    <x v="2"/>
    <x v="11"/>
    <n v="30000"/>
    <n v="18"/>
    <n v="540000"/>
    <n v="30000"/>
    <n v="140.22999999999999"/>
    <x v="1"/>
    <n v="0"/>
    <n v="0"/>
    <n v="0"/>
    <n v="0"/>
  </r>
  <r>
    <s v="CUST0128"/>
    <s v="Sade Berry"/>
    <d v="2025-03-25T00:00:00"/>
    <n v="75"/>
    <x v="3"/>
    <x v="24"/>
    <s v="Mobile SIM Card"/>
    <x v="0"/>
    <n v="1"/>
    <s v="Poor"/>
    <n v="26"/>
    <x v="2"/>
    <x v="16"/>
    <n v="900"/>
    <n v="3"/>
    <n v="2700"/>
    <n v="900"/>
    <n v="186.95"/>
    <x v="1"/>
    <n v="0"/>
    <n v="0"/>
    <n v="0"/>
    <n v="0"/>
  </r>
  <r>
    <s v="CUST0128"/>
    <s v="Sade Berry"/>
    <d v="2025-03-25T00:00:00"/>
    <n v="75"/>
    <x v="3"/>
    <x v="24"/>
    <s v="Mobile SIM Card"/>
    <x v="0"/>
    <n v="1"/>
    <s v="Poor"/>
    <n v="26"/>
    <x v="2"/>
    <x v="0"/>
    <n v="35000"/>
    <n v="14"/>
    <n v="490000"/>
    <n v="35000"/>
    <n v="6.83"/>
    <x v="1"/>
    <n v="0"/>
    <n v="0"/>
    <n v="0"/>
    <n v="0"/>
  </r>
  <r>
    <s v="CUST0129"/>
    <s v="Shehu Lee"/>
    <d v="2025-02-25T00:00:00"/>
    <n v="33"/>
    <x v="0"/>
    <x v="15"/>
    <s v="Mobile SIM Card"/>
    <x v="1"/>
    <n v="4"/>
    <s v="Very Good"/>
    <n v="58"/>
    <x v="2"/>
    <x v="20"/>
    <n v="6500"/>
    <n v="12"/>
    <n v="78000"/>
    <n v="6500"/>
    <n v="27.03"/>
    <x v="1"/>
    <n v="0"/>
    <n v="0"/>
    <n v="0"/>
    <n v="0"/>
  </r>
  <r>
    <s v="CUST0129"/>
    <s v="Shehu Lee"/>
    <d v="2025-02-25T00:00:00"/>
    <n v="33"/>
    <x v="0"/>
    <x v="15"/>
    <s v="Broadband MiFi"/>
    <x v="1"/>
    <n v="4"/>
    <s v="Very Good"/>
    <n v="58"/>
    <x v="2"/>
    <x v="4"/>
    <n v="9000"/>
    <n v="18"/>
    <n v="162000"/>
    <n v="9000"/>
    <n v="36.11"/>
    <x v="1"/>
    <n v="0"/>
    <n v="0"/>
    <n v="0"/>
    <n v="0"/>
  </r>
  <r>
    <s v="CUST0130"/>
    <s v="Tamuno Greer"/>
    <d v="2025-01-25T00:00:00"/>
    <n v="32"/>
    <x v="0"/>
    <x v="16"/>
    <s v="Mobile SIM Card"/>
    <x v="0"/>
    <n v="3"/>
    <s v="Good"/>
    <n v="49"/>
    <x v="2"/>
    <x v="13"/>
    <n v="350"/>
    <n v="12"/>
    <n v="4200"/>
    <n v="350"/>
    <n v="49.88"/>
    <x v="1"/>
    <n v="0"/>
    <n v="0"/>
    <n v="0"/>
    <n v="0"/>
  </r>
  <r>
    <s v="CUST0130"/>
    <s v="Tamuno Greer"/>
    <d v="2025-01-25T00:00:00"/>
    <n v="32"/>
    <x v="0"/>
    <x v="16"/>
    <s v="5G Broadband Router"/>
    <x v="0"/>
    <n v="3"/>
    <s v="Good"/>
    <n v="49"/>
    <x v="2"/>
    <x v="11"/>
    <n v="30000"/>
    <n v="4"/>
    <n v="120000"/>
    <n v="30000"/>
    <n v="55.49"/>
    <x v="1"/>
    <n v="0"/>
    <n v="0"/>
    <n v="0"/>
    <n v="0"/>
  </r>
  <r>
    <s v="CUST0130"/>
    <s v="Tamuno Greer"/>
    <d v="2025-01-25T00:00:00"/>
    <n v="32"/>
    <x v="0"/>
    <x v="16"/>
    <s v="4G Router"/>
    <x v="0"/>
    <n v="3"/>
    <s v="Good"/>
    <n v="49"/>
    <x v="2"/>
    <x v="9"/>
    <n v="16000"/>
    <n v="14"/>
    <n v="224000"/>
    <n v="16000"/>
    <n v="161.99"/>
    <x v="1"/>
    <n v="0"/>
    <n v="0"/>
    <n v="0"/>
    <n v="0"/>
  </r>
  <r>
    <s v="CUST0131"/>
    <s v="Funke Hart"/>
    <d v="2025-01-25T00:00:00"/>
    <n v="46"/>
    <x v="4"/>
    <x v="9"/>
    <s v="Broadband MiFi"/>
    <x v="0"/>
    <n v="4"/>
    <s v="Very Good"/>
    <n v="7"/>
    <x v="3"/>
    <x v="12"/>
    <n v="14500"/>
    <n v="18"/>
    <n v="261000"/>
    <n v="14500"/>
    <n v="88.07"/>
    <x v="1"/>
    <n v="0"/>
    <n v="0"/>
    <n v="0"/>
    <n v="0"/>
  </r>
  <r>
    <s v="CUST0131"/>
    <s v="Funke Hart"/>
    <d v="2025-01-25T00:00:00"/>
    <n v="46"/>
    <x v="4"/>
    <x v="9"/>
    <s v="Mobile SIM Card"/>
    <x v="0"/>
    <n v="4"/>
    <s v="Very Good"/>
    <n v="7"/>
    <x v="3"/>
    <x v="13"/>
    <n v="350"/>
    <n v="2"/>
    <n v="700"/>
    <n v="350"/>
    <n v="151"/>
    <x v="1"/>
    <n v="0"/>
    <n v="0"/>
    <n v="0"/>
    <n v="0"/>
  </r>
  <r>
    <s v="CUST0131"/>
    <s v="Funke Hart"/>
    <d v="2025-01-25T00:00:00"/>
    <n v="46"/>
    <x v="4"/>
    <x v="9"/>
    <s v="5G Broadband Router"/>
    <x v="0"/>
    <n v="4"/>
    <s v="Very Good"/>
    <n v="7"/>
    <x v="3"/>
    <x v="11"/>
    <n v="30000"/>
    <n v="10"/>
    <n v="300000"/>
    <n v="30000"/>
    <n v="101.03"/>
    <x v="1"/>
    <n v="0"/>
    <n v="0"/>
    <n v="0"/>
    <n v="0"/>
  </r>
  <r>
    <s v="CUST0132"/>
    <s v="Nura Yang"/>
    <d v="2025-02-25T00:00:00"/>
    <n v="56"/>
    <x v="3"/>
    <x v="32"/>
    <s v="Broadband MiFi"/>
    <x v="0"/>
    <n v="5"/>
    <s v="Excellent"/>
    <n v="20"/>
    <x v="1"/>
    <x v="10"/>
    <n v="24000"/>
    <n v="6"/>
    <n v="144000"/>
    <n v="24000"/>
    <n v="176"/>
    <x v="0"/>
    <n v="1"/>
    <n v="0"/>
    <n v="0"/>
    <n v="0"/>
  </r>
  <r>
    <s v="CUST0132"/>
    <s v="Nura Yang"/>
    <d v="2025-02-25T00:00:00"/>
    <n v="56"/>
    <x v="3"/>
    <x v="32"/>
    <s v="5G Broadband Router"/>
    <x v="0"/>
    <n v="5"/>
    <s v="Excellent"/>
    <n v="20"/>
    <x v="1"/>
    <x v="17"/>
    <n v="75000"/>
    <n v="2"/>
    <n v="150000"/>
    <n v="75000"/>
    <n v="111.39"/>
    <x v="0"/>
    <n v="1"/>
    <n v="0"/>
    <n v="0"/>
    <n v="0"/>
  </r>
  <r>
    <s v="CUST0133"/>
    <s v="Oghene Cooper"/>
    <d v="2025-02-25T00:00:00"/>
    <n v="64"/>
    <x v="3"/>
    <x v="8"/>
    <s v="Mobile SIM Card"/>
    <x v="1"/>
    <n v="4"/>
    <s v="Very Good"/>
    <n v="45"/>
    <x v="2"/>
    <x v="13"/>
    <n v="350"/>
    <n v="10"/>
    <n v="3500"/>
    <n v="350"/>
    <n v="169.94"/>
    <x v="0"/>
    <n v="1"/>
    <n v="0"/>
    <n v="0"/>
    <n v="0"/>
  </r>
  <r>
    <s v="CUST0134"/>
    <s v="Obinna Branch"/>
    <d v="2025-02-25T00:00:00"/>
    <n v="75"/>
    <x v="3"/>
    <x v="4"/>
    <s v="Broadband MiFi"/>
    <x v="1"/>
    <n v="4"/>
    <s v="Very Good"/>
    <n v="27"/>
    <x v="2"/>
    <x v="11"/>
    <n v="30000"/>
    <n v="7"/>
    <n v="210000"/>
    <n v="30000"/>
    <n v="18.95"/>
    <x v="0"/>
    <n v="1"/>
    <n v="0"/>
    <n v="0"/>
    <n v="0"/>
  </r>
  <r>
    <s v="CUST0134"/>
    <s v="Obinna Branch"/>
    <d v="2025-02-25T00:00:00"/>
    <n v="75"/>
    <x v="3"/>
    <x v="4"/>
    <s v="4G Router"/>
    <x v="1"/>
    <n v="4"/>
    <s v="Very Good"/>
    <n v="27"/>
    <x v="2"/>
    <x v="9"/>
    <n v="16000"/>
    <n v="20"/>
    <n v="320000"/>
    <n v="16000"/>
    <n v="54.06"/>
    <x v="0"/>
    <n v="1"/>
    <n v="0"/>
    <n v="0"/>
    <n v="0"/>
  </r>
  <r>
    <s v="CUST0135"/>
    <s v="Bola Anderson"/>
    <d v="2025-02-25T00:00:00"/>
    <n v="25"/>
    <x v="0"/>
    <x v="18"/>
    <s v="Mobile SIM Card"/>
    <x v="0"/>
    <n v="3"/>
    <s v="Good"/>
    <n v="31"/>
    <x v="2"/>
    <x v="5"/>
    <n v="4500"/>
    <n v="4"/>
    <n v="18000"/>
    <n v="4500"/>
    <n v="192.43"/>
    <x v="1"/>
    <n v="0"/>
    <n v="0"/>
    <n v="0"/>
    <n v="0"/>
  </r>
  <r>
    <s v="CUST0136"/>
    <s v="John Hill"/>
    <d v="2025-02-25T00:00:00"/>
    <n v="47"/>
    <x v="4"/>
    <x v="9"/>
    <s v="Mobile SIM Card"/>
    <x v="1"/>
    <n v="5"/>
    <s v="Excellent"/>
    <n v="59"/>
    <x v="2"/>
    <x v="20"/>
    <n v="6500"/>
    <n v="10"/>
    <n v="65000"/>
    <n v="6500"/>
    <n v="129.91999999999999"/>
    <x v="1"/>
    <n v="0"/>
    <n v="0"/>
    <n v="0"/>
    <n v="0"/>
  </r>
  <r>
    <s v="CUST0136"/>
    <s v="John Hill"/>
    <d v="2025-02-25T00:00:00"/>
    <n v="47"/>
    <x v="4"/>
    <x v="9"/>
    <s v="4G Router"/>
    <x v="1"/>
    <n v="5"/>
    <s v="Excellent"/>
    <n v="59"/>
    <x v="2"/>
    <x v="6"/>
    <n v="9000"/>
    <n v="16"/>
    <n v="144000"/>
    <n v="9000"/>
    <n v="72.25"/>
    <x v="1"/>
    <n v="0"/>
    <n v="0"/>
    <n v="0"/>
    <n v="0"/>
  </r>
  <r>
    <s v="CUST0137"/>
    <s v="Zina Singh"/>
    <d v="2025-02-25T00:00:00"/>
    <n v="28"/>
    <x v="0"/>
    <x v="31"/>
    <s v="4G Router"/>
    <x v="1"/>
    <n v="3"/>
    <s v="Good"/>
    <n v="59"/>
    <x v="2"/>
    <x v="5"/>
    <n v="4500"/>
    <n v="18"/>
    <n v="81000"/>
    <n v="4500"/>
    <n v="3.74"/>
    <x v="1"/>
    <n v="0"/>
    <n v="0"/>
    <n v="0"/>
    <n v="0"/>
  </r>
  <r>
    <s v="CUST0138"/>
    <s v="Ibim Brown"/>
    <d v="2025-02-25T00:00:00"/>
    <n v="53"/>
    <x v="4"/>
    <x v="5"/>
    <s v="Mobile SIM Card"/>
    <x v="0"/>
    <n v="4"/>
    <s v="Very Good"/>
    <n v="22"/>
    <x v="1"/>
    <x v="20"/>
    <n v="6500"/>
    <n v="11"/>
    <n v="71500"/>
    <n v="6500"/>
    <n v="131.09"/>
    <x v="1"/>
    <n v="0"/>
    <n v="0"/>
    <n v="0"/>
    <n v="0"/>
  </r>
  <r>
    <s v="CUST0139"/>
    <s v="Saidu Holt"/>
    <d v="2025-03-25T00:00:00"/>
    <n v="78"/>
    <x v="3"/>
    <x v="12"/>
    <s v="4G Router"/>
    <x v="1"/>
    <n v="2"/>
    <s v="Fair"/>
    <n v="11"/>
    <x v="3"/>
    <x v="9"/>
    <n v="16000"/>
    <n v="3"/>
    <n v="48000"/>
    <n v="16000"/>
    <n v="105.03"/>
    <x v="0"/>
    <n v="1"/>
    <n v="0"/>
    <n v="0"/>
    <n v="0"/>
  </r>
  <r>
    <s v="CUST0139"/>
    <s v="Saidu Holt"/>
    <d v="2025-03-25T00:00:00"/>
    <n v="78"/>
    <x v="3"/>
    <x v="12"/>
    <s v="5G Broadband Router"/>
    <x v="1"/>
    <n v="2"/>
    <s v="Fair"/>
    <n v="11"/>
    <x v="3"/>
    <x v="4"/>
    <n v="9000"/>
    <n v="14"/>
    <n v="126000"/>
    <n v="9000"/>
    <n v="152.99"/>
    <x v="0"/>
    <n v="1"/>
    <n v="0"/>
    <n v="0"/>
    <n v="0"/>
  </r>
  <r>
    <s v="CUST0140"/>
    <s v="Amaka Vang"/>
    <d v="2025-02-25T00:00:00"/>
    <n v="45"/>
    <x v="4"/>
    <x v="23"/>
    <s v="Mobile SIM Card"/>
    <x v="0"/>
    <n v="5"/>
    <s v="Excellent"/>
    <n v="1"/>
    <x v="0"/>
    <x v="1"/>
    <n v="5500"/>
    <n v="18"/>
    <n v="99000"/>
    <n v="5500"/>
    <n v="3.64"/>
    <x v="1"/>
    <n v="0"/>
    <n v="0"/>
    <n v="0"/>
    <n v="0"/>
  </r>
  <r>
    <s v="CUST0141"/>
    <s v="Ibim Faulkner"/>
    <d v="2025-03-25T00:00:00"/>
    <n v="17"/>
    <x v="1"/>
    <x v="17"/>
    <s v="Mobile SIM Card"/>
    <x v="1"/>
    <n v="1"/>
    <s v="Poor"/>
    <n v="35"/>
    <x v="2"/>
    <x v="14"/>
    <n v="1000"/>
    <n v="8"/>
    <n v="8000"/>
    <n v="1000"/>
    <n v="105.11"/>
    <x v="1"/>
    <n v="0"/>
    <n v="0"/>
    <n v="0"/>
    <n v="0"/>
  </r>
  <r>
    <s v="CUST0142"/>
    <s v="Bala Hood"/>
    <d v="2025-02-25T00:00:00"/>
    <n v="48"/>
    <x v="4"/>
    <x v="25"/>
    <s v="Mobile SIM Card"/>
    <x v="1"/>
    <n v="1"/>
    <s v="Poor"/>
    <n v="51"/>
    <x v="2"/>
    <x v="13"/>
    <n v="350"/>
    <n v="8"/>
    <n v="2800"/>
    <n v="350"/>
    <n v="198.05"/>
    <x v="1"/>
    <n v="0"/>
    <n v="0"/>
    <n v="0"/>
    <n v="0"/>
  </r>
  <r>
    <s v="CUST0142"/>
    <s v="Bala Hood"/>
    <d v="2025-02-25T00:00:00"/>
    <n v="48"/>
    <x v="4"/>
    <x v="25"/>
    <s v="5G Broadband Router"/>
    <x v="1"/>
    <n v="1"/>
    <s v="Poor"/>
    <n v="51"/>
    <x v="2"/>
    <x v="10"/>
    <n v="24000"/>
    <n v="3"/>
    <n v="72000"/>
    <n v="24000"/>
    <n v="136.97"/>
    <x v="1"/>
    <n v="0"/>
    <n v="0"/>
    <n v="0"/>
    <n v="0"/>
  </r>
  <r>
    <s v="CUST0143"/>
    <s v="Bola Brooks"/>
    <d v="2025-02-25T00:00:00"/>
    <n v="27"/>
    <x v="0"/>
    <x v="10"/>
    <s v="Mobile SIM Card"/>
    <x v="1"/>
    <n v="1"/>
    <s v="Poor"/>
    <n v="25"/>
    <x v="2"/>
    <x v="0"/>
    <n v="35000"/>
    <n v="11"/>
    <n v="385000"/>
    <n v="35000"/>
    <n v="129.16"/>
    <x v="1"/>
    <n v="0"/>
    <n v="0"/>
    <n v="0"/>
    <n v="0"/>
  </r>
  <r>
    <s v="CUST0143"/>
    <s v="Bola Brooks"/>
    <d v="2025-02-25T00:00:00"/>
    <n v="27"/>
    <x v="0"/>
    <x v="10"/>
    <s v="Broadband MiFi"/>
    <x v="1"/>
    <n v="1"/>
    <s v="Poor"/>
    <n v="25"/>
    <x v="2"/>
    <x v="10"/>
    <n v="24000"/>
    <n v="4"/>
    <n v="96000"/>
    <n v="24000"/>
    <n v="195.48"/>
    <x v="1"/>
    <n v="0"/>
    <n v="0"/>
    <n v="0"/>
    <n v="0"/>
  </r>
  <r>
    <s v="CUST0143"/>
    <s v="Bola Brooks"/>
    <d v="2025-02-25T00:00:00"/>
    <n v="27"/>
    <x v="0"/>
    <x v="10"/>
    <s v="Mobile SIM Card"/>
    <x v="1"/>
    <n v="1"/>
    <s v="Poor"/>
    <n v="25"/>
    <x v="2"/>
    <x v="20"/>
    <n v="6500"/>
    <n v="8"/>
    <n v="52000"/>
    <n v="6500"/>
    <n v="183.87"/>
    <x v="1"/>
    <n v="0"/>
    <n v="0"/>
    <n v="0"/>
    <n v="0"/>
  </r>
  <r>
    <s v="CUST0144"/>
    <s v="Fatima Wheeler"/>
    <d v="2025-01-25T00:00:00"/>
    <n v="76"/>
    <x v="3"/>
    <x v="29"/>
    <s v="Broadband MiFi"/>
    <x v="0"/>
    <n v="3"/>
    <s v="Good"/>
    <n v="60"/>
    <x v="2"/>
    <x v="4"/>
    <n v="9000"/>
    <n v="19"/>
    <n v="171000"/>
    <n v="9000"/>
    <n v="192.31"/>
    <x v="1"/>
    <n v="0"/>
    <n v="0"/>
    <n v="0"/>
    <n v="0"/>
  </r>
  <r>
    <s v="CUST0144"/>
    <s v="Fatima Wheeler"/>
    <d v="2025-01-25T00:00:00"/>
    <n v="76"/>
    <x v="3"/>
    <x v="29"/>
    <s v="Mobile SIM Card"/>
    <x v="0"/>
    <n v="3"/>
    <s v="Good"/>
    <n v="60"/>
    <x v="2"/>
    <x v="19"/>
    <n v="600"/>
    <n v="13"/>
    <n v="7800"/>
    <n v="600"/>
    <n v="150.57"/>
    <x v="1"/>
    <n v="0"/>
    <n v="0"/>
    <n v="0"/>
    <n v="0"/>
  </r>
  <r>
    <s v="CUST0144"/>
    <s v="Fatima Wheeler"/>
    <d v="2025-01-25T00:00:00"/>
    <n v="76"/>
    <x v="3"/>
    <x v="29"/>
    <s v="4G Router"/>
    <x v="0"/>
    <n v="3"/>
    <s v="Good"/>
    <n v="60"/>
    <x v="2"/>
    <x v="9"/>
    <n v="16000"/>
    <n v="19"/>
    <n v="304000"/>
    <n v="16000"/>
    <n v="60.21"/>
    <x v="1"/>
    <n v="0"/>
    <n v="0"/>
    <n v="0"/>
    <n v="0"/>
  </r>
  <r>
    <s v="CUST0145"/>
    <s v="Halima Valencia"/>
    <d v="2025-02-25T00:00:00"/>
    <n v="65"/>
    <x v="3"/>
    <x v="11"/>
    <s v="Broadband MiFi"/>
    <x v="1"/>
    <n v="1"/>
    <s v="Poor"/>
    <n v="25"/>
    <x v="2"/>
    <x v="12"/>
    <n v="14500"/>
    <n v="3"/>
    <n v="43500"/>
    <n v="14500"/>
    <n v="46.81"/>
    <x v="1"/>
    <n v="0"/>
    <n v="0"/>
    <n v="0"/>
    <n v="0"/>
  </r>
  <r>
    <s v="CUST0145"/>
    <s v="Halima Valencia"/>
    <d v="2025-02-25T00:00:00"/>
    <n v="65"/>
    <x v="3"/>
    <x v="11"/>
    <s v="Mobile SIM Card"/>
    <x v="1"/>
    <n v="1"/>
    <s v="Poor"/>
    <n v="25"/>
    <x v="2"/>
    <x v="7"/>
    <n v="3500"/>
    <n v="20"/>
    <n v="70000"/>
    <n v="3500"/>
    <n v="121.23"/>
    <x v="1"/>
    <n v="0"/>
    <n v="0"/>
    <n v="0"/>
    <n v="0"/>
  </r>
  <r>
    <s v="CUST0146"/>
    <s v="Tamuno Boyd"/>
    <d v="2025-02-25T00:00:00"/>
    <n v="57"/>
    <x v="3"/>
    <x v="17"/>
    <s v="Mobile SIM Card"/>
    <x v="1"/>
    <n v="4"/>
    <s v="Very Good"/>
    <n v="51"/>
    <x v="2"/>
    <x v="15"/>
    <n v="7500"/>
    <n v="20"/>
    <n v="150000"/>
    <n v="7500"/>
    <n v="17.600000000000001"/>
    <x v="0"/>
    <n v="1"/>
    <n v="0"/>
    <n v="0"/>
    <n v="0"/>
  </r>
  <r>
    <s v="CUST0146"/>
    <s v="Tamuno Boyd"/>
    <d v="2025-02-25T00:00:00"/>
    <n v="57"/>
    <x v="3"/>
    <x v="17"/>
    <s v="Broadband MiFi"/>
    <x v="1"/>
    <n v="4"/>
    <s v="Very Good"/>
    <n v="51"/>
    <x v="2"/>
    <x v="11"/>
    <n v="30000"/>
    <n v="3"/>
    <n v="90000"/>
    <n v="30000"/>
    <n v="159.71"/>
    <x v="0"/>
    <n v="1"/>
    <n v="0"/>
    <n v="0"/>
    <n v="0"/>
  </r>
  <r>
    <s v="CUST0147"/>
    <s v="Chinedu Martinez"/>
    <d v="2025-02-25T00:00:00"/>
    <n v="50"/>
    <x v="4"/>
    <x v="5"/>
    <s v="Broadband MiFi"/>
    <x v="1"/>
    <n v="4"/>
    <s v="Very Good"/>
    <n v="46"/>
    <x v="2"/>
    <x v="4"/>
    <n v="9000"/>
    <n v="15"/>
    <n v="135000"/>
    <n v="9000"/>
    <n v="188.62"/>
    <x v="1"/>
    <n v="0"/>
    <n v="0"/>
    <n v="0"/>
    <n v="0"/>
  </r>
  <r>
    <s v="CUST0148"/>
    <s v="Ejiro Finley"/>
    <d v="2025-02-25T00:00:00"/>
    <n v="50"/>
    <x v="4"/>
    <x v="13"/>
    <s v="Mobile SIM Card"/>
    <x v="0"/>
    <n v="4"/>
    <s v="Very Good"/>
    <n v="6"/>
    <x v="3"/>
    <x v="14"/>
    <n v="1000"/>
    <n v="3"/>
    <n v="3000"/>
    <n v="1000"/>
    <n v="71.11"/>
    <x v="1"/>
    <n v="0"/>
    <n v="0"/>
    <n v="0"/>
    <n v="0"/>
  </r>
  <r>
    <s v="CUST0148"/>
    <s v="Ejiro Finley"/>
    <d v="2025-02-25T00:00:00"/>
    <n v="50"/>
    <x v="4"/>
    <x v="13"/>
    <s v="Broadband MiFi"/>
    <x v="0"/>
    <n v="4"/>
    <s v="Very Good"/>
    <n v="6"/>
    <x v="3"/>
    <x v="10"/>
    <n v="24000"/>
    <n v="11"/>
    <n v="264000"/>
    <n v="24000"/>
    <n v="119.81"/>
    <x v="1"/>
    <n v="0"/>
    <n v="0"/>
    <n v="0"/>
    <n v="0"/>
  </r>
  <r>
    <s v="CUST0148"/>
    <s v="Ejiro Finley"/>
    <d v="2025-02-25T00:00:00"/>
    <n v="50"/>
    <x v="4"/>
    <x v="13"/>
    <s v="5G Broadband Router"/>
    <x v="0"/>
    <n v="4"/>
    <s v="Very Good"/>
    <n v="6"/>
    <x v="3"/>
    <x v="17"/>
    <n v="75000"/>
    <n v="14"/>
    <n v="1050000"/>
    <n v="75000"/>
    <n v="2.96"/>
    <x v="1"/>
    <n v="0"/>
    <n v="0"/>
    <n v="0"/>
    <n v="0"/>
  </r>
  <r>
    <s v="CUST0149"/>
    <s v="Omamuzo Levine"/>
    <d v="2025-02-25T00:00:00"/>
    <n v="26"/>
    <x v="0"/>
    <x v="7"/>
    <s v="Mobile SIM Card"/>
    <x v="0"/>
    <n v="2"/>
    <s v="Fair"/>
    <n v="44"/>
    <x v="2"/>
    <x v="14"/>
    <n v="1000"/>
    <n v="9"/>
    <n v="9000"/>
    <n v="1000"/>
    <n v="33.86"/>
    <x v="0"/>
    <n v="1"/>
    <n v="0"/>
    <n v="0"/>
    <n v="0"/>
  </r>
  <r>
    <s v="CUST0149"/>
    <s v="Omamuzo Levine"/>
    <d v="2025-02-25T00:00:00"/>
    <n v="26"/>
    <x v="0"/>
    <x v="7"/>
    <s v="Broadband MiFi"/>
    <x v="0"/>
    <n v="2"/>
    <s v="Fair"/>
    <n v="44"/>
    <x v="2"/>
    <x v="12"/>
    <n v="14500"/>
    <n v="3"/>
    <n v="43500"/>
    <n v="14500"/>
    <n v="60.3"/>
    <x v="0"/>
    <n v="1"/>
    <n v="0"/>
    <n v="0"/>
    <n v="0"/>
  </r>
  <r>
    <s v="CUST0150"/>
    <s v="Ejiro Roman"/>
    <d v="2025-02-25T00:00:00"/>
    <n v="48"/>
    <x v="4"/>
    <x v="7"/>
    <s v="Mobile SIM Card"/>
    <x v="1"/>
    <n v="4"/>
    <s v="Very Good"/>
    <n v="39"/>
    <x v="2"/>
    <x v="7"/>
    <n v="3500"/>
    <n v="13"/>
    <n v="45500"/>
    <n v="3500"/>
    <n v="168.4"/>
    <x v="0"/>
    <n v="1"/>
    <n v="0"/>
    <n v="0"/>
    <n v="0"/>
  </r>
  <r>
    <s v="CUST0151"/>
    <s v="Tega Mendez"/>
    <d v="2025-02-25T00:00:00"/>
    <n v="72"/>
    <x v="3"/>
    <x v="26"/>
    <s v="4G Router"/>
    <x v="1"/>
    <n v="3"/>
    <s v="Good"/>
    <n v="53"/>
    <x v="2"/>
    <x v="5"/>
    <n v="4500"/>
    <n v="11"/>
    <n v="49500"/>
    <n v="4500"/>
    <n v="192.93"/>
    <x v="1"/>
    <n v="0"/>
    <n v="0"/>
    <n v="0"/>
    <n v="0"/>
  </r>
  <r>
    <s v="CUST0151"/>
    <s v="Tega Mendez"/>
    <d v="2025-02-25T00:00:00"/>
    <n v="72"/>
    <x v="3"/>
    <x v="26"/>
    <s v="Mobile SIM Card"/>
    <x v="1"/>
    <n v="3"/>
    <s v="Good"/>
    <n v="53"/>
    <x v="2"/>
    <x v="3"/>
    <n v="500"/>
    <n v="16"/>
    <n v="8000"/>
    <n v="500"/>
    <n v="147.11000000000001"/>
    <x v="1"/>
    <n v="0"/>
    <n v="0"/>
    <n v="0"/>
    <n v="0"/>
  </r>
  <r>
    <s v="CUST0151"/>
    <s v="Tega Mendez"/>
    <d v="2025-02-25T00:00:00"/>
    <n v="72"/>
    <x v="3"/>
    <x v="26"/>
    <s v="5G Broadband Router"/>
    <x v="1"/>
    <n v="3"/>
    <s v="Good"/>
    <n v="53"/>
    <x v="2"/>
    <x v="12"/>
    <n v="14500"/>
    <n v="9"/>
    <n v="130500"/>
    <n v="14500"/>
    <n v="65.510000000000005"/>
    <x v="1"/>
    <n v="0"/>
    <n v="0"/>
    <n v="0"/>
    <n v="0"/>
  </r>
  <r>
    <s v="CUST0152"/>
    <s v="Tamuno Yang"/>
    <d v="2025-02-25T00:00:00"/>
    <n v="62"/>
    <x v="3"/>
    <x v="27"/>
    <s v="4G Router"/>
    <x v="0"/>
    <n v="5"/>
    <s v="Excellent"/>
    <n v="38"/>
    <x v="2"/>
    <x v="6"/>
    <n v="9000"/>
    <n v="3"/>
    <n v="27000"/>
    <n v="9000"/>
    <n v="166.34"/>
    <x v="0"/>
    <n v="1"/>
    <n v="0"/>
    <n v="0"/>
    <n v="0"/>
  </r>
  <r>
    <s v="CUST0152"/>
    <s v="Tamuno Yang"/>
    <d v="2025-02-25T00:00:00"/>
    <n v="62"/>
    <x v="3"/>
    <x v="27"/>
    <s v="Mobile SIM Card"/>
    <x v="0"/>
    <n v="5"/>
    <s v="Excellent"/>
    <n v="38"/>
    <x v="2"/>
    <x v="15"/>
    <n v="7500"/>
    <n v="5"/>
    <n v="37500"/>
    <n v="7500"/>
    <n v="134.76"/>
    <x v="0"/>
    <n v="1"/>
    <n v="0"/>
    <n v="0"/>
    <n v="0"/>
  </r>
  <r>
    <s v="CUST0153"/>
    <s v="Maryam Williams"/>
    <d v="2025-02-25T00:00:00"/>
    <n v="46"/>
    <x v="4"/>
    <x v="22"/>
    <s v="Mobile SIM Card"/>
    <x v="0"/>
    <n v="4"/>
    <s v="Very Good"/>
    <n v="46"/>
    <x v="2"/>
    <x v="20"/>
    <n v="6500"/>
    <n v="14"/>
    <n v="91000"/>
    <n v="6500"/>
    <n v="184.74"/>
    <x v="0"/>
    <n v="1"/>
    <n v="0"/>
    <n v="0"/>
    <n v="0"/>
  </r>
  <r>
    <s v="CUST0153"/>
    <s v="Maryam Williams"/>
    <d v="2025-02-25T00:00:00"/>
    <n v="46"/>
    <x v="4"/>
    <x v="22"/>
    <s v="5G Broadband Router"/>
    <x v="0"/>
    <n v="4"/>
    <s v="Very Good"/>
    <n v="46"/>
    <x v="2"/>
    <x v="4"/>
    <n v="9000"/>
    <n v="12"/>
    <n v="108000"/>
    <n v="9000"/>
    <n v="158.25"/>
    <x v="0"/>
    <n v="1"/>
    <n v="0"/>
    <n v="0"/>
    <n v="0"/>
  </r>
  <r>
    <s v="CUST0154"/>
    <s v="David Miller"/>
    <d v="2025-03-25T00:00:00"/>
    <n v="26"/>
    <x v="0"/>
    <x v="13"/>
    <s v="Mobile SIM Card"/>
    <x v="0"/>
    <n v="2"/>
    <s v="Fair"/>
    <n v="43"/>
    <x v="2"/>
    <x v="7"/>
    <n v="3500"/>
    <n v="14"/>
    <n v="49000"/>
    <n v="3500"/>
    <n v="193.16"/>
    <x v="1"/>
    <n v="0"/>
    <n v="0"/>
    <n v="0"/>
    <n v="0"/>
  </r>
  <r>
    <s v="CUST0155"/>
    <s v="Ngozi Fowler"/>
    <d v="2025-02-25T00:00:00"/>
    <n v="17"/>
    <x v="1"/>
    <x v="13"/>
    <s v="4G Router"/>
    <x v="1"/>
    <n v="4"/>
    <s v="Very Good"/>
    <n v="15"/>
    <x v="1"/>
    <x v="5"/>
    <n v="4500"/>
    <n v="10"/>
    <n v="45000"/>
    <n v="4500"/>
    <n v="96.81"/>
    <x v="1"/>
    <n v="0"/>
    <n v="0"/>
    <n v="0"/>
    <n v="0"/>
  </r>
  <r>
    <s v="CUST0155"/>
    <s v="Ngozi Fowler"/>
    <d v="2025-02-25T00:00:00"/>
    <n v="17"/>
    <x v="1"/>
    <x v="13"/>
    <s v="Mobile SIM Card"/>
    <x v="1"/>
    <n v="4"/>
    <s v="Very Good"/>
    <n v="15"/>
    <x v="1"/>
    <x v="1"/>
    <n v="5500"/>
    <n v="3"/>
    <n v="16500"/>
    <n v="5500"/>
    <n v="184.15"/>
    <x v="1"/>
    <n v="0"/>
    <n v="0"/>
    <n v="0"/>
    <n v="0"/>
  </r>
  <r>
    <s v="CUST0156"/>
    <s v="Ifeanyi Garcia"/>
    <d v="2025-02-25T00:00:00"/>
    <n v="34"/>
    <x v="0"/>
    <x v="25"/>
    <s v="Mobile SIM Card"/>
    <x v="1"/>
    <n v="2"/>
    <s v="Fair"/>
    <n v="22"/>
    <x v="1"/>
    <x v="1"/>
    <n v="5500"/>
    <n v="15"/>
    <n v="82500"/>
    <n v="5500"/>
    <n v="144.54"/>
    <x v="1"/>
    <n v="0"/>
    <n v="0"/>
    <n v="0"/>
    <n v="0"/>
  </r>
  <r>
    <s v="CUST0156"/>
    <s v="Ifeanyi Garcia"/>
    <d v="2025-02-25T00:00:00"/>
    <n v="34"/>
    <x v="0"/>
    <x v="25"/>
    <s v="Broadband MiFi"/>
    <x v="1"/>
    <n v="2"/>
    <s v="Fair"/>
    <n v="22"/>
    <x v="1"/>
    <x v="11"/>
    <n v="30000"/>
    <n v="2"/>
    <n v="60000"/>
    <n v="30000"/>
    <n v="13.9"/>
    <x v="1"/>
    <n v="0"/>
    <n v="0"/>
    <n v="0"/>
    <n v="0"/>
  </r>
  <r>
    <s v="CUST0157"/>
    <s v="Ifeanyi Jimenez"/>
    <d v="2025-02-25T00:00:00"/>
    <n v="18"/>
    <x v="1"/>
    <x v="26"/>
    <s v="4G Router"/>
    <x v="0"/>
    <n v="2"/>
    <s v="Fair"/>
    <n v="44"/>
    <x v="2"/>
    <x v="5"/>
    <n v="4500"/>
    <n v="13"/>
    <n v="58500"/>
    <n v="4500"/>
    <n v="46.76"/>
    <x v="1"/>
    <n v="0"/>
    <n v="0"/>
    <n v="0"/>
    <n v="0"/>
  </r>
  <r>
    <s v="CUST0157"/>
    <s v="Ifeanyi Jimenez"/>
    <d v="2025-02-25T00:00:00"/>
    <n v="18"/>
    <x v="1"/>
    <x v="26"/>
    <s v="Mobile SIM Card"/>
    <x v="0"/>
    <n v="2"/>
    <s v="Fair"/>
    <n v="44"/>
    <x v="2"/>
    <x v="19"/>
    <n v="600"/>
    <n v="14"/>
    <n v="8400"/>
    <n v="600"/>
    <n v="37.68"/>
    <x v="1"/>
    <n v="0"/>
    <n v="0"/>
    <n v="0"/>
    <n v="0"/>
  </r>
  <r>
    <s v="CUST0159"/>
    <s v="Kunle Nielsen"/>
    <d v="2025-03-25T00:00:00"/>
    <n v="29"/>
    <x v="0"/>
    <x v="11"/>
    <s v="Mobile SIM Card"/>
    <x v="0"/>
    <n v="2"/>
    <s v="Fair"/>
    <n v="24"/>
    <x v="1"/>
    <x v="7"/>
    <n v="3500"/>
    <n v="20"/>
    <n v="70000"/>
    <n v="3500"/>
    <n v="119.6"/>
    <x v="1"/>
    <n v="0"/>
    <n v="0"/>
    <n v="0"/>
    <n v="0"/>
  </r>
  <r>
    <s v="CUST0159"/>
    <s v="Kunle Nielsen"/>
    <d v="2025-03-25T00:00:00"/>
    <n v="29"/>
    <x v="0"/>
    <x v="11"/>
    <s v="5G Broadband Router"/>
    <x v="0"/>
    <n v="2"/>
    <s v="Fair"/>
    <n v="24"/>
    <x v="1"/>
    <x v="17"/>
    <n v="75000"/>
    <n v="12"/>
    <n v="900000"/>
    <n v="75000"/>
    <n v="117.61"/>
    <x v="1"/>
    <n v="0"/>
    <n v="0"/>
    <n v="0"/>
    <n v="0"/>
  </r>
  <r>
    <s v="CUST0160"/>
    <s v="Oghene Diaz"/>
    <d v="2025-01-25T00:00:00"/>
    <n v="74"/>
    <x v="3"/>
    <x v="20"/>
    <s v="5G Broadband Router"/>
    <x v="1"/>
    <n v="2"/>
    <s v="Fair"/>
    <n v="59"/>
    <x v="2"/>
    <x v="2"/>
    <n v="20000"/>
    <n v="5"/>
    <n v="100000"/>
    <n v="20000"/>
    <n v="37.020000000000003"/>
    <x v="1"/>
    <n v="0"/>
    <n v="0"/>
    <n v="0"/>
    <n v="0"/>
  </r>
  <r>
    <s v="CUST0161"/>
    <s v="Michael Wilson"/>
    <d v="2025-02-25T00:00:00"/>
    <n v="65"/>
    <x v="3"/>
    <x v="15"/>
    <s v="4G Router"/>
    <x v="0"/>
    <n v="4"/>
    <s v="Very Good"/>
    <n v="37"/>
    <x v="2"/>
    <x v="0"/>
    <n v="35000"/>
    <n v="6"/>
    <n v="210000"/>
    <n v="35000"/>
    <n v="58.12"/>
    <x v="0"/>
    <n v="1"/>
    <n v="0"/>
    <n v="0"/>
    <n v="0"/>
  </r>
  <r>
    <s v="CUST0161"/>
    <s v="Michael Wilson"/>
    <d v="2025-02-25T00:00:00"/>
    <n v="65"/>
    <x v="3"/>
    <x v="15"/>
    <s v="5G Broadband Router"/>
    <x v="0"/>
    <n v="4"/>
    <s v="Very Good"/>
    <n v="37"/>
    <x v="2"/>
    <x v="18"/>
    <n v="25000"/>
    <n v="20"/>
    <n v="500000"/>
    <n v="25000"/>
    <n v="168.48"/>
    <x v="0"/>
    <n v="1"/>
    <n v="0"/>
    <n v="0"/>
    <n v="0"/>
  </r>
  <r>
    <s v="CUST0161"/>
    <s v="Michael Wilson"/>
    <d v="2025-02-25T00:00:00"/>
    <n v="65"/>
    <x v="3"/>
    <x v="15"/>
    <s v="Broadband MiFi"/>
    <x v="0"/>
    <n v="4"/>
    <s v="Very Good"/>
    <n v="37"/>
    <x v="2"/>
    <x v="4"/>
    <n v="9000"/>
    <n v="1"/>
    <n v="9000"/>
    <n v="9000"/>
    <n v="173.17"/>
    <x v="0"/>
    <n v="1"/>
    <n v="0"/>
    <n v="0"/>
    <n v="0"/>
  </r>
  <r>
    <s v="CUST0162"/>
    <s v="Grace Gallegos"/>
    <d v="2025-02-25T00:00:00"/>
    <n v="33"/>
    <x v="0"/>
    <x v="18"/>
    <s v="Mobile SIM Card"/>
    <x v="1"/>
    <n v="4"/>
    <s v="Very Good"/>
    <n v="36"/>
    <x v="2"/>
    <x v="19"/>
    <n v="600"/>
    <n v="1"/>
    <n v="600"/>
    <n v="600"/>
    <n v="16.989999999999998"/>
    <x v="1"/>
    <n v="0"/>
    <n v="0"/>
    <n v="0"/>
    <n v="0"/>
  </r>
  <r>
    <s v="CUST0162"/>
    <s v="Grace Gallegos"/>
    <d v="2025-02-25T00:00:00"/>
    <n v="33"/>
    <x v="0"/>
    <x v="18"/>
    <s v="4G Router"/>
    <x v="1"/>
    <n v="4"/>
    <s v="Very Good"/>
    <n v="36"/>
    <x v="2"/>
    <x v="5"/>
    <n v="4500"/>
    <n v="9"/>
    <n v="40500"/>
    <n v="4500"/>
    <n v="58.77"/>
    <x v="1"/>
    <n v="0"/>
    <n v="0"/>
    <n v="0"/>
    <n v="0"/>
  </r>
  <r>
    <s v="CUST0163"/>
    <s v="Nura Jackson"/>
    <d v="2025-02-25T00:00:00"/>
    <n v="52"/>
    <x v="4"/>
    <x v="1"/>
    <s v="Broadband MiFi"/>
    <x v="1"/>
    <n v="5"/>
    <s v="Excellent"/>
    <n v="37"/>
    <x v="2"/>
    <x v="10"/>
    <n v="24000"/>
    <n v="2"/>
    <n v="48000"/>
    <n v="24000"/>
    <n v="164.61"/>
    <x v="1"/>
    <n v="0"/>
    <n v="0"/>
    <n v="0"/>
    <n v="0"/>
  </r>
  <r>
    <s v="CUST0163"/>
    <s v="Nura Jackson"/>
    <d v="2025-02-25T00:00:00"/>
    <n v="52"/>
    <x v="4"/>
    <x v="1"/>
    <s v="4G Router"/>
    <x v="1"/>
    <n v="5"/>
    <s v="Excellent"/>
    <n v="37"/>
    <x v="2"/>
    <x v="0"/>
    <n v="35000"/>
    <n v="14"/>
    <n v="490000"/>
    <n v="35000"/>
    <n v="109.5"/>
    <x v="1"/>
    <n v="0"/>
    <n v="0"/>
    <n v="0"/>
    <n v="0"/>
  </r>
  <r>
    <s v="CUST0163"/>
    <s v="Nura Jackson"/>
    <d v="2025-02-25T00:00:00"/>
    <n v="52"/>
    <x v="4"/>
    <x v="1"/>
    <s v="5G Broadband Router"/>
    <x v="1"/>
    <n v="5"/>
    <s v="Excellent"/>
    <n v="37"/>
    <x v="2"/>
    <x v="2"/>
    <n v="20000"/>
    <n v="8"/>
    <n v="160000"/>
    <n v="20000"/>
    <n v="147.33000000000001"/>
    <x v="1"/>
    <n v="0"/>
    <n v="0"/>
    <n v="0"/>
    <n v="0"/>
  </r>
  <r>
    <s v="CUST0164"/>
    <s v="Maryam Diaz"/>
    <d v="2025-01-25T00:00:00"/>
    <n v="20"/>
    <x v="1"/>
    <x v="30"/>
    <s v="Mobile SIM Card"/>
    <x v="1"/>
    <n v="4"/>
    <s v="Very Good"/>
    <n v="23"/>
    <x v="1"/>
    <x v="5"/>
    <n v="4500"/>
    <n v="19"/>
    <n v="85500"/>
    <n v="4500"/>
    <n v="162.24"/>
    <x v="1"/>
    <n v="0"/>
    <n v="0"/>
    <n v="0"/>
    <n v="0"/>
  </r>
  <r>
    <s v="CUST0165"/>
    <s v="Oghene Allison"/>
    <d v="2025-02-25T00:00:00"/>
    <n v="70"/>
    <x v="3"/>
    <x v="1"/>
    <s v="5G Broadband Router"/>
    <x v="0"/>
    <n v="2"/>
    <s v="Fair"/>
    <n v="51"/>
    <x v="2"/>
    <x v="11"/>
    <n v="30000"/>
    <n v="10"/>
    <n v="300000"/>
    <n v="30000"/>
    <n v="65.069999999999993"/>
    <x v="1"/>
    <n v="0"/>
    <n v="0"/>
    <n v="0"/>
    <n v="0"/>
  </r>
  <r>
    <s v="CUST0165"/>
    <s v="Oghene Allison"/>
    <d v="2025-02-25T00:00:00"/>
    <n v="70"/>
    <x v="3"/>
    <x v="1"/>
    <s v="Mobile SIM Card"/>
    <x v="0"/>
    <n v="2"/>
    <s v="Fair"/>
    <n v="51"/>
    <x v="2"/>
    <x v="3"/>
    <n v="500"/>
    <n v="17"/>
    <n v="8500"/>
    <n v="500"/>
    <n v="114.76"/>
    <x v="1"/>
    <n v="0"/>
    <n v="0"/>
    <n v="0"/>
    <n v="0"/>
  </r>
  <r>
    <s v="CUST0165"/>
    <s v="Oghene Allison"/>
    <d v="2025-02-25T00:00:00"/>
    <n v="70"/>
    <x v="3"/>
    <x v="1"/>
    <s v="4G Router"/>
    <x v="0"/>
    <n v="2"/>
    <s v="Fair"/>
    <n v="51"/>
    <x v="2"/>
    <x v="9"/>
    <n v="16000"/>
    <n v="14"/>
    <n v="224000"/>
    <n v="16000"/>
    <n v="27.55"/>
    <x v="1"/>
    <n v="0"/>
    <n v="0"/>
    <n v="0"/>
    <n v="0"/>
  </r>
  <r>
    <s v="CUST0166"/>
    <s v="Sade Suarez"/>
    <d v="2025-02-25T00:00:00"/>
    <n v="51"/>
    <x v="4"/>
    <x v="21"/>
    <s v="Mobile SIM Card"/>
    <x v="0"/>
    <n v="3"/>
    <s v="Good"/>
    <n v="16"/>
    <x v="1"/>
    <x v="3"/>
    <n v="500"/>
    <n v="13"/>
    <n v="6500"/>
    <n v="500"/>
    <n v="125.75"/>
    <x v="1"/>
    <n v="0"/>
    <n v="0"/>
    <n v="0"/>
    <n v="0"/>
  </r>
  <r>
    <s v="CUST0166"/>
    <s v="Sade Suarez"/>
    <d v="2025-02-25T00:00:00"/>
    <n v="51"/>
    <x v="4"/>
    <x v="21"/>
    <s v="4G Router"/>
    <x v="0"/>
    <n v="3"/>
    <s v="Good"/>
    <n v="16"/>
    <x v="1"/>
    <x v="0"/>
    <n v="35000"/>
    <n v="3"/>
    <n v="105000"/>
    <n v="35000"/>
    <n v="15.57"/>
    <x v="1"/>
    <n v="0"/>
    <n v="0"/>
    <n v="0"/>
    <n v="0"/>
  </r>
  <r>
    <s v="CUST0166"/>
    <s v="Sade Suarez"/>
    <d v="2025-02-25T00:00:00"/>
    <n v="51"/>
    <x v="4"/>
    <x v="21"/>
    <s v="Broadband MiFi"/>
    <x v="0"/>
    <n v="3"/>
    <s v="Good"/>
    <n v="16"/>
    <x v="1"/>
    <x v="12"/>
    <n v="14500"/>
    <n v="9"/>
    <n v="130500"/>
    <n v="14500"/>
    <n v="103.36"/>
    <x v="1"/>
    <n v="0"/>
    <n v="0"/>
    <n v="0"/>
    <n v="0"/>
  </r>
  <r>
    <s v="CUST0167"/>
    <s v="Ejiro Thomas"/>
    <d v="2025-01-25T00:00:00"/>
    <n v="74"/>
    <x v="3"/>
    <x v="12"/>
    <s v="5G Broadband Router"/>
    <x v="1"/>
    <n v="1"/>
    <s v="Poor"/>
    <n v="38"/>
    <x v="2"/>
    <x v="17"/>
    <n v="75000"/>
    <n v="14"/>
    <n v="1050000"/>
    <n v="75000"/>
    <n v="43.96"/>
    <x v="1"/>
    <n v="0"/>
    <n v="0"/>
    <n v="0"/>
    <n v="0"/>
  </r>
  <r>
    <s v="CUST0167"/>
    <s v="Ejiro Thomas"/>
    <d v="2025-01-25T00:00:00"/>
    <n v="74"/>
    <x v="3"/>
    <x v="12"/>
    <s v="Broadband MiFi"/>
    <x v="1"/>
    <n v="1"/>
    <s v="Poor"/>
    <n v="38"/>
    <x v="2"/>
    <x v="2"/>
    <n v="20000"/>
    <n v="11"/>
    <n v="220000"/>
    <n v="20000"/>
    <n v="99.2"/>
    <x v="1"/>
    <n v="0"/>
    <n v="0"/>
    <n v="0"/>
    <n v="0"/>
  </r>
  <r>
    <s v="CUST0168"/>
    <s v="Abubakar Weiss"/>
    <d v="2025-03-25T00:00:00"/>
    <n v="59"/>
    <x v="3"/>
    <x v="21"/>
    <s v="Broadband MiFi"/>
    <x v="1"/>
    <n v="1"/>
    <s v="Poor"/>
    <n v="51"/>
    <x v="2"/>
    <x v="2"/>
    <n v="20000"/>
    <n v="1"/>
    <n v="20000"/>
    <n v="20000"/>
    <n v="88.54"/>
    <x v="0"/>
    <n v="1"/>
    <n v="0"/>
    <n v="0"/>
    <n v="0"/>
  </r>
  <r>
    <s v="CUST0168"/>
    <s v="Abubakar Weiss"/>
    <d v="2025-03-25T00:00:00"/>
    <n v="59"/>
    <x v="3"/>
    <x v="21"/>
    <s v="Mobile SIM Card"/>
    <x v="1"/>
    <n v="1"/>
    <s v="Poor"/>
    <n v="51"/>
    <x v="2"/>
    <x v="15"/>
    <n v="7500"/>
    <n v="5"/>
    <n v="37500"/>
    <n v="7500"/>
    <n v="40.86"/>
    <x v="0"/>
    <n v="1"/>
    <n v="0"/>
    <n v="0"/>
    <n v="0"/>
  </r>
  <r>
    <s v="CUST0169"/>
    <s v="Maryam Dean"/>
    <d v="2025-03-25T00:00:00"/>
    <n v="36"/>
    <x v="2"/>
    <x v="29"/>
    <s v="4G Router"/>
    <x v="0"/>
    <n v="3"/>
    <s v="Good"/>
    <n v="42"/>
    <x v="2"/>
    <x v="6"/>
    <n v="9000"/>
    <n v="8"/>
    <n v="72000"/>
    <n v="9000"/>
    <n v="145.33000000000001"/>
    <x v="0"/>
    <n v="1"/>
    <n v="0"/>
    <n v="0"/>
    <n v="0"/>
  </r>
  <r>
    <s v="CUST0169"/>
    <s v="Maryam Dean"/>
    <d v="2025-03-25T00:00:00"/>
    <n v="36"/>
    <x v="2"/>
    <x v="29"/>
    <s v="Broadband MiFi"/>
    <x v="0"/>
    <n v="3"/>
    <s v="Good"/>
    <n v="42"/>
    <x v="2"/>
    <x v="12"/>
    <n v="14500"/>
    <n v="4"/>
    <n v="58000"/>
    <n v="14500"/>
    <n v="131.27000000000001"/>
    <x v="0"/>
    <n v="1"/>
    <n v="0"/>
    <n v="0"/>
    <n v="0"/>
  </r>
  <r>
    <s v="CUST0169"/>
    <s v="Maryam Dean"/>
    <d v="2025-03-25T00:00:00"/>
    <n v="36"/>
    <x v="2"/>
    <x v="29"/>
    <s v="Mobile SIM Card"/>
    <x v="0"/>
    <n v="3"/>
    <s v="Good"/>
    <n v="42"/>
    <x v="2"/>
    <x v="16"/>
    <n v="900"/>
    <n v="3"/>
    <n v="2700"/>
    <n v="900"/>
    <n v="43.08"/>
    <x v="0"/>
    <n v="1"/>
    <n v="0"/>
    <n v="0"/>
    <n v="0"/>
  </r>
  <r>
    <s v="CUST0170"/>
    <s v="Amaka Whitaker"/>
    <d v="2025-01-25T00:00:00"/>
    <n v="44"/>
    <x v="2"/>
    <x v="8"/>
    <s v="4G Router"/>
    <x v="1"/>
    <n v="3"/>
    <s v="Good"/>
    <n v="1"/>
    <x v="0"/>
    <x v="9"/>
    <n v="16000"/>
    <n v="3"/>
    <n v="48000"/>
    <n v="16000"/>
    <n v="46.17"/>
    <x v="1"/>
    <n v="0"/>
    <n v="0"/>
    <n v="0"/>
    <n v="0"/>
  </r>
  <r>
    <s v="CUST0170"/>
    <s v="Amaka Whitaker"/>
    <d v="2025-01-25T00:00:00"/>
    <n v="44"/>
    <x v="2"/>
    <x v="8"/>
    <s v="Mobile SIM Card"/>
    <x v="1"/>
    <n v="3"/>
    <s v="Good"/>
    <n v="1"/>
    <x v="0"/>
    <x v="14"/>
    <n v="1000"/>
    <n v="12"/>
    <n v="12000"/>
    <n v="1000"/>
    <n v="21.09"/>
    <x v="1"/>
    <n v="0"/>
    <n v="0"/>
    <n v="0"/>
    <n v="0"/>
  </r>
  <r>
    <s v="CUST0171"/>
    <s v="Maryam Dixon"/>
    <d v="2025-02-25T00:00:00"/>
    <n v="33"/>
    <x v="0"/>
    <x v="6"/>
    <s v="4G Router"/>
    <x v="0"/>
    <n v="1"/>
    <s v="Poor"/>
    <n v="42"/>
    <x v="2"/>
    <x v="0"/>
    <n v="35000"/>
    <n v="7"/>
    <n v="245000"/>
    <n v="35000"/>
    <n v="70.56"/>
    <x v="1"/>
    <n v="0"/>
    <n v="0"/>
    <n v="0"/>
    <n v="0"/>
  </r>
  <r>
    <s v="CUST0172"/>
    <s v="Obinna Miller"/>
    <d v="2025-01-25T00:00:00"/>
    <n v="68"/>
    <x v="3"/>
    <x v="30"/>
    <s v="Mobile SIM Card"/>
    <x v="0"/>
    <n v="2"/>
    <s v="Fair"/>
    <n v="6"/>
    <x v="3"/>
    <x v="7"/>
    <n v="3500"/>
    <n v="8"/>
    <n v="28000"/>
    <n v="3500"/>
    <n v="158.32"/>
    <x v="1"/>
    <n v="0"/>
    <n v="0"/>
    <n v="0"/>
    <n v="0"/>
  </r>
  <r>
    <s v="CUST0172"/>
    <s v="Obinna Miller"/>
    <d v="2025-01-25T00:00:00"/>
    <n v="68"/>
    <x v="3"/>
    <x v="30"/>
    <s v="4G Router"/>
    <x v="0"/>
    <n v="2"/>
    <s v="Fair"/>
    <n v="6"/>
    <x v="3"/>
    <x v="6"/>
    <n v="9000"/>
    <n v="8"/>
    <n v="72000"/>
    <n v="9000"/>
    <n v="129.1"/>
    <x v="1"/>
    <n v="0"/>
    <n v="0"/>
    <n v="0"/>
    <n v="0"/>
  </r>
  <r>
    <s v="CUST0172"/>
    <s v="Obinna Miller"/>
    <d v="2025-01-25T00:00:00"/>
    <n v="68"/>
    <x v="3"/>
    <x v="30"/>
    <s v="5G Broadband Router"/>
    <x v="0"/>
    <n v="2"/>
    <s v="Fair"/>
    <n v="6"/>
    <x v="3"/>
    <x v="10"/>
    <n v="24000"/>
    <n v="1"/>
    <n v="24000"/>
    <n v="24000"/>
    <n v="155.9"/>
    <x v="1"/>
    <n v="0"/>
    <n v="0"/>
    <n v="0"/>
    <n v="0"/>
  </r>
  <r>
    <s v="CUST0173"/>
    <s v="Maryam Soto"/>
    <d v="2025-02-25T00:00:00"/>
    <n v="42"/>
    <x v="2"/>
    <x v="8"/>
    <s v="Mobile SIM Card"/>
    <x v="0"/>
    <n v="3"/>
    <s v="Good"/>
    <n v="48"/>
    <x v="2"/>
    <x v="15"/>
    <n v="7500"/>
    <n v="16"/>
    <n v="120000"/>
    <n v="7500"/>
    <n v="22.99"/>
    <x v="1"/>
    <n v="0"/>
    <n v="0"/>
    <n v="0"/>
    <n v="0"/>
  </r>
  <r>
    <s v="CUST0174"/>
    <s v="Kunle Jones"/>
    <d v="2025-02-25T00:00:00"/>
    <n v="17"/>
    <x v="1"/>
    <x v="3"/>
    <s v="4G Router"/>
    <x v="1"/>
    <n v="5"/>
    <s v="Excellent"/>
    <n v="9"/>
    <x v="3"/>
    <x v="5"/>
    <n v="4500"/>
    <n v="1"/>
    <n v="4500"/>
    <n v="4500"/>
    <n v="117.68"/>
    <x v="1"/>
    <n v="0"/>
    <n v="0"/>
    <n v="0"/>
    <n v="0"/>
  </r>
  <r>
    <s v="CUST0174"/>
    <s v="Kunle Jones"/>
    <d v="2025-02-25T00:00:00"/>
    <n v="17"/>
    <x v="1"/>
    <x v="3"/>
    <s v="Mobile SIM Card"/>
    <x v="1"/>
    <n v="5"/>
    <s v="Excellent"/>
    <n v="9"/>
    <x v="3"/>
    <x v="3"/>
    <n v="500"/>
    <n v="2"/>
    <n v="1000"/>
    <n v="500"/>
    <n v="43.54"/>
    <x v="1"/>
    <n v="0"/>
    <n v="0"/>
    <n v="0"/>
    <n v="0"/>
  </r>
  <r>
    <s v="CUST0175"/>
    <s v="Tamuno Patton"/>
    <d v="2025-02-25T00:00:00"/>
    <n v="80"/>
    <x v="3"/>
    <x v="14"/>
    <s v="Mobile SIM Card"/>
    <x v="1"/>
    <n v="1"/>
    <s v="Poor"/>
    <n v="28"/>
    <x v="2"/>
    <x v="6"/>
    <n v="9000"/>
    <n v="7"/>
    <n v="63000"/>
    <n v="9000"/>
    <n v="16.260000000000002"/>
    <x v="1"/>
    <n v="0"/>
    <n v="0"/>
    <n v="0"/>
    <n v="0"/>
  </r>
  <r>
    <s v="CUST0175"/>
    <s v="Tamuno Patton"/>
    <d v="2025-02-25T00:00:00"/>
    <n v="80"/>
    <x v="3"/>
    <x v="14"/>
    <s v="Mobile SIM Card"/>
    <x v="1"/>
    <n v="1"/>
    <s v="Poor"/>
    <n v="28"/>
    <x v="2"/>
    <x v="19"/>
    <n v="600"/>
    <n v="13"/>
    <n v="7800"/>
    <n v="600"/>
    <n v="107.51"/>
    <x v="1"/>
    <n v="0"/>
    <n v="0"/>
    <n v="0"/>
    <n v="0"/>
  </r>
  <r>
    <s v="CUST0175"/>
    <s v="Tamuno Patton"/>
    <d v="2025-02-25T00:00:00"/>
    <n v="80"/>
    <x v="3"/>
    <x v="14"/>
    <s v="Broadband MiFi"/>
    <x v="1"/>
    <n v="1"/>
    <s v="Poor"/>
    <n v="28"/>
    <x v="2"/>
    <x v="10"/>
    <n v="24000"/>
    <n v="3"/>
    <n v="72000"/>
    <n v="24000"/>
    <n v="127.04"/>
    <x v="1"/>
    <n v="0"/>
    <n v="0"/>
    <n v="0"/>
    <n v="0"/>
  </r>
  <r>
    <s v="CUST0176"/>
    <s v="Maryam Martinez"/>
    <d v="2025-01-25T00:00:00"/>
    <n v="71"/>
    <x v="3"/>
    <x v="7"/>
    <s v="Broadband MiFi"/>
    <x v="0"/>
    <n v="4"/>
    <s v="Very Good"/>
    <n v="16"/>
    <x v="1"/>
    <x v="4"/>
    <n v="9000"/>
    <n v="5"/>
    <n v="45000"/>
    <n v="9000"/>
    <n v="3.03"/>
    <x v="0"/>
    <n v="1"/>
    <n v="0"/>
    <n v="0"/>
    <n v="0"/>
  </r>
  <r>
    <s v="CUST0176"/>
    <s v="Maryam Martinez"/>
    <d v="2025-01-25T00:00:00"/>
    <n v="71"/>
    <x v="3"/>
    <x v="7"/>
    <s v="4G Router"/>
    <x v="0"/>
    <n v="4"/>
    <s v="Very Good"/>
    <n v="16"/>
    <x v="1"/>
    <x v="9"/>
    <n v="16000"/>
    <n v="12"/>
    <n v="192000"/>
    <n v="16000"/>
    <n v="33.18"/>
    <x v="0"/>
    <n v="1"/>
    <n v="0"/>
    <n v="0"/>
    <n v="0"/>
  </r>
  <r>
    <s v="CUST0176"/>
    <s v="Maryam Martinez"/>
    <d v="2025-01-25T00:00:00"/>
    <n v="71"/>
    <x v="3"/>
    <x v="7"/>
    <s v="Mobile SIM Card"/>
    <x v="0"/>
    <n v="4"/>
    <s v="Very Good"/>
    <n v="16"/>
    <x v="1"/>
    <x v="20"/>
    <n v="6500"/>
    <n v="9"/>
    <n v="58500"/>
    <n v="6500"/>
    <n v="103.69"/>
    <x v="0"/>
    <n v="1"/>
    <n v="0"/>
    <n v="0"/>
    <n v="0"/>
  </r>
  <r>
    <s v="CUST0177"/>
    <s v="Amina Johnson"/>
    <d v="2025-01-25T00:00:00"/>
    <n v="63"/>
    <x v="3"/>
    <x v="21"/>
    <s v="5G Broadband Router"/>
    <x v="1"/>
    <n v="1"/>
    <s v="Poor"/>
    <n v="47"/>
    <x v="2"/>
    <x v="2"/>
    <n v="20000"/>
    <n v="19"/>
    <n v="380000"/>
    <n v="20000"/>
    <n v="52.96"/>
    <x v="1"/>
    <n v="0"/>
    <n v="0"/>
    <n v="0"/>
    <n v="0"/>
  </r>
  <r>
    <s v="CUST0177"/>
    <s v="Amina Johnson"/>
    <d v="2025-01-25T00:00:00"/>
    <n v="63"/>
    <x v="3"/>
    <x v="21"/>
    <s v="Mobile SIM Card"/>
    <x v="1"/>
    <n v="1"/>
    <s v="Poor"/>
    <n v="47"/>
    <x v="2"/>
    <x v="14"/>
    <n v="1000"/>
    <n v="17"/>
    <n v="17000"/>
    <n v="1000"/>
    <n v="99.48"/>
    <x v="1"/>
    <n v="0"/>
    <n v="0"/>
    <n v="0"/>
    <n v="0"/>
  </r>
  <r>
    <s v="CUST0178"/>
    <s v="Ejiro Johnson"/>
    <d v="2025-02-25T00:00:00"/>
    <n v="23"/>
    <x v="1"/>
    <x v="12"/>
    <s v="Broadband MiFi"/>
    <x v="0"/>
    <n v="3"/>
    <s v="Good"/>
    <n v="24"/>
    <x v="1"/>
    <x v="4"/>
    <n v="9000"/>
    <n v="1"/>
    <n v="9000"/>
    <n v="9000"/>
    <n v="171.81"/>
    <x v="1"/>
    <n v="0"/>
    <n v="0"/>
    <n v="0"/>
    <n v="0"/>
  </r>
  <r>
    <s v="CUST0178"/>
    <s v="Ejiro Johnson"/>
    <d v="2025-02-25T00:00:00"/>
    <n v="23"/>
    <x v="1"/>
    <x v="12"/>
    <s v="Mobile SIM Card"/>
    <x v="0"/>
    <n v="3"/>
    <s v="Good"/>
    <n v="24"/>
    <x v="1"/>
    <x v="13"/>
    <n v="350"/>
    <n v="12"/>
    <n v="4200"/>
    <n v="350"/>
    <n v="9.67"/>
    <x v="1"/>
    <n v="0"/>
    <n v="0"/>
    <n v="0"/>
    <n v="0"/>
  </r>
  <r>
    <s v="CUST0178"/>
    <s v="Ejiro Johnson"/>
    <d v="2025-02-25T00:00:00"/>
    <n v="23"/>
    <x v="1"/>
    <x v="12"/>
    <s v="5G Broadband Router"/>
    <x v="0"/>
    <n v="3"/>
    <s v="Good"/>
    <n v="24"/>
    <x v="1"/>
    <x v="17"/>
    <n v="75000"/>
    <n v="6"/>
    <n v="450000"/>
    <n v="75000"/>
    <n v="184.09"/>
    <x v="1"/>
    <n v="0"/>
    <n v="0"/>
    <n v="0"/>
    <n v="0"/>
  </r>
  <r>
    <s v="CUST0179"/>
    <s v="Bola Curtis"/>
    <d v="2025-02-25T00:00:00"/>
    <n v="69"/>
    <x v="3"/>
    <x v="16"/>
    <s v="5G Broadband Router"/>
    <x v="1"/>
    <n v="3"/>
    <s v="Good"/>
    <n v="16"/>
    <x v="1"/>
    <x v="11"/>
    <n v="30000"/>
    <n v="17"/>
    <n v="510000"/>
    <n v="30000"/>
    <n v="45.03"/>
    <x v="0"/>
    <n v="1"/>
    <n v="0"/>
    <n v="0"/>
    <n v="0"/>
  </r>
  <r>
    <s v="CUST0179"/>
    <s v="Bola Curtis"/>
    <d v="2025-02-25T00:00:00"/>
    <n v="69"/>
    <x v="3"/>
    <x v="16"/>
    <s v="Broadband MiFi"/>
    <x v="1"/>
    <n v="3"/>
    <s v="Good"/>
    <n v="16"/>
    <x v="1"/>
    <x v="4"/>
    <n v="9000"/>
    <n v="3"/>
    <n v="27000"/>
    <n v="9000"/>
    <n v="190.84"/>
    <x v="0"/>
    <n v="1"/>
    <n v="0"/>
    <n v="0"/>
    <n v="0"/>
  </r>
  <r>
    <s v="CUST0179"/>
    <s v="Bola Curtis"/>
    <d v="2025-02-25T00:00:00"/>
    <n v="69"/>
    <x v="3"/>
    <x v="16"/>
    <s v="Mobile SIM Card"/>
    <x v="1"/>
    <n v="3"/>
    <s v="Good"/>
    <n v="16"/>
    <x v="1"/>
    <x v="1"/>
    <n v="5500"/>
    <n v="10"/>
    <n v="55000"/>
    <n v="5500"/>
    <n v="173.27"/>
    <x v="0"/>
    <n v="1"/>
    <n v="0"/>
    <n v="0"/>
    <n v="0"/>
  </r>
  <r>
    <s v="CUST0180"/>
    <s v="Ese Haley"/>
    <d v="2025-02-25T00:00:00"/>
    <n v="27"/>
    <x v="0"/>
    <x v="2"/>
    <s v="Mobile SIM Card"/>
    <x v="0"/>
    <n v="3"/>
    <s v="Good"/>
    <n v="24"/>
    <x v="1"/>
    <x v="6"/>
    <n v="9000"/>
    <n v="16"/>
    <n v="144000"/>
    <n v="9000"/>
    <n v="118.54"/>
    <x v="1"/>
    <n v="0"/>
    <n v="0"/>
    <n v="0"/>
    <n v="0"/>
  </r>
  <r>
    <s v="CUST0180"/>
    <s v="Ese Haley"/>
    <d v="2025-02-25T00:00:00"/>
    <n v="27"/>
    <x v="0"/>
    <x v="2"/>
    <s v="Mobile SIM Card"/>
    <x v="0"/>
    <n v="3"/>
    <s v="Good"/>
    <n v="24"/>
    <x v="1"/>
    <x v="13"/>
    <n v="350"/>
    <n v="18"/>
    <n v="6300"/>
    <n v="350"/>
    <n v="146.63"/>
    <x v="1"/>
    <n v="0"/>
    <n v="0"/>
    <n v="0"/>
    <n v="0"/>
  </r>
  <r>
    <s v="CUST0181"/>
    <s v="Halima Walker"/>
    <d v="2025-02-25T00:00:00"/>
    <n v="35"/>
    <x v="2"/>
    <x v="34"/>
    <s v="Broadband MiFi"/>
    <x v="1"/>
    <n v="5"/>
    <s v="Excellent"/>
    <n v="2"/>
    <x v="0"/>
    <x v="12"/>
    <n v="14500"/>
    <n v="10"/>
    <n v="145000"/>
    <n v="14500"/>
    <n v="169.88"/>
    <x v="1"/>
    <n v="0"/>
    <n v="0"/>
    <n v="0"/>
    <n v="0"/>
  </r>
  <r>
    <s v="CUST0181"/>
    <s v="Halima Walker"/>
    <d v="2025-02-25T00:00:00"/>
    <n v="35"/>
    <x v="2"/>
    <x v="34"/>
    <s v="4G Router"/>
    <x v="1"/>
    <n v="5"/>
    <s v="Excellent"/>
    <n v="2"/>
    <x v="0"/>
    <x v="9"/>
    <n v="16000"/>
    <n v="8"/>
    <n v="128000"/>
    <n v="16000"/>
    <n v="41.44"/>
    <x v="1"/>
    <n v="0"/>
    <n v="0"/>
    <n v="0"/>
    <n v="0"/>
  </r>
  <r>
    <s v="CUST0181"/>
    <s v="Halima Walker"/>
    <d v="2025-02-25T00:00:00"/>
    <n v="35"/>
    <x v="2"/>
    <x v="34"/>
    <s v="Mobile SIM Card"/>
    <x v="1"/>
    <n v="5"/>
    <s v="Excellent"/>
    <n v="2"/>
    <x v="0"/>
    <x v="15"/>
    <n v="7500"/>
    <n v="2"/>
    <n v="15000"/>
    <n v="7500"/>
    <n v="98.66"/>
    <x v="1"/>
    <n v="0"/>
    <n v="0"/>
    <n v="0"/>
    <n v="0"/>
  </r>
  <r>
    <s v="CUST0182"/>
    <s v="Obinna Mills"/>
    <d v="2025-02-25T00:00:00"/>
    <n v="51"/>
    <x v="4"/>
    <x v="33"/>
    <s v="Mobile SIM Card"/>
    <x v="0"/>
    <n v="5"/>
    <s v="Excellent"/>
    <n v="59"/>
    <x v="2"/>
    <x v="14"/>
    <n v="1000"/>
    <n v="17"/>
    <n v="17000"/>
    <n v="1000"/>
    <n v="116.36"/>
    <x v="1"/>
    <n v="0"/>
    <n v="0"/>
    <n v="0"/>
    <n v="0"/>
  </r>
  <r>
    <s v="CUST0182"/>
    <s v="Obinna Mills"/>
    <d v="2025-02-25T00:00:00"/>
    <n v="51"/>
    <x v="4"/>
    <x v="33"/>
    <s v="5G Broadband Router"/>
    <x v="0"/>
    <n v="5"/>
    <s v="Excellent"/>
    <n v="59"/>
    <x v="2"/>
    <x v="11"/>
    <n v="30000"/>
    <n v="13"/>
    <n v="390000"/>
    <n v="30000"/>
    <n v="127.62"/>
    <x v="1"/>
    <n v="0"/>
    <n v="0"/>
    <n v="0"/>
    <n v="0"/>
  </r>
  <r>
    <s v="CUST0183"/>
    <s v="Kunle Shaw"/>
    <d v="2025-03-25T00:00:00"/>
    <n v="23"/>
    <x v="1"/>
    <x v="0"/>
    <s v="5G Broadband Router"/>
    <x v="0"/>
    <n v="3"/>
    <s v="Good"/>
    <n v="16"/>
    <x v="1"/>
    <x v="8"/>
    <n v="150000"/>
    <n v="3"/>
    <n v="450000"/>
    <n v="150000"/>
    <n v="54.76"/>
    <x v="1"/>
    <n v="0"/>
    <n v="0"/>
    <n v="0"/>
    <n v="0"/>
  </r>
  <r>
    <s v="CUST0183"/>
    <s v="Kunle Shaw"/>
    <d v="2025-03-25T00:00:00"/>
    <n v="23"/>
    <x v="1"/>
    <x v="0"/>
    <s v="4G Router"/>
    <x v="0"/>
    <n v="3"/>
    <s v="Good"/>
    <n v="16"/>
    <x v="1"/>
    <x v="5"/>
    <n v="4500"/>
    <n v="19"/>
    <n v="85500"/>
    <n v="4500"/>
    <n v="27.65"/>
    <x v="1"/>
    <n v="0"/>
    <n v="0"/>
    <n v="0"/>
    <n v="0"/>
  </r>
  <r>
    <s v="CUST0184"/>
    <s v="Ngozi Webb"/>
    <d v="2025-02-25T00:00:00"/>
    <n v="35"/>
    <x v="2"/>
    <x v="13"/>
    <s v="5G Broadband Router"/>
    <x v="0"/>
    <n v="3"/>
    <s v="Good"/>
    <n v="29"/>
    <x v="2"/>
    <x v="10"/>
    <n v="24000"/>
    <n v="4"/>
    <n v="96000"/>
    <n v="24000"/>
    <n v="92.94"/>
    <x v="1"/>
    <n v="0"/>
    <n v="0"/>
    <n v="0"/>
    <n v="0"/>
  </r>
  <r>
    <s v="CUST0184"/>
    <s v="Ngozi Webb"/>
    <d v="2025-02-25T00:00:00"/>
    <n v="35"/>
    <x v="2"/>
    <x v="13"/>
    <s v="Broadband MiFi"/>
    <x v="0"/>
    <n v="3"/>
    <s v="Good"/>
    <n v="29"/>
    <x v="2"/>
    <x v="4"/>
    <n v="9000"/>
    <n v="10"/>
    <n v="90000"/>
    <n v="9000"/>
    <n v="31.94"/>
    <x v="1"/>
    <n v="0"/>
    <n v="0"/>
    <n v="0"/>
    <n v="0"/>
  </r>
  <r>
    <s v="CUST0184"/>
    <s v="Ngozi Webb"/>
    <d v="2025-02-25T00:00:00"/>
    <n v="35"/>
    <x v="2"/>
    <x v="13"/>
    <s v="Mobile SIM Card"/>
    <x v="0"/>
    <n v="3"/>
    <s v="Good"/>
    <n v="29"/>
    <x v="2"/>
    <x v="9"/>
    <n v="16000"/>
    <n v="11"/>
    <n v="176000"/>
    <n v="16000"/>
    <n v="43.4"/>
    <x v="1"/>
    <n v="0"/>
    <n v="0"/>
    <n v="0"/>
    <n v="0"/>
  </r>
  <r>
    <s v="CUST0185"/>
    <s v="Obinna Young"/>
    <d v="2025-01-25T00:00:00"/>
    <n v="27"/>
    <x v="0"/>
    <x v="7"/>
    <s v="Mobile SIM Card"/>
    <x v="1"/>
    <n v="3"/>
    <s v="Good"/>
    <n v="26"/>
    <x v="2"/>
    <x v="1"/>
    <n v="5500"/>
    <n v="18"/>
    <n v="99000"/>
    <n v="5500"/>
    <n v="111.41"/>
    <x v="0"/>
    <n v="1"/>
    <n v="0"/>
    <n v="0"/>
    <n v="0"/>
  </r>
  <r>
    <s v="CUST0186"/>
    <s v="Halima Harrison"/>
    <d v="2025-02-25T00:00:00"/>
    <n v="28"/>
    <x v="0"/>
    <x v="2"/>
    <s v="4G Router"/>
    <x v="0"/>
    <n v="1"/>
    <s v="Poor"/>
    <n v="52"/>
    <x v="2"/>
    <x v="5"/>
    <n v="4500"/>
    <n v="12"/>
    <n v="54000"/>
    <n v="4500"/>
    <n v="164.82"/>
    <x v="0"/>
    <n v="1"/>
    <n v="0"/>
    <n v="0"/>
    <n v="0"/>
  </r>
  <r>
    <s v="CUST0187"/>
    <s v="Chinedu Brown"/>
    <d v="2025-02-25T00:00:00"/>
    <n v="49"/>
    <x v="4"/>
    <x v="23"/>
    <s v="5G Broadband Router"/>
    <x v="0"/>
    <n v="4"/>
    <s v="Very Good"/>
    <n v="5"/>
    <x v="0"/>
    <x v="2"/>
    <n v="20000"/>
    <n v="15"/>
    <n v="300000"/>
    <n v="20000"/>
    <n v="9.02"/>
    <x v="1"/>
    <n v="0"/>
    <n v="0"/>
    <n v="0"/>
    <n v="0"/>
  </r>
  <r>
    <s v="CUST0188"/>
    <s v="Sade Cruz"/>
    <d v="2025-01-25T00:00:00"/>
    <n v="37"/>
    <x v="2"/>
    <x v="0"/>
    <s v="5G Broadband Router"/>
    <x v="1"/>
    <n v="4"/>
    <s v="Very Good"/>
    <n v="32"/>
    <x v="2"/>
    <x v="12"/>
    <n v="14500"/>
    <n v="9"/>
    <n v="130500"/>
    <n v="14500"/>
    <n v="181.71"/>
    <x v="1"/>
    <n v="0"/>
    <n v="0"/>
    <n v="0"/>
    <n v="0"/>
  </r>
  <r>
    <s v="CUST0189"/>
    <s v="Zainab Mcguire"/>
    <d v="2025-02-25T00:00:00"/>
    <n v="73"/>
    <x v="3"/>
    <x v="5"/>
    <s v="Mobile SIM Card"/>
    <x v="0"/>
    <n v="3"/>
    <s v="Good"/>
    <n v="40"/>
    <x v="2"/>
    <x v="3"/>
    <n v="500"/>
    <n v="14"/>
    <n v="7000"/>
    <n v="500"/>
    <n v="76.91"/>
    <x v="1"/>
    <n v="0"/>
    <n v="0"/>
    <n v="0"/>
    <n v="0"/>
  </r>
  <r>
    <s v="CUST0189"/>
    <s v="Zainab Mcguire"/>
    <d v="2025-02-25T00:00:00"/>
    <n v="73"/>
    <x v="3"/>
    <x v="5"/>
    <s v="Broadband MiFi"/>
    <x v="0"/>
    <n v="3"/>
    <s v="Good"/>
    <n v="40"/>
    <x v="2"/>
    <x v="2"/>
    <n v="20000"/>
    <n v="17"/>
    <n v="340000"/>
    <n v="20000"/>
    <n v="128.71"/>
    <x v="1"/>
    <n v="0"/>
    <n v="0"/>
    <n v="0"/>
    <n v="0"/>
  </r>
  <r>
    <s v="CUST0189"/>
    <s v="Zainab Mcguire"/>
    <d v="2025-02-25T00:00:00"/>
    <n v="73"/>
    <x v="3"/>
    <x v="5"/>
    <s v="5G Broadband Router"/>
    <x v="0"/>
    <n v="3"/>
    <s v="Good"/>
    <n v="40"/>
    <x v="2"/>
    <x v="12"/>
    <n v="14500"/>
    <n v="18"/>
    <n v="261000"/>
    <n v="14500"/>
    <n v="126.34"/>
    <x v="1"/>
    <n v="0"/>
    <n v="0"/>
    <n v="0"/>
    <n v="0"/>
  </r>
  <r>
    <s v="CUST0190"/>
    <s v="Funke Thomas"/>
    <d v="2025-02-25T00:00:00"/>
    <n v="64"/>
    <x v="3"/>
    <x v="25"/>
    <s v="5G Broadband Router"/>
    <x v="1"/>
    <n v="3"/>
    <s v="Good"/>
    <n v="35"/>
    <x v="2"/>
    <x v="11"/>
    <n v="30000"/>
    <n v="20"/>
    <n v="600000"/>
    <n v="30000"/>
    <n v="5.7"/>
    <x v="1"/>
    <n v="0"/>
    <n v="0"/>
    <n v="0"/>
    <n v="0"/>
  </r>
  <r>
    <s v="CUST0190"/>
    <s v="Funke Thomas"/>
    <d v="2025-02-25T00:00:00"/>
    <n v="64"/>
    <x v="3"/>
    <x v="25"/>
    <s v="4G Router"/>
    <x v="1"/>
    <n v="3"/>
    <s v="Good"/>
    <n v="35"/>
    <x v="2"/>
    <x v="5"/>
    <n v="4500"/>
    <n v="9"/>
    <n v="40500"/>
    <n v="4500"/>
    <n v="6.35"/>
    <x v="1"/>
    <n v="0"/>
    <n v="0"/>
    <n v="0"/>
    <n v="0"/>
  </r>
  <r>
    <s v="CUST0190"/>
    <s v="Funke Thomas"/>
    <d v="2025-02-25T00:00:00"/>
    <n v="64"/>
    <x v="3"/>
    <x v="25"/>
    <s v="Mobile SIM Card"/>
    <x v="1"/>
    <n v="3"/>
    <s v="Good"/>
    <n v="35"/>
    <x v="2"/>
    <x v="16"/>
    <n v="900"/>
    <n v="16"/>
    <n v="14400"/>
    <n v="900"/>
    <n v="161.83000000000001"/>
    <x v="1"/>
    <n v="0"/>
    <n v="0"/>
    <n v="0"/>
    <n v="0"/>
  </r>
  <r>
    <s v="CUST0191"/>
    <s v="Sarah Meyer"/>
    <d v="2025-02-25T00:00:00"/>
    <n v="61"/>
    <x v="3"/>
    <x v="16"/>
    <s v="Broadband MiFi"/>
    <x v="0"/>
    <n v="2"/>
    <s v="Fair"/>
    <n v="7"/>
    <x v="3"/>
    <x v="11"/>
    <n v="30000"/>
    <n v="6"/>
    <n v="180000"/>
    <n v="30000"/>
    <n v="187.07"/>
    <x v="0"/>
    <n v="1"/>
    <n v="0"/>
    <n v="0"/>
    <n v="0"/>
  </r>
  <r>
    <s v="CUST0191"/>
    <s v="Sarah Meyer"/>
    <d v="2025-02-25T00:00:00"/>
    <n v="61"/>
    <x v="3"/>
    <x v="16"/>
    <s v="Mobile SIM Card"/>
    <x v="0"/>
    <n v="2"/>
    <s v="Fair"/>
    <n v="7"/>
    <x v="3"/>
    <x v="19"/>
    <n v="600"/>
    <n v="11"/>
    <n v="6600"/>
    <n v="600"/>
    <n v="47.69"/>
    <x v="0"/>
    <n v="1"/>
    <n v="0"/>
    <n v="0"/>
    <n v="0"/>
  </r>
  <r>
    <s v="CUST0191"/>
    <s v="Sarah Meyer"/>
    <d v="2025-02-25T00:00:00"/>
    <n v="61"/>
    <x v="3"/>
    <x v="16"/>
    <s v="4G Router"/>
    <x v="0"/>
    <n v="2"/>
    <s v="Fair"/>
    <n v="7"/>
    <x v="3"/>
    <x v="6"/>
    <n v="9000"/>
    <n v="1"/>
    <n v="9000"/>
    <n v="9000"/>
    <n v="182.84"/>
    <x v="0"/>
    <n v="1"/>
    <n v="0"/>
    <n v="0"/>
    <n v="0"/>
  </r>
  <r>
    <s v="CUST0192"/>
    <s v="Oghene Schroeder"/>
    <d v="2025-03-25T00:00:00"/>
    <n v="34"/>
    <x v="0"/>
    <x v="18"/>
    <s v="Broadband MiFi"/>
    <x v="1"/>
    <n v="2"/>
    <s v="Fair"/>
    <n v="35"/>
    <x v="2"/>
    <x v="2"/>
    <n v="20000"/>
    <n v="1"/>
    <n v="20000"/>
    <n v="20000"/>
    <n v="120.53"/>
    <x v="1"/>
    <n v="0"/>
    <n v="0"/>
    <n v="0"/>
    <n v="0"/>
  </r>
  <r>
    <s v="CUST0193"/>
    <s v="Sarah Thomas"/>
    <d v="2025-02-25T00:00:00"/>
    <n v="77"/>
    <x v="3"/>
    <x v="34"/>
    <s v="5G Broadband Router"/>
    <x v="1"/>
    <n v="2"/>
    <s v="Fair"/>
    <n v="59"/>
    <x v="2"/>
    <x v="4"/>
    <n v="9000"/>
    <n v="19"/>
    <n v="171000"/>
    <n v="9000"/>
    <n v="4.87"/>
    <x v="1"/>
    <n v="0"/>
    <n v="0"/>
    <n v="0"/>
    <n v="0"/>
  </r>
  <r>
    <s v="CUST0194"/>
    <s v="Obinna Dunn"/>
    <d v="2025-03-25T00:00:00"/>
    <n v="30"/>
    <x v="0"/>
    <x v="8"/>
    <s v="5G Broadband Router"/>
    <x v="1"/>
    <n v="4"/>
    <s v="Very Good"/>
    <n v="5"/>
    <x v="0"/>
    <x v="11"/>
    <n v="30000"/>
    <n v="14"/>
    <n v="420000"/>
    <n v="30000"/>
    <n v="195.18"/>
    <x v="1"/>
    <n v="0"/>
    <n v="0"/>
    <n v="0"/>
    <n v="0"/>
  </r>
  <r>
    <s v="CUST0194"/>
    <s v="Obinna Dunn"/>
    <d v="2025-03-25T00:00:00"/>
    <n v="30"/>
    <x v="0"/>
    <x v="8"/>
    <s v="4G Router"/>
    <x v="1"/>
    <n v="4"/>
    <s v="Very Good"/>
    <n v="5"/>
    <x v="0"/>
    <x v="0"/>
    <n v="35000"/>
    <n v="6"/>
    <n v="210000"/>
    <n v="35000"/>
    <n v="130.01"/>
    <x v="1"/>
    <n v="0"/>
    <n v="0"/>
    <n v="0"/>
    <n v="0"/>
  </r>
  <r>
    <s v="CUST0195"/>
    <s v="Oghene Munoz"/>
    <d v="2025-03-25T00:00:00"/>
    <n v="44"/>
    <x v="2"/>
    <x v="20"/>
    <s v="Mobile SIM Card"/>
    <x v="1"/>
    <n v="2"/>
    <s v="Fair"/>
    <n v="20"/>
    <x v="1"/>
    <x v="19"/>
    <n v="600"/>
    <n v="20"/>
    <n v="12000"/>
    <n v="600"/>
    <n v="120.68"/>
    <x v="0"/>
    <n v="1"/>
    <n v="0"/>
    <n v="0"/>
    <n v="0"/>
  </r>
  <r>
    <s v="CUST0195"/>
    <s v="Oghene Munoz"/>
    <d v="2025-03-25T00:00:00"/>
    <n v="44"/>
    <x v="2"/>
    <x v="20"/>
    <s v="5G Broadband Router"/>
    <x v="1"/>
    <n v="2"/>
    <s v="Fair"/>
    <n v="20"/>
    <x v="1"/>
    <x v="12"/>
    <n v="14500"/>
    <n v="4"/>
    <n v="58000"/>
    <n v="14500"/>
    <n v="128.11000000000001"/>
    <x v="0"/>
    <n v="1"/>
    <n v="0"/>
    <n v="0"/>
    <n v="0"/>
  </r>
  <r>
    <s v="CUST0195"/>
    <s v="Oghene Munoz"/>
    <d v="2025-03-25T00:00:00"/>
    <n v="44"/>
    <x v="2"/>
    <x v="20"/>
    <s v="Broadband MiFi"/>
    <x v="1"/>
    <n v="2"/>
    <s v="Fair"/>
    <n v="20"/>
    <x v="1"/>
    <x v="12"/>
    <n v="14500"/>
    <n v="3"/>
    <n v="43500"/>
    <n v="14500"/>
    <n v="28.56"/>
    <x v="0"/>
    <n v="1"/>
    <n v="0"/>
    <n v="0"/>
    <n v="0"/>
  </r>
  <r>
    <s v="CUST0196"/>
    <s v="Halima Burns"/>
    <d v="2025-01-25T00:00:00"/>
    <n v="60"/>
    <x v="3"/>
    <x v="32"/>
    <s v="4G Router"/>
    <x v="0"/>
    <n v="3"/>
    <s v="Good"/>
    <n v="41"/>
    <x v="2"/>
    <x v="9"/>
    <n v="16000"/>
    <n v="4"/>
    <n v="64000"/>
    <n v="16000"/>
    <n v="70.42"/>
    <x v="1"/>
    <n v="0"/>
    <n v="0"/>
    <n v="0"/>
    <n v="0"/>
  </r>
  <r>
    <s v="CUST0196"/>
    <s v="Halima Burns"/>
    <d v="2025-01-25T00:00:00"/>
    <n v="60"/>
    <x v="3"/>
    <x v="32"/>
    <s v="Broadband MiFi"/>
    <x v="0"/>
    <n v="3"/>
    <s v="Good"/>
    <n v="41"/>
    <x v="2"/>
    <x v="4"/>
    <n v="9000"/>
    <n v="15"/>
    <n v="135000"/>
    <n v="9000"/>
    <n v="10.11"/>
    <x v="1"/>
    <n v="0"/>
    <n v="0"/>
    <n v="0"/>
    <n v="0"/>
  </r>
  <r>
    <s v="CUST0197"/>
    <s v="Ibim Murphy"/>
    <d v="2025-02-25T00:00:00"/>
    <n v="37"/>
    <x v="2"/>
    <x v="15"/>
    <s v="Mobile SIM Card"/>
    <x v="1"/>
    <n v="3"/>
    <s v="Good"/>
    <n v="57"/>
    <x v="2"/>
    <x v="13"/>
    <n v="350"/>
    <n v="3"/>
    <n v="1050"/>
    <n v="350"/>
    <n v="32.950000000000003"/>
    <x v="1"/>
    <n v="0"/>
    <n v="0"/>
    <n v="0"/>
    <n v="0"/>
  </r>
  <r>
    <s v="CUST0198"/>
    <s v="Bola Potter"/>
    <d v="2025-01-25T00:00:00"/>
    <n v="53"/>
    <x v="4"/>
    <x v="17"/>
    <s v="4G Router"/>
    <x v="1"/>
    <n v="1"/>
    <s v="Poor"/>
    <n v="17"/>
    <x v="1"/>
    <x v="9"/>
    <n v="16000"/>
    <n v="3"/>
    <n v="48000"/>
    <n v="16000"/>
    <n v="109.64"/>
    <x v="1"/>
    <n v="0"/>
    <n v="0"/>
    <n v="0"/>
    <n v="0"/>
  </r>
  <r>
    <s v="CUST0198"/>
    <s v="Bola Potter"/>
    <d v="2025-01-25T00:00:00"/>
    <n v="53"/>
    <x v="4"/>
    <x v="17"/>
    <s v="5G Broadband Router"/>
    <x v="1"/>
    <n v="1"/>
    <s v="Poor"/>
    <n v="17"/>
    <x v="1"/>
    <x v="18"/>
    <n v="25000"/>
    <n v="20"/>
    <n v="500000"/>
    <n v="25000"/>
    <n v="119.01"/>
    <x v="1"/>
    <n v="0"/>
    <n v="0"/>
    <n v="0"/>
    <n v="0"/>
  </r>
  <r>
    <s v="CUST0199"/>
    <s v="John Morales"/>
    <d v="2025-02-25T00:00:00"/>
    <n v="19"/>
    <x v="1"/>
    <x v="0"/>
    <s v="4G Router"/>
    <x v="0"/>
    <n v="2"/>
    <s v="Fair"/>
    <n v="39"/>
    <x v="2"/>
    <x v="5"/>
    <n v="4500"/>
    <n v="18"/>
    <n v="81000"/>
    <n v="4500"/>
    <n v="139.59"/>
    <x v="0"/>
    <n v="1"/>
    <n v="0"/>
    <n v="0"/>
    <n v="0"/>
  </r>
  <r>
    <s v="CUST0200"/>
    <s v="Saidu Tucker"/>
    <d v="2025-01-25T00:00:00"/>
    <n v="52"/>
    <x v="4"/>
    <x v="24"/>
    <s v="4G Router"/>
    <x v="0"/>
    <n v="4"/>
    <s v="Very Good"/>
    <n v="7"/>
    <x v="3"/>
    <x v="6"/>
    <n v="9000"/>
    <n v="3"/>
    <n v="27000"/>
    <n v="9000"/>
    <n v="1.26"/>
    <x v="1"/>
    <n v="0"/>
    <n v="0"/>
    <n v="0"/>
    <n v="0"/>
  </r>
  <r>
    <s v="CUST0200"/>
    <s v="Saidu Tucker"/>
    <d v="2025-01-25T00:00:00"/>
    <n v="52"/>
    <x v="4"/>
    <x v="24"/>
    <s v="Broadband MiFi"/>
    <x v="0"/>
    <n v="4"/>
    <s v="Very Good"/>
    <n v="7"/>
    <x v="3"/>
    <x v="11"/>
    <n v="30000"/>
    <n v="20"/>
    <n v="600000"/>
    <n v="30000"/>
    <n v="164.87"/>
    <x v="1"/>
    <n v="0"/>
    <n v="0"/>
    <n v="0"/>
    <n v="0"/>
  </r>
  <r>
    <s v="CUST0201"/>
    <s v="John Mcgrath"/>
    <d v="2025-02-25T00:00:00"/>
    <n v="41"/>
    <x v="2"/>
    <x v="13"/>
    <s v="Broadband MiFi"/>
    <x v="0"/>
    <n v="3"/>
    <s v="Good"/>
    <n v="14"/>
    <x v="1"/>
    <x v="12"/>
    <n v="14500"/>
    <n v="9"/>
    <n v="130500"/>
    <n v="14500"/>
    <n v="94.45"/>
    <x v="1"/>
    <n v="0"/>
    <n v="0"/>
    <n v="0"/>
    <n v="0"/>
  </r>
  <r>
    <s v="CUST0201"/>
    <s v="John Mcgrath"/>
    <d v="2025-02-25T00:00:00"/>
    <n v="41"/>
    <x v="2"/>
    <x v="13"/>
    <s v="4G Router"/>
    <x v="0"/>
    <n v="3"/>
    <s v="Good"/>
    <n v="14"/>
    <x v="1"/>
    <x v="9"/>
    <n v="16000"/>
    <n v="13"/>
    <n v="208000"/>
    <n v="16000"/>
    <n v="128.55000000000001"/>
    <x v="1"/>
    <n v="0"/>
    <n v="0"/>
    <n v="0"/>
    <n v="0"/>
  </r>
  <r>
    <s v="CUST0202"/>
    <s v="Shehu Hays"/>
    <d v="2025-02-25T00:00:00"/>
    <n v="63"/>
    <x v="3"/>
    <x v="6"/>
    <s v="4G Router"/>
    <x v="1"/>
    <n v="1"/>
    <s v="Poor"/>
    <n v="12"/>
    <x v="3"/>
    <x v="9"/>
    <n v="16000"/>
    <n v="4"/>
    <n v="64000"/>
    <n v="16000"/>
    <n v="30.65"/>
    <x v="0"/>
    <n v="1"/>
    <n v="0"/>
    <n v="0"/>
    <n v="0"/>
  </r>
  <r>
    <s v="CUST0202"/>
    <s v="Shehu Hays"/>
    <d v="2025-02-25T00:00:00"/>
    <n v="63"/>
    <x v="3"/>
    <x v="6"/>
    <s v="Mobile SIM Card"/>
    <x v="1"/>
    <n v="1"/>
    <s v="Poor"/>
    <n v="12"/>
    <x v="3"/>
    <x v="14"/>
    <n v="1000"/>
    <n v="18"/>
    <n v="18000"/>
    <n v="1000"/>
    <n v="133.79"/>
    <x v="0"/>
    <n v="1"/>
    <n v="0"/>
    <n v="0"/>
    <n v="0"/>
  </r>
  <r>
    <s v="CUST0203"/>
    <s v="Ibim Castro"/>
    <d v="2025-02-25T00:00:00"/>
    <n v="45"/>
    <x v="4"/>
    <x v="4"/>
    <s v="4G Router"/>
    <x v="1"/>
    <n v="5"/>
    <s v="Excellent"/>
    <n v="53"/>
    <x v="2"/>
    <x v="6"/>
    <n v="9000"/>
    <n v="2"/>
    <n v="18000"/>
    <n v="9000"/>
    <n v="16.25"/>
    <x v="1"/>
    <n v="0"/>
    <n v="0"/>
    <n v="0"/>
    <n v="0"/>
  </r>
  <r>
    <s v="CUST0203"/>
    <s v="Ibim Castro"/>
    <d v="2025-02-25T00:00:00"/>
    <n v="45"/>
    <x v="4"/>
    <x v="4"/>
    <s v="Mobile SIM Card"/>
    <x v="1"/>
    <n v="5"/>
    <s v="Excellent"/>
    <n v="53"/>
    <x v="2"/>
    <x v="20"/>
    <n v="6500"/>
    <n v="17"/>
    <n v="110500"/>
    <n v="6500"/>
    <n v="114.46"/>
    <x v="1"/>
    <n v="0"/>
    <n v="0"/>
    <n v="0"/>
    <n v="0"/>
  </r>
  <r>
    <s v="CUST0204"/>
    <s v="Obinna Patterson"/>
    <d v="2025-02-25T00:00:00"/>
    <n v="31"/>
    <x v="0"/>
    <x v="30"/>
    <s v="Mobile SIM Card"/>
    <x v="0"/>
    <n v="2"/>
    <s v="Fair"/>
    <n v="11"/>
    <x v="3"/>
    <x v="13"/>
    <n v="350"/>
    <n v="5"/>
    <n v="1750"/>
    <n v="350"/>
    <n v="199.46"/>
    <x v="0"/>
    <n v="1"/>
    <n v="0"/>
    <n v="0"/>
    <n v="0"/>
  </r>
  <r>
    <s v="CUST0205"/>
    <s v="Saidu Munoz"/>
    <d v="2025-02-25T00:00:00"/>
    <n v="56"/>
    <x v="3"/>
    <x v="23"/>
    <s v="Mobile SIM Card"/>
    <x v="0"/>
    <n v="5"/>
    <s v="Excellent"/>
    <n v="25"/>
    <x v="2"/>
    <x v="20"/>
    <n v="6500"/>
    <n v="4"/>
    <n v="26000"/>
    <n v="6500"/>
    <n v="156.44999999999999"/>
    <x v="1"/>
    <n v="0"/>
    <n v="0"/>
    <n v="0"/>
    <n v="0"/>
  </r>
  <r>
    <s v="CUST0205"/>
    <s v="Saidu Munoz"/>
    <d v="2025-02-25T00:00:00"/>
    <n v="56"/>
    <x v="3"/>
    <x v="23"/>
    <s v="Broadband MiFi"/>
    <x v="0"/>
    <n v="5"/>
    <s v="Excellent"/>
    <n v="25"/>
    <x v="2"/>
    <x v="12"/>
    <n v="14500"/>
    <n v="19"/>
    <n v="275500"/>
    <n v="14500"/>
    <n v="30.35"/>
    <x v="1"/>
    <n v="0"/>
    <n v="0"/>
    <n v="0"/>
    <n v="0"/>
  </r>
  <r>
    <s v="CUST0206"/>
    <s v="Ngozi Wood"/>
    <d v="2025-03-25T00:00:00"/>
    <n v="29"/>
    <x v="0"/>
    <x v="13"/>
    <s v="Mobile SIM Card"/>
    <x v="1"/>
    <n v="4"/>
    <s v="Very Good"/>
    <n v="56"/>
    <x v="2"/>
    <x v="19"/>
    <n v="600"/>
    <n v="5"/>
    <n v="3000"/>
    <n v="600"/>
    <n v="55.45"/>
    <x v="0"/>
    <n v="1"/>
    <n v="0"/>
    <n v="0"/>
    <n v="0"/>
  </r>
  <r>
    <s v="CUST0206"/>
    <s v="Ngozi Wood"/>
    <d v="2025-03-25T00:00:00"/>
    <n v="29"/>
    <x v="0"/>
    <x v="13"/>
    <s v="Broadband MiFi"/>
    <x v="1"/>
    <n v="4"/>
    <s v="Very Good"/>
    <n v="56"/>
    <x v="2"/>
    <x v="10"/>
    <n v="24000"/>
    <n v="13"/>
    <n v="312000"/>
    <n v="24000"/>
    <n v="121.93"/>
    <x v="0"/>
    <n v="1"/>
    <n v="0"/>
    <n v="0"/>
    <n v="0"/>
  </r>
  <r>
    <s v="CUST0207"/>
    <s v="Bola Miller"/>
    <d v="2025-02-25T00:00:00"/>
    <n v="66"/>
    <x v="3"/>
    <x v="26"/>
    <s v="5G Broadband Router"/>
    <x v="0"/>
    <n v="3"/>
    <s v="Good"/>
    <n v="4"/>
    <x v="0"/>
    <x v="10"/>
    <n v="24000"/>
    <n v="16"/>
    <n v="384000"/>
    <n v="24000"/>
    <n v="62.53"/>
    <x v="1"/>
    <n v="0"/>
    <n v="0"/>
    <n v="0"/>
    <n v="0"/>
  </r>
  <r>
    <s v="CUST0208"/>
    <s v="Ngozi Acevedo"/>
    <d v="2025-02-25T00:00:00"/>
    <n v="45"/>
    <x v="4"/>
    <x v="21"/>
    <s v="Broadband MiFi"/>
    <x v="1"/>
    <n v="3"/>
    <s v="Good"/>
    <n v="48"/>
    <x v="2"/>
    <x v="2"/>
    <n v="20000"/>
    <n v="14"/>
    <n v="280000"/>
    <n v="20000"/>
    <n v="182.73"/>
    <x v="0"/>
    <n v="1"/>
    <n v="0"/>
    <n v="0"/>
    <n v="0"/>
  </r>
  <r>
    <s v="CUST0208"/>
    <s v="Ngozi Acevedo"/>
    <d v="2025-02-25T00:00:00"/>
    <n v="45"/>
    <x v="4"/>
    <x v="21"/>
    <s v="Mobile SIM Card"/>
    <x v="1"/>
    <n v="3"/>
    <s v="Good"/>
    <n v="48"/>
    <x v="2"/>
    <x v="1"/>
    <n v="5500"/>
    <n v="12"/>
    <n v="66000"/>
    <n v="5500"/>
    <n v="152.02000000000001"/>
    <x v="0"/>
    <n v="1"/>
    <n v="0"/>
    <n v="0"/>
    <n v="0"/>
  </r>
  <r>
    <s v="CUST0208"/>
    <s v="Ngozi Acevedo"/>
    <d v="2025-02-25T00:00:00"/>
    <n v="45"/>
    <x v="4"/>
    <x v="21"/>
    <s v="4G Router"/>
    <x v="1"/>
    <n v="3"/>
    <s v="Good"/>
    <n v="48"/>
    <x v="2"/>
    <x v="9"/>
    <n v="16000"/>
    <n v="6"/>
    <n v="96000"/>
    <n v="16000"/>
    <n v="103.3"/>
    <x v="0"/>
    <n v="1"/>
    <n v="0"/>
    <n v="0"/>
    <n v="0"/>
  </r>
  <r>
    <s v="CUST0209"/>
    <s v="Kunle Bird"/>
    <d v="2025-01-25T00:00:00"/>
    <n v="55"/>
    <x v="3"/>
    <x v="28"/>
    <s v="Broadband MiFi"/>
    <x v="1"/>
    <n v="2"/>
    <s v="Fair"/>
    <n v="9"/>
    <x v="3"/>
    <x v="2"/>
    <n v="20000"/>
    <n v="2"/>
    <n v="40000"/>
    <n v="20000"/>
    <n v="7.1"/>
    <x v="0"/>
    <n v="1"/>
    <n v="0"/>
    <n v="0"/>
    <n v="0"/>
  </r>
  <r>
    <s v="CUST0210"/>
    <s v="Ejiro Gill"/>
    <d v="2025-02-25T00:00:00"/>
    <n v="41"/>
    <x v="2"/>
    <x v="29"/>
    <s v="Broadband MiFi"/>
    <x v="1"/>
    <n v="5"/>
    <s v="Excellent"/>
    <n v="53"/>
    <x v="2"/>
    <x v="2"/>
    <n v="20000"/>
    <n v="20"/>
    <n v="400000"/>
    <n v="20000"/>
    <n v="74.81"/>
    <x v="1"/>
    <n v="0"/>
    <n v="0"/>
    <n v="0"/>
    <n v="0"/>
  </r>
  <r>
    <s v="CUST0211"/>
    <s v="Alabo Clay"/>
    <d v="2025-02-25T00:00:00"/>
    <n v="38"/>
    <x v="2"/>
    <x v="31"/>
    <s v="Broadband MiFi"/>
    <x v="1"/>
    <n v="3"/>
    <s v="Good"/>
    <n v="23"/>
    <x v="1"/>
    <x v="12"/>
    <n v="14500"/>
    <n v="19"/>
    <n v="275500"/>
    <n v="14500"/>
    <n v="10.41"/>
    <x v="1"/>
    <n v="0"/>
    <n v="0"/>
    <n v="0"/>
    <n v="0"/>
  </r>
  <r>
    <s v="CUST0211"/>
    <s v="Alabo Clay"/>
    <d v="2025-02-25T00:00:00"/>
    <n v="38"/>
    <x v="2"/>
    <x v="31"/>
    <s v="Mobile SIM Card"/>
    <x v="1"/>
    <n v="3"/>
    <s v="Good"/>
    <n v="23"/>
    <x v="1"/>
    <x v="5"/>
    <n v="4500"/>
    <n v="8"/>
    <n v="36000"/>
    <n v="4500"/>
    <n v="171.49"/>
    <x v="1"/>
    <n v="0"/>
    <n v="0"/>
    <n v="0"/>
    <n v="0"/>
  </r>
  <r>
    <s v="CUST0211"/>
    <s v="Alabo Clay"/>
    <d v="2025-02-25T00:00:00"/>
    <n v="38"/>
    <x v="2"/>
    <x v="31"/>
    <s v="Mobile SIM Card"/>
    <x v="1"/>
    <n v="3"/>
    <s v="Good"/>
    <n v="23"/>
    <x v="1"/>
    <x v="13"/>
    <n v="350"/>
    <n v="14"/>
    <n v="4900"/>
    <n v="350"/>
    <n v="54.18"/>
    <x v="1"/>
    <n v="0"/>
    <n v="0"/>
    <n v="0"/>
    <n v="0"/>
  </r>
  <r>
    <s v="CUST0212"/>
    <s v="Michael Williams"/>
    <d v="2025-02-25T00:00:00"/>
    <n v="18"/>
    <x v="1"/>
    <x v="34"/>
    <s v="4G Router"/>
    <x v="1"/>
    <n v="2"/>
    <s v="Fair"/>
    <n v="59"/>
    <x v="2"/>
    <x v="5"/>
    <n v="4500"/>
    <n v="10"/>
    <n v="45000"/>
    <n v="4500"/>
    <n v="121.86"/>
    <x v="1"/>
    <n v="0"/>
    <n v="0"/>
    <n v="0"/>
    <n v="0"/>
  </r>
  <r>
    <s v="CUST0213"/>
    <s v="Zainab Clark"/>
    <d v="2025-03-25T00:00:00"/>
    <n v="70"/>
    <x v="3"/>
    <x v="6"/>
    <s v="Mobile SIM Card"/>
    <x v="1"/>
    <n v="2"/>
    <s v="Fair"/>
    <n v="30"/>
    <x v="2"/>
    <x v="16"/>
    <n v="900"/>
    <n v="12"/>
    <n v="10800"/>
    <n v="900"/>
    <n v="102.55"/>
    <x v="1"/>
    <n v="0"/>
    <n v="0"/>
    <n v="0"/>
    <n v="0"/>
  </r>
  <r>
    <s v="CUST0213"/>
    <s v="Zainab Clark"/>
    <d v="2025-03-25T00:00:00"/>
    <n v="70"/>
    <x v="3"/>
    <x v="6"/>
    <s v="5G Broadband Router"/>
    <x v="1"/>
    <n v="2"/>
    <s v="Fair"/>
    <n v="30"/>
    <x v="2"/>
    <x v="10"/>
    <n v="24000"/>
    <n v="4"/>
    <n v="96000"/>
    <n v="24000"/>
    <n v="60.05"/>
    <x v="1"/>
    <n v="0"/>
    <n v="0"/>
    <n v="0"/>
    <n v="0"/>
  </r>
  <r>
    <s v="CUST0213"/>
    <s v="Zainab Clark"/>
    <d v="2025-03-25T00:00:00"/>
    <n v="70"/>
    <x v="3"/>
    <x v="6"/>
    <s v="Broadband MiFi"/>
    <x v="1"/>
    <n v="2"/>
    <s v="Fair"/>
    <n v="30"/>
    <x v="2"/>
    <x v="12"/>
    <n v="14500"/>
    <n v="9"/>
    <n v="130500"/>
    <n v="14500"/>
    <n v="13.24"/>
    <x v="1"/>
    <n v="0"/>
    <n v="0"/>
    <n v="0"/>
    <n v="0"/>
  </r>
  <r>
    <s v="CUST0214"/>
    <s v="Ese Cooper"/>
    <d v="2025-02-25T00:00:00"/>
    <n v="51"/>
    <x v="4"/>
    <x v="22"/>
    <s v="Mobile SIM Card"/>
    <x v="1"/>
    <n v="5"/>
    <s v="Excellent"/>
    <n v="13"/>
    <x v="1"/>
    <x v="7"/>
    <n v="3500"/>
    <n v="1"/>
    <n v="3500"/>
    <n v="3500"/>
    <n v="136.31"/>
    <x v="1"/>
    <n v="0"/>
    <n v="0"/>
    <n v="0"/>
    <n v="0"/>
  </r>
  <r>
    <s v="CUST0215"/>
    <s v="Grace Figueroa"/>
    <d v="2025-02-25T00:00:00"/>
    <n v="53"/>
    <x v="4"/>
    <x v="22"/>
    <s v="Mobile SIM Card"/>
    <x v="1"/>
    <n v="1"/>
    <s v="Poor"/>
    <n v="26"/>
    <x v="2"/>
    <x v="0"/>
    <n v="35000"/>
    <n v="12"/>
    <n v="420000"/>
    <n v="35000"/>
    <n v="181.35"/>
    <x v="1"/>
    <n v="0"/>
    <n v="0"/>
    <n v="0"/>
    <n v="0"/>
  </r>
  <r>
    <s v="CUST0215"/>
    <s v="Grace Figueroa"/>
    <d v="2025-02-25T00:00:00"/>
    <n v="53"/>
    <x v="4"/>
    <x v="22"/>
    <s v="Mobile SIM Card"/>
    <x v="1"/>
    <n v="1"/>
    <s v="Poor"/>
    <n v="26"/>
    <x v="2"/>
    <x v="20"/>
    <n v="6500"/>
    <n v="6"/>
    <n v="39000"/>
    <n v="6500"/>
    <n v="60.39"/>
    <x v="1"/>
    <n v="0"/>
    <n v="0"/>
    <n v="0"/>
    <n v="0"/>
  </r>
  <r>
    <s v="CUST0215"/>
    <s v="Grace Figueroa"/>
    <d v="2025-02-25T00:00:00"/>
    <n v="53"/>
    <x v="4"/>
    <x v="22"/>
    <s v="Broadband MiFi"/>
    <x v="1"/>
    <n v="1"/>
    <s v="Poor"/>
    <n v="26"/>
    <x v="2"/>
    <x v="10"/>
    <n v="24000"/>
    <n v="4"/>
    <n v="96000"/>
    <n v="24000"/>
    <n v="36.64"/>
    <x v="1"/>
    <n v="0"/>
    <n v="0"/>
    <n v="0"/>
    <n v="0"/>
  </r>
  <r>
    <s v="CUST0216"/>
    <s v="John Erickson"/>
    <d v="2025-03-25T00:00:00"/>
    <n v="32"/>
    <x v="0"/>
    <x v="22"/>
    <s v="5G Broadband Router"/>
    <x v="0"/>
    <n v="1"/>
    <s v="Poor"/>
    <n v="44"/>
    <x v="2"/>
    <x v="18"/>
    <n v="25000"/>
    <n v="10"/>
    <n v="250000"/>
    <n v="25000"/>
    <n v="52.48"/>
    <x v="0"/>
    <n v="1"/>
    <n v="0"/>
    <n v="0"/>
    <n v="0"/>
  </r>
  <r>
    <s v="CUST0216"/>
    <s v="John Erickson"/>
    <d v="2025-03-25T00:00:00"/>
    <n v="32"/>
    <x v="0"/>
    <x v="22"/>
    <s v="4G Router"/>
    <x v="0"/>
    <n v="1"/>
    <s v="Poor"/>
    <n v="44"/>
    <x v="2"/>
    <x v="0"/>
    <n v="35000"/>
    <n v="16"/>
    <n v="560000"/>
    <n v="35000"/>
    <n v="170.32"/>
    <x v="0"/>
    <n v="1"/>
    <n v="0"/>
    <n v="0"/>
    <n v="0"/>
  </r>
  <r>
    <s v="CUST0216"/>
    <s v="John Erickson"/>
    <d v="2025-03-25T00:00:00"/>
    <n v="32"/>
    <x v="0"/>
    <x v="22"/>
    <s v="Mobile SIM Card"/>
    <x v="0"/>
    <n v="1"/>
    <s v="Poor"/>
    <n v="44"/>
    <x v="2"/>
    <x v="16"/>
    <n v="900"/>
    <n v="19"/>
    <n v="17100"/>
    <n v="900"/>
    <n v="173.35"/>
    <x v="0"/>
    <n v="1"/>
    <n v="0"/>
    <n v="0"/>
    <n v="0"/>
  </r>
  <r>
    <s v="CUST0217"/>
    <s v="Kunle Collins"/>
    <d v="2025-02-25T00:00:00"/>
    <n v="76"/>
    <x v="3"/>
    <x v="18"/>
    <s v="4G Router"/>
    <x v="0"/>
    <n v="5"/>
    <s v="Excellent"/>
    <n v="56"/>
    <x v="2"/>
    <x v="5"/>
    <n v="4500"/>
    <n v="19"/>
    <n v="85500"/>
    <n v="4500"/>
    <n v="68.86"/>
    <x v="0"/>
    <n v="1"/>
    <n v="0"/>
    <n v="0"/>
    <n v="0"/>
  </r>
  <r>
    <s v="CUST0218"/>
    <s v="Zina Dawson"/>
    <d v="2025-01-25T00:00:00"/>
    <n v="34"/>
    <x v="0"/>
    <x v="32"/>
    <s v="5G Broadband Router"/>
    <x v="0"/>
    <n v="4"/>
    <s v="Very Good"/>
    <n v="50"/>
    <x v="2"/>
    <x v="4"/>
    <n v="9000"/>
    <n v="9"/>
    <n v="81000"/>
    <n v="9000"/>
    <n v="1.44"/>
    <x v="1"/>
    <n v="0"/>
    <n v="0"/>
    <n v="0"/>
    <n v="0"/>
  </r>
  <r>
    <s v="CUST0219"/>
    <s v="Fatima Scott"/>
    <d v="2025-01-25T00:00:00"/>
    <n v="37"/>
    <x v="2"/>
    <x v="1"/>
    <s v="Mobile SIM Card"/>
    <x v="1"/>
    <n v="2"/>
    <s v="Fair"/>
    <n v="51"/>
    <x v="2"/>
    <x v="1"/>
    <n v="5500"/>
    <n v="2"/>
    <n v="11000"/>
    <n v="5500"/>
    <n v="76.97"/>
    <x v="1"/>
    <n v="0"/>
    <n v="0"/>
    <n v="0"/>
    <n v="0"/>
  </r>
  <r>
    <s v="CUST0219"/>
    <s v="Fatima Scott"/>
    <d v="2025-01-25T00:00:00"/>
    <n v="37"/>
    <x v="2"/>
    <x v="1"/>
    <s v="4G Router"/>
    <x v="1"/>
    <n v="2"/>
    <s v="Fair"/>
    <n v="51"/>
    <x v="2"/>
    <x v="5"/>
    <n v="4500"/>
    <n v="1"/>
    <n v="4500"/>
    <n v="4500"/>
    <n v="146.27000000000001"/>
    <x v="1"/>
    <n v="0"/>
    <n v="0"/>
    <n v="0"/>
    <n v="0"/>
  </r>
  <r>
    <s v="CUST0219"/>
    <s v="Fatima Scott"/>
    <d v="2025-01-25T00:00:00"/>
    <n v="37"/>
    <x v="2"/>
    <x v="1"/>
    <s v="5G Broadband Router"/>
    <x v="1"/>
    <n v="2"/>
    <s v="Fair"/>
    <n v="51"/>
    <x v="2"/>
    <x v="18"/>
    <n v="25000"/>
    <n v="17"/>
    <n v="425000"/>
    <n v="25000"/>
    <n v="151.49"/>
    <x v="1"/>
    <n v="0"/>
    <n v="0"/>
    <n v="0"/>
    <n v="0"/>
  </r>
  <r>
    <s v="CUST0220"/>
    <s v="Bala Smith"/>
    <d v="2025-03-25T00:00:00"/>
    <n v="18"/>
    <x v="1"/>
    <x v="34"/>
    <s v="Mobile SIM Card"/>
    <x v="0"/>
    <n v="3"/>
    <s v="Good"/>
    <n v="15"/>
    <x v="1"/>
    <x v="16"/>
    <n v="900"/>
    <n v="10"/>
    <n v="9000"/>
    <n v="900"/>
    <n v="59.99"/>
    <x v="0"/>
    <n v="1"/>
    <n v="0"/>
    <n v="0"/>
    <n v="0"/>
  </r>
  <r>
    <s v="CUST0221"/>
    <s v="Zina Cochran"/>
    <d v="2025-02-25T00:00:00"/>
    <n v="59"/>
    <x v="3"/>
    <x v="0"/>
    <s v="Mobile SIM Card"/>
    <x v="0"/>
    <n v="3"/>
    <s v="Good"/>
    <n v="22"/>
    <x v="1"/>
    <x v="16"/>
    <n v="900"/>
    <n v="5"/>
    <n v="4500"/>
    <n v="900"/>
    <n v="46.07"/>
    <x v="1"/>
    <n v="0"/>
    <n v="0"/>
    <n v="0"/>
    <n v="0"/>
  </r>
  <r>
    <s v="CUST0222"/>
    <s v="Fatima Carpenter"/>
    <d v="2025-03-25T00:00:00"/>
    <n v="18"/>
    <x v="1"/>
    <x v="28"/>
    <s v="Mobile SIM Card"/>
    <x v="0"/>
    <n v="1"/>
    <s v="Poor"/>
    <n v="8"/>
    <x v="3"/>
    <x v="16"/>
    <n v="900"/>
    <n v="1"/>
    <n v="900"/>
    <n v="900"/>
    <n v="132.56"/>
    <x v="1"/>
    <n v="0"/>
    <n v="0"/>
    <n v="0"/>
    <n v="0"/>
  </r>
  <r>
    <s v="CUST0223"/>
    <s v="Sade Howell"/>
    <d v="2025-01-25T00:00:00"/>
    <n v="30"/>
    <x v="0"/>
    <x v="15"/>
    <s v="Mobile SIM Card"/>
    <x v="1"/>
    <n v="5"/>
    <s v="Excellent"/>
    <n v="25"/>
    <x v="2"/>
    <x v="9"/>
    <n v="16000"/>
    <n v="4"/>
    <n v="64000"/>
    <n v="16000"/>
    <n v="60.57"/>
    <x v="0"/>
    <n v="1"/>
    <n v="0"/>
    <n v="0"/>
    <n v="0"/>
  </r>
  <r>
    <s v="CUST0224"/>
    <s v="Sarah Stevens"/>
    <d v="2025-01-25T00:00:00"/>
    <n v="50"/>
    <x v="4"/>
    <x v="21"/>
    <s v="5G Broadband Router"/>
    <x v="1"/>
    <n v="5"/>
    <s v="Excellent"/>
    <n v="54"/>
    <x v="2"/>
    <x v="2"/>
    <n v="20000"/>
    <n v="16"/>
    <n v="320000"/>
    <n v="20000"/>
    <n v="157.06"/>
    <x v="1"/>
    <n v="0"/>
    <n v="0"/>
    <n v="0"/>
    <n v="0"/>
  </r>
  <r>
    <s v="CUST0225"/>
    <s v="Bala Cummings"/>
    <d v="2025-02-25T00:00:00"/>
    <n v="41"/>
    <x v="2"/>
    <x v="22"/>
    <s v="Mobile SIM Card"/>
    <x v="0"/>
    <n v="3"/>
    <s v="Good"/>
    <n v="23"/>
    <x v="1"/>
    <x v="0"/>
    <n v="35000"/>
    <n v="1"/>
    <n v="35000"/>
    <n v="35000"/>
    <n v="66.459999999999994"/>
    <x v="0"/>
    <n v="1"/>
    <n v="0"/>
    <n v="0"/>
    <n v="0"/>
  </r>
  <r>
    <s v="CUST0225"/>
    <s v="Bala Cummings"/>
    <d v="2025-02-25T00:00:00"/>
    <n v="41"/>
    <x v="2"/>
    <x v="22"/>
    <s v="5G Broadband Router"/>
    <x v="0"/>
    <n v="3"/>
    <s v="Good"/>
    <n v="23"/>
    <x v="1"/>
    <x v="4"/>
    <n v="9000"/>
    <n v="4"/>
    <n v="36000"/>
    <n v="9000"/>
    <n v="134.49"/>
    <x v="0"/>
    <n v="1"/>
    <n v="0"/>
    <n v="0"/>
    <n v="0"/>
  </r>
  <r>
    <s v="CUST0226"/>
    <s v="Grace Carter"/>
    <d v="2025-01-25T00:00:00"/>
    <n v="35"/>
    <x v="2"/>
    <x v="33"/>
    <s v="5G Broadband Router"/>
    <x v="0"/>
    <n v="3"/>
    <s v="Good"/>
    <n v="47"/>
    <x v="2"/>
    <x v="8"/>
    <n v="150000"/>
    <n v="6"/>
    <n v="900000"/>
    <n v="150000"/>
    <n v="10.49"/>
    <x v="1"/>
    <n v="0"/>
    <n v="0"/>
    <n v="0"/>
    <n v="0"/>
  </r>
  <r>
    <s v="CUST0226"/>
    <s v="Grace Carter"/>
    <d v="2025-01-25T00:00:00"/>
    <n v="35"/>
    <x v="2"/>
    <x v="33"/>
    <s v="4G Router"/>
    <x v="0"/>
    <n v="3"/>
    <s v="Good"/>
    <n v="47"/>
    <x v="2"/>
    <x v="9"/>
    <n v="16000"/>
    <n v="12"/>
    <n v="192000"/>
    <n v="16000"/>
    <n v="170.52"/>
    <x v="1"/>
    <n v="0"/>
    <n v="0"/>
    <n v="0"/>
    <n v="0"/>
  </r>
  <r>
    <s v="CUST0227"/>
    <s v="Ese Stewart"/>
    <d v="2025-01-25T00:00:00"/>
    <n v="70"/>
    <x v="3"/>
    <x v="27"/>
    <s v="4G Router"/>
    <x v="0"/>
    <n v="1"/>
    <s v="Poor"/>
    <n v="55"/>
    <x v="2"/>
    <x v="0"/>
    <n v="35000"/>
    <n v="9"/>
    <n v="315000"/>
    <n v="35000"/>
    <n v="191.04"/>
    <x v="1"/>
    <n v="0"/>
    <n v="0"/>
    <n v="0"/>
    <n v="0"/>
  </r>
  <r>
    <s v="CUST0227"/>
    <s v="Ese Stewart"/>
    <d v="2025-01-25T00:00:00"/>
    <n v="70"/>
    <x v="3"/>
    <x v="27"/>
    <s v="Mobile SIM Card"/>
    <x v="0"/>
    <n v="1"/>
    <s v="Poor"/>
    <n v="55"/>
    <x v="2"/>
    <x v="14"/>
    <n v="1000"/>
    <n v="11"/>
    <n v="11000"/>
    <n v="1000"/>
    <n v="74.84"/>
    <x v="1"/>
    <n v="0"/>
    <n v="0"/>
    <n v="0"/>
    <n v="0"/>
  </r>
  <r>
    <s v="CUST0227"/>
    <s v="Ese Stewart"/>
    <d v="2025-01-25T00:00:00"/>
    <n v="70"/>
    <x v="3"/>
    <x v="27"/>
    <s v="5G Broadband Router"/>
    <x v="0"/>
    <n v="1"/>
    <s v="Poor"/>
    <n v="55"/>
    <x v="2"/>
    <x v="11"/>
    <n v="30000"/>
    <n v="13"/>
    <n v="390000"/>
    <n v="30000"/>
    <n v="23.21"/>
    <x v="1"/>
    <n v="0"/>
    <n v="0"/>
    <n v="0"/>
    <n v="0"/>
  </r>
  <r>
    <s v="CUST0228"/>
    <s v="Zina Fuller"/>
    <d v="2025-02-25T00:00:00"/>
    <n v="50"/>
    <x v="4"/>
    <x v="6"/>
    <s v="Broadband MiFi"/>
    <x v="1"/>
    <n v="2"/>
    <s v="Fair"/>
    <n v="52"/>
    <x v="2"/>
    <x v="12"/>
    <n v="14500"/>
    <n v="16"/>
    <n v="232000"/>
    <n v="14500"/>
    <n v="182.29"/>
    <x v="0"/>
    <n v="1"/>
    <n v="0"/>
    <n v="0"/>
    <n v="0"/>
  </r>
  <r>
    <s v="CUST0228"/>
    <s v="Zina Fuller"/>
    <d v="2025-02-25T00:00:00"/>
    <n v="50"/>
    <x v="4"/>
    <x v="6"/>
    <s v="Mobile SIM Card"/>
    <x v="1"/>
    <n v="2"/>
    <s v="Fair"/>
    <n v="52"/>
    <x v="2"/>
    <x v="1"/>
    <n v="5500"/>
    <n v="13"/>
    <n v="71500"/>
    <n v="5500"/>
    <n v="36.659999999999997"/>
    <x v="0"/>
    <n v="1"/>
    <n v="0"/>
    <n v="0"/>
    <n v="0"/>
  </r>
  <r>
    <s v="CUST0228"/>
    <s v="Zina Fuller"/>
    <d v="2025-02-25T00:00:00"/>
    <n v="50"/>
    <x v="4"/>
    <x v="6"/>
    <s v="5G Broadband Router"/>
    <x v="1"/>
    <n v="2"/>
    <s v="Fair"/>
    <n v="52"/>
    <x v="2"/>
    <x v="18"/>
    <n v="25000"/>
    <n v="5"/>
    <n v="125000"/>
    <n v="25000"/>
    <n v="122.47"/>
    <x v="0"/>
    <n v="1"/>
    <n v="0"/>
    <n v="0"/>
    <n v="0"/>
  </r>
  <r>
    <s v="CUST0229"/>
    <s v="John Edwards"/>
    <d v="2025-01-25T00:00:00"/>
    <n v="78"/>
    <x v="3"/>
    <x v="27"/>
    <s v="Mobile SIM Card"/>
    <x v="1"/>
    <n v="1"/>
    <s v="Poor"/>
    <n v="29"/>
    <x v="2"/>
    <x v="6"/>
    <n v="9000"/>
    <n v="20"/>
    <n v="180000"/>
    <n v="9000"/>
    <n v="104.06"/>
    <x v="0"/>
    <n v="1"/>
    <n v="0"/>
    <n v="0"/>
    <n v="0"/>
  </r>
  <r>
    <s v="CUST0230"/>
    <s v="Ngozi Pierce"/>
    <d v="2025-02-25T00:00:00"/>
    <n v="71"/>
    <x v="3"/>
    <x v="7"/>
    <s v="Broadband MiFi"/>
    <x v="1"/>
    <n v="2"/>
    <s v="Fair"/>
    <n v="23"/>
    <x v="1"/>
    <x v="10"/>
    <n v="24000"/>
    <n v="16"/>
    <n v="384000"/>
    <n v="24000"/>
    <n v="169.84"/>
    <x v="1"/>
    <n v="0"/>
    <n v="0"/>
    <n v="0"/>
    <n v="0"/>
  </r>
  <r>
    <s v="CUST0230"/>
    <s v="Ngozi Pierce"/>
    <d v="2025-02-25T00:00:00"/>
    <n v="71"/>
    <x v="3"/>
    <x v="7"/>
    <s v="Mobile SIM Card"/>
    <x v="1"/>
    <n v="2"/>
    <s v="Fair"/>
    <n v="23"/>
    <x v="1"/>
    <x v="19"/>
    <n v="600"/>
    <n v="16"/>
    <n v="9600"/>
    <n v="600"/>
    <n v="15.44"/>
    <x v="1"/>
    <n v="0"/>
    <n v="0"/>
    <n v="0"/>
    <n v="0"/>
  </r>
  <r>
    <s v="CUST0230"/>
    <s v="Ngozi Pierce"/>
    <d v="2025-02-25T00:00:00"/>
    <n v="71"/>
    <x v="3"/>
    <x v="7"/>
    <s v="5G Broadband Router"/>
    <x v="1"/>
    <n v="2"/>
    <s v="Fair"/>
    <n v="23"/>
    <x v="1"/>
    <x v="18"/>
    <n v="25000"/>
    <n v="9"/>
    <n v="225000"/>
    <n v="25000"/>
    <n v="48.56"/>
    <x v="1"/>
    <n v="0"/>
    <n v="0"/>
    <n v="0"/>
    <n v="0"/>
  </r>
  <r>
    <s v="CUST0231"/>
    <s v="Sade Smith"/>
    <d v="2025-02-25T00:00:00"/>
    <n v="80"/>
    <x v="3"/>
    <x v="16"/>
    <s v="Mobile SIM Card"/>
    <x v="1"/>
    <n v="1"/>
    <s v="Poor"/>
    <n v="26"/>
    <x v="2"/>
    <x v="1"/>
    <n v="5500"/>
    <n v="16"/>
    <n v="88000"/>
    <n v="5500"/>
    <n v="63.55"/>
    <x v="1"/>
    <n v="0"/>
    <n v="0"/>
    <n v="0"/>
    <n v="0"/>
  </r>
  <r>
    <s v="CUST0231"/>
    <s v="Sade Smith"/>
    <d v="2025-02-25T00:00:00"/>
    <n v="80"/>
    <x v="3"/>
    <x v="16"/>
    <s v="Broadband MiFi"/>
    <x v="1"/>
    <n v="1"/>
    <s v="Poor"/>
    <n v="26"/>
    <x v="2"/>
    <x v="4"/>
    <n v="9000"/>
    <n v="14"/>
    <n v="126000"/>
    <n v="9000"/>
    <n v="20.98"/>
    <x v="1"/>
    <n v="0"/>
    <n v="0"/>
    <n v="0"/>
    <n v="0"/>
  </r>
  <r>
    <s v="CUST0231"/>
    <s v="Sade Smith"/>
    <d v="2025-02-25T00:00:00"/>
    <n v="80"/>
    <x v="3"/>
    <x v="16"/>
    <s v="Mobile SIM Card"/>
    <x v="1"/>
    <n v="1"/>
    <s v="Poor"/>
    <n v="26"/>
    <x v="2"/>
    <x v="9"/>
    <n v="16000"/>
    <n v="1"/>
    <n v="16000"/>
    <n v="16000"/>
    <n v="111.65"/>
    <x v="1"/>
    <n v="0"/>
    <n v="0"/>
    <n v="0"/>
    <n v="0"/>
  </r>
  <r>
    <s v="CUST0232"/>
    <s v="Chinedu Hughes"/>
    <d v="2025-02-25T00:00:00"/>
    <n v="54"/>
    <x v="4"/>
    <x v="28"/>
    <s v="4G Router"/>
    <x v="0"/>
    <n v="3"/>
    <s v="Good"/>
    <n v="42"/>
    <x v="2"/>
    <x v="0"/>
    <n v="35000"/>
    <n v="20"/>
    <n v="700000"/>
    <n v="35000"/>
    <n v="66.73"/>
    <x v="1"/>
    <n v="0"/>
    <n v="0"/>
    <n v="0"/>
    <n v="0"/>
  </r>
  <r>
    <s v="CUST0233"/>
    <s v="John Benjamin"/>
    <d v="2025-02-25T00:00:00"/>
    <n v="62"/>
    <x v="3"/>
    <x v="30"/>
    <s v="5G Broadband Router"/>
    <x v="0"/>
    <n v="1"/>
    <s v="Poor"/>
    <n v="7"/>
    <x v="3"/>
    <x v="2"/>
    <n v="20000"/>
    <n v="6"/>
    <n v="120000"/>
    <n v="20000"/>
    <n v="9.6300000000000008"/>
    <x v="1"/>
    <n v="0"/>
    <n v="0"/>
    <n v="0"/>
    <n v="0"/>
  </r>
  <r>
    <s v="CUST0233"/>
    <s v="John Benjamin"/>
    <d v="2025-02-25T00:00:00"/>
    <n v="62"/>
    <x v="3"/>
    <x v="30"/>
    <s v="Mobile SIM Card"/>
    <x v="0"/>
    <n v="1"/>
    <s v="Poor"/>
    <n v="7"/>
    <x v="3"/>
    <x v="1"/>
    <n v="5500"/>
    <n v="14"/>
    <n v="77000"/>
    <n v="5500"/>
    <n v="28.52"/>
    <x v="1"/>
    <n v="0"/>
    <n v="0"/>
    <n v="0"/>
    <n v="0"/>
  </r>
  <r>
    <s v="CUST0233"/>
    <s v="John Benjamin"/>
    <d v="2025-02-25T00:00:00"/>
    <n v="62"/>
    <x v="3"/>
    <x v="30"/>
    <s v="4G Router"/>
    <x v="0"/>
    <n v="1"/>
    <s v="Poor"/>
    <n v="7"/>
    <x v="3"/>
    <x v="9"/>
    <n v="16000"/>
    <n v="7"/>
    <n v="112000"/>
    <n v="16000"/>
    <n v="51.23"/>
    <x v="1"/>
    <n v="0"/>
    <n v="0"/>
    <n v="0"/>
    <n v="0"/>
  </r>
  <r>
    <s v="CUST0234"/>
    <s v="Bala Hardin"/>
    <d v="2025-02-25T00:00:00"/>
    <n v="31"/>
    <x v="0"/>
    <x v="10"/>
    <s v="Broadband MiFi"/>
    <x v="0"/>
    <n v="3"/>
    <s v="Good"/>
    <n v="30"/>
    <x v="2"/>
    <x v="12"/>
    <n v="14500"/>
    <n v="19"/>
    <n v="275500"/>
    <n v="14500"/>
    <n v="91.75"/>
    <x v="0"/>
    <n v="1"/>
    <n v="0"/>
    <n v="0"/>
    <n v="0"/>
  </r>
  <r>
    <s v="CUST0235"/>
    <s v="Michael Savage"/>
    <d v="2025-01-25T00:00:00"/>
    <n v="33"/>
    <x v="0"/>
    <x v="12"/>
    <s v="Mobile SIM Card"/>
    <x v="0"/>
    <n v="5"/>
    <s v="Excellent"/>
    <n v="34"/>
    <x v="2"/>
    <x v="19"/>
    <n v="600"/>
    <n v="5"/>
    <n v="3000"/>
    <n v="600"/>
    <n v="146.22999999999999"/>
    <x v="1"/>
    <n v="0"/>
    <n v="0"/>
    <n v="0"/>
    <n v="0"/>
  </r>
  <r>
    <s v="CUST0235"/>
    <s v="Michael Savage"/>
    <d v="2025-01-25T00:00:00"/>
    <n v="33"/>
    <x v="0"/>
    <x v="12"/>
    <s v="5G Broadband Router"/>
    <x v="0"/>
    <n v="5"/>
    <s v="Excellent"/>
    <n v="34"/>
    <x v="2"/>
    <x v="2"/>
    <n v="20000"/>
    <n v="20"/>
    <n v="400000"/>
    <n v="20000"/>
    <n v="77.790000000000006"/>
    <x v="1"/>
    <n v="0"/>
    <n v="0"/>
    <n v="0"/>
    <n v="0"/>
  </r>
  <r>
    <s v="CUST0235"/>
    <s v="Michael Savage"/>
    <d v="2025-01-25T00:00:00"/>
    <n v="33"/>
    <x v="0"/>
    <x v="12"/>
    <s v="Broadband MiFi"/>
    <x v="0"/>
    <n v="5"/>
    <s v="Excellent"/>
    <n v="34"/>
    <x v="2"/>
    <x v="10"/>
    <n v="24000"/>
    <n v="17"/>
    <n v="408000"/>
    <n v="24000"/>
    <n v="176.6"/>
    <x v="1"/>
    <n v="0"/>
    <n v="0"/>
    <n v="0"/>
    <n v="0"/>
  </r>
  <r>
    <s v="CUST0236"/>
    <s v="Omamuzo Stephenson"/>
    <d v="2025-03-25T00:00:00"/>
    <n v="69"/>
    <x v="3"/>
    <x v="7"/>
    <s v="Mobile SIM Card"/>
    <x v="1"/>
    <n v="3"/>
    <s v="Good"/>
    <n v="26"/>
    <x v="2"/>
    <x v="0"/>
    <n v="35000"/>
    <n v="17"/>
    <n v="595000"/>
    <n v="35000"/>
    <n v="120.7"/>
    <x v="1"/>
    <n v="0"/>
    <n v="0"/>
    <n v="0"/>
    <n v="0"/>
  </r>
  <r>
    <s v="CUST0237"/>
    <s v="Maryam Moore"/>
    <d v="2025-03-25T00:00:00"/>
    <n v="56"/>
    <x v="3"/>
    <x v="9"/>
    <s v="4G Router"/>
    <x v="0"/>
    <n v="3"/>
    <s v="Good"/>
    <n v="14"/>
    <x v="1"/>
    <x v="6"/>
    <n v="9000"/>
    <n v="12"/>
    <n v="108000"/>
    <n v="9000"/>
    <n v="142.22"/>
    <x v="1"/>
    <n v="0"/>
    <n v="0"/>
    <n v="0"/>
    <n v="0"/>
  </r>
  <r>
    <s v="CUST0238"/>
    <s v="John Patel"/>
    <d v="2025-02-25T00:00:00"/>
    <n v="69"/>
    <x v="3"/>
    <x v="11"/>
    <s v="Mobile SIM Card"/>
    <x v="1"/>
    <n v="1"/>
    <s v="Poor"/>
    <n v="57"/>
    <x v="2"/>
    <x v="19"/>
    <n v="600"/>
    <n v="2"/>
    <n v="1200"/>
    <n v="600"/>
    <n v="11.09"/>
    <x v="1"/>
    <n v="0"/>
    <n v="0"/>
    <n v="0"/>
    <n v="0"/>
  </r>
  <r>
    <s v="CUST0239"/>
    <s v="Bala Holt"/>
    <d v="2025-03-25T00:00:00"/>
    <n v="50"/>
    <x v="4"/>
    <x v="1"/>
    <s v="5G Broadband Router"/>
    <x v="1"/>
    <n v="2"/>
    <s v="Fair"/>
    <n v="44"/>
    <x v="2"/>
    <x v="18"/>
    <n v="25000"/>
    <n v="4"/>
    <n v="100000"/>
    <n v="25000"/>
    <n v="162.9"/>
    <x v="1"/>
    <n v="0"/>
    <n v="0"/>
    <n v="0"/>
    <n v="0"/>
  </r>
  <r>
    <s v="CUST0239"/>
    <s v="Bala Holt"/>
    <d v="2025-03-25T00:00:00"/>
    <n v="50"/>
    <x v="4"/>
    <x v="1"/>
    <s v="Broadband MiFi"/>
    <x v="1"/>
    <n v="2"/>
    <s v="Fair"/>
    <n v="44"/>
    <x v="2"/>
    <x v="10"/>
    <n v="24000"/>
    <n v="18"/>
    <n v="432000"/>
    <n v="24000"/>
    <n v="173.67"/>
    <x v="1"/>
    <n v="0"/>
    <n v="0"/>
    <n v="0"/>
    <n v="0"/>
  </r>
  <r>
    <s v="CUST0239"/>
    <s v="Bala Holt"/>
    <d v="2025-03-25T00:00:00"/>
    <n v="50"/>
    <x v="4"/>
    <x v="1"/>
    <s v="Mobile SIM Card"/>
    <x v="1"/>
    <n v="2"/>
    <s v="Fair"/>
    <n v="44"/>
    <x v="2"/>
    <x v="13"/>
    <n v="350"/>
    <n v="18"/>
    <n v="6300"/>
    <n v="350"/>
    <n v="148.61000000000001"/>
    <x v="1"/>
    <n v="0"/>
    <n v="0"/>
    <n v="0"/>
    <n v="0"/>
  </r>
  <r>
    <s v="CUST0240"/>
    <s v="Omamuzo Roberts"/>
    <d v="2025-01-25T00:00:00"/>
    <n v="46"/>
    <x v="4"/>
    <x v="28"/>
    <s v="5G Broadband Router"/>
    <x v="1"/>
    <n v="4"/>
    <s v="Very Good"/>
    <n v="45"/>
    <x v="2"/>
    <x v="4"/>
    <n v="9000"/>
    <n v="7"/>
    <n v="63000"/>
    <n v="9000"/>
    <n v="148.86000000000001"/>
    <x v="1"/>
    <n v="0"/>
    <n v="0"/>
    <n v="0"/>
    <n v="0"/>
  </r>
  <r>
    <s v="CUST0240"/>
    <s v="Omamuzo Roberts"/>
    <d v="2025-01-25T00:00:00"/>
    <n v="46"/>
    <x v="4"/>
    <x v="28"/>
    <s v="Mobile SIM Card"/>
    <x v="1"/>
    <n v="4"/>
    <s v="Very Good"/>
    <n v="45"/>
    <x v="2"/>
    <x v="1"/>
    <n v="5500"/>
    <n v="12"/>
    <n v="66000"/>
    <n v="5500"/>
    <n v="166.08"/>
    <x v="1"/>
    <n v="0"/>
    <n v="0"/>
    <n v="0"/>
    <n v="0"/>
  </r>
  <r>
    <s v="CUST0240"/>
    <s v="Omamuzo Roberts"/>
    <d v="2025-01-25T00:00:00"/>
    <n v="46"/>
    <x v="4"/>
    <x v="28"/>
    <s v="Broadband MiFi"/>
    <x v="1"/>
    <n v="4"/>
    <s v="Very Good"/>
    <n v="45"/>
    <x v="2"/>
    <x v="10"/>
    <n v="24000"/>
    <n v="20"/>
    <n v="480000"/>
    <n v="24000"/>
    <n v="109.55"/>
    <x v="1"/>
    <n v="0"/>
    <n v="0"/>
    <n v="0"/>
    <n v="0"/>
  </r>
  <r>
    <s v="CUST0241"/>
    <s v="Bala Calhoun"/>
    <d v="2025-01-25T00:00:00"/>
    <n v="40"/>
    <x v="2"/>
    <x v="14"/>
    <s v="Broadband MiFi"/>
    <x v="1"/>
    <n v="2"/>
    <s v="Fair"/>
    <n v="12"/>
    <x v="3"/>
    <x v="12"/>
    <n v="14500"/>
    <n v="9"/>
    <n v="130500"/>
    <n v="14500"/>
    <n v="56.18"/>
    <x v="1"/>
    <n v="0"/>
    <n v="0"/>
    <n v="0"/>
    <n v="0"/>
  </r>
  <r>
    <s v="CUST0241"/>
    <s v="Bala Calhoun"/>
    <d v="2025-01-25T00:00:00"/>
    <n v="40"/>
    <x v="2"/>
    <x v="14"/>
    <s v="4G Router"/>
    <x v="1"/>
    <n v="2"/>
    <s v="Fair"/>
    <n v="12"/>
    <x v="3"/>
    <x v="5"/>
    <n v="4500"/>
    <n v="9"/>
    <n v="40500"/>
    <n v="4500"/>
    <n v="32.61"/>
    <x v="1"/>
    <n v="0"/>
    <n v="0"/>
    <n v="0"/>
    <n v="0"/>
  </r>
  <r>
    <s v="CUST0241"/>
    <s v="Bala Calhoun"/>
    <d v="2025-01-25T00:00:00"/>
    <n v="40"/>
    <x v="2"/>
    <x v="14"/>
    <s v="Mobile SIM Card"/>
    <x v="1"/>
    <n v="2"/>
    <s v="Fair"/>
    <n v="12"/>
    <x v="3"/>
    <x v="16"/>
    <n v="900"/>
    <n v="5"/>
    <n v="4500"/>
    <n v="900"/>
    <n v="66.45"/>
    <x v="1"/>
    <n v="0"/>
    <n v="0"/>
    <n v="0"/>
    <n v="0"/>
  </r>
  <r>
    <s v="CUST0242"/>
    <s v="Bola Miller"/>
    <d v="2025-03-25T00:00:00"/>
    <n v="35"/>
    <x v="2"/>
    <x v="32"/>
    <s v="5G Broadband Router"/>
    <x v="0"/>
    <n v="4"/>
    <s v="Very Good"/>
    <n v="50"/>
    <x v="2"/>
    <x v="12"/>
    <n v="14500"/>
    <n v="17"/>
    <n v="246500"/>
    <n v="14500"/>
    <n v="191.42"/>
    <x v="1"/>
    <n v="0"/>
    <n v="0"/>
    <n v="0"/>
    <n v="0"/>
  </r>
  <r>
    <s v="CUST0242"/>
    <s v="Bola Miller"/>
    <d v="2025-03-25T00:00:00"/>
    <n v="35"/>
    <x v="2"/>
    <x v="32"/>
    <s v="Broadband MiFi"/>
    <x v="0"/>
    <n v="4"/>
    <s v="Very Good"/>
    <n v="50"/>
    <x v="2"/>
    <x v="4"/>
    <n v="9000"/>
    <n v="6"/>
    <n v="54000"/>
    <n v="9000"/>
    <n v="157.36000000000001"/>
    <x v="1"/>
    <n v="0"/>
    <n v="0"/>
    <n v="0"/>
    <n v="0"/>
  </r>
  <r>
    <s v="CUST0242"/>
    <s v="Bola Miller"/>
    <d v="2025-03-25T00:00:00"/>
    <n v="35"/>
    <x v="2"/>
    <x v="32"/>
    <s v="4G Router"/>
    <x v="0"/>
    <n v="4"/>
    <s v="Very Good"/>
    <n v="50"/>
    <x v="2"/>
    <x v="0"/>
    <n v="35000"/>
    <n v="13"/>
    <n v="455000"/>
    <n v="35000"/>
    <n v="108.84"/>
    <x v="1"/>
    <n v="0"/>
    <n v="0"/>
    <n v="0"/>
    <n v="0"/>
  </r>
  <r>
    <s v="CUST0243"/>
    <s v="Chinedu Elliott"/>
    <d v="2025-03-25T00:00:00"/>
    <n v="60"/>
    <x v="3"/>
    <x v="16"/>
    <s v="Mobile SIM Card"/>
    <x v="0"/>
    <n v="3"/>
    <s v="Good"/>
    <n v="43"/>
    <x v="2"/>
    <x v="20"/>
    <n v="6500"/>
    <n v="1"/>
    <n v="6500"/>
    <n v="6500"/>
    <n v="164.83"/>
    <x v="1"/>
    <n v="0"/>
    <n v="0"/>
    <n v="0"/>
    <n v="0"/>
  </r>
  <r>
    <s v="CUST0244"/>
    <s v="Ifeanyi Austin"/>
    <d v="2025-02-25T00:00:00"/>
    <n v="60"/>
    <x v="3"/>
    <x v="30"/>
    <s v="Mobile SIM Card"/>
    <x v="0"/>
    <n v="1"/>
    <s v="Poor"/>
    <n v="58"/>
    <x v="2"/>
    <x v="15"/>
    <n v="7500"/>
    <n v="10"/>
    <n v="75000"/>
    <n v="7500"/>
    <n v="51.69"/>
    <x v="1"/>
    <n v="0"/>
    <n v="0"/>
    <n v="0"/>
    <n v="0"/>
  </r>
  <r>
    <s v="CUST0244"/>
    <s v="Ifeanyi Austin"/>
    <d v="2025-02-25T00:00:00"/>
    <n v="60"/>
    <x v="3"/>
    <x v="30"/>
    <s v="Broadband MiFi"/>
    <x v="0"/>
    <n v="1"/>
    <s v="Poor"/>
    <n v="58"/>
    <x v="2"/>
    <x v="4"/>
    <n v="9000"/>
    <n v="12"/>
    <n v="108000"/>
    <n v="9000"/>
    <n v="182.31"/>
    <x v="1"/>
    <n v="0"/>
    <n v="0"/>
    <n v="0"/>
    <n v="0"/>
  </r>
  <r>
    <s v="CUST0245"/>
    <s v="Michael Jones"/>
    <d v="2025-02-25T00:00:00"/>
    <n v="73"/>
    <x v="3"/>
    <x v="12"/>
    <s v="4G Router"/>
    <x v="0"/>
    <n v="3"/>
    <s v="Good"/>
    <n v="19"/>
    <x v="1"/>
    <x v="9"/>
    <n v="16000"/>
    <n v="7"/>
    <n v="112000"/>
    <n v="16000"/>
    <n v="125.57"/>
    <x v="1"/>
    <n v="0"/>
    <n v="0"/>
    <n v="0"/>
    <n v="0"/>
  </r>
  <r>
    <s v="CUST0246"/>
    <s v="Fatima Foster"/>
    <d v="2025-02-25T00:00:00"/>
    <n v="70"/>
    <x v="3"/>
    <x v="13"/>
    <s v="Broadband MiFi"/>
    <x v="0"/>
    <n v="1"/>
    <s v="Poor"/>
    <n v="35"/>
    <x v="2"/>
    <x v="12"/>
    <n v="14500"/>
    <n v="2"/>
    <n v="29000"/>
    <n v="14500"/>
    <n v="143.52000000000001"/>
    <x v="1"/>
    <n v="0"/>
    <n v="0"/>
    <n v="0"/>
    <n v="0"/>
  </r>
  <r>
    <s v="CUST0247"/>
    <s v="Chinedu Yates"/>
    <d v="2025-03-25T00:00:00"/>
    <n v="25"/>
    <x v="0"/>
    <x v="4"/>
    <s v="5G Broadband Router"/>
    <x v="0"/>
    <n v="5"/>
    <s v="Excellent"/>
    <n v="51"/>
    <x v="2"/>
    <x v="17"/>
    <n v="75000"/>
    <n v="13"/>
    <n v="975000"/>
    <n v="75000"/>
    <n v="77.91"/>
    <x v="0"/>
    <n v="1"/>
    <n v="0"/>
    <n v="0"/>
    <n v="0"/>
  </r>
  <r>
    <s v="CUST0248"/>
    <s v="Boma Peterson"/>
    <d v="2025-01-25T00:00:00"/>
    <n v="56"/>
    <x v="3"/>
    <x v="17"/>
    <s v="Broadband MiFi"/>
    <x v="1"/>
    <n v="5"/>
    <s v="Excellent"/>
    <n v="44"/>
    <x v="2"/>
    <x v="4"/>
    <n v="9000"/>
    <n v="17"/>
    <n v="153000"/>
    <n v="9000"/>
    <n v="71.86"/>
    <x v="0"/>
    <n v="1"/>
    <n v="0"/>
    <n v="0"/>
    <n v="0"/>
  </r>
  <r>
    <s v="CUST0248"/>
    <s v="Boma Peterson"/>
    <d v="2025-01-25T00:00:00"/>
    <n v="56"/>
    <x v="3"/>
    <x v="17"/>
    <s v="5G Broadband Router"/>
    <x v="1"/>
    <n v="5"/>
    <s v="Excellent"/>
    <n v="44"/>
    <x v="2"/>
    <x v="2"/>
    <n v="20000"/>
    <n v="10"/>
    <n v="200000"/>
    <n v="20000"/>
    <n v="58.32"/>
    <x v="0"/>
    <n v="1"/>
    <n v="0"/>
    <n v="0"/>
    <n v="0"/>
  </r>
  <r>
    <s v="CUST0248"/>
    <s v="Boma Peterson"/>
    <d v="2025-01-25T00:00:00"/>
    <n v="56"/>
    <x v="3"/>
    <x v="17"/>
    <s v="Mobile SIM Card"/>
    <x v="1"/>
    <n v="5"/>
    <s v="Excellent"/>
    <n v="44"/>
    <x v="2"/>
    <x v="14"/>
    <n v="1000"/>
    <n v="15"/>
    <n v="15000"/>
    <n v="1000"/>
    <n v="56.66"/>
    <x v="0"/>
    <n v="1"/>
    <n v="0"/>
    <n v="0"/>
    <n v="0"/>
  </r>
  <r>
    <s v="CUST0249"/>
    <s v="Omamuzo Jones"/>
    <d v="2025-02-25T00:00:00"/>
    <n v="66"/>
    <x v="3"/>
    <x v="17"/>
    <s v="5G Broadband Router"/>
    <x v="1"/>
    <n v="2"/>
    <s v="Fair"/>
    <n v="11"/>
    <x v="3"/>
    <x v="10"/>
    <n v="24000"/>
    <n v="12"/>
    <n v="288000"/>
    <n v="24000"/>
    <n v="135.62"/>
    <x v="1"/>
    <n v="0"/>
    <n v="0"/>
    <n v="0"/>
    <n v="0"/>
  </r>
  <r>
    <s v="CUST0249"/>
    <s v="Omamuzo Jones"/>
    <d v="2025-02-25T00:00:00"/>
    <n v="66"/>
    <x v="3"/>
    <x v="17"/>
    <s v="Mobile SIM Card"/>
    <x v="1"/>
    <n v="2"/>
    <s v="Fair"/>
    <n v="11"/>
    <x v="3"/>
    <x v="16"/>
    <n v="900"/>
    <n v="18"/>
    <n v="16200"/>
    <n v="900"/>
    <n v="110.93"/>
    <x v="1"/>
    <n v="0"/>
    <n v="0"/>
    <n v="0"/>
    <n v="0"/>
  </r>
  <r>
    <s v="CUST0249"/>
    <s v="Omamuzo Jones"/>
    <d v="2025-02-25T00:00:00"/>
    <n v="66"/>
    <x v="3"/>
    <x v="17"/>
    <s v="Broadband MiFi"/>
    <x v="1"/>
    <n v="2"/>
    <s v="Fair"/>
    <n v="11"/>
    <x v="3"/>
    <x v="2"/>
    <n v="20000"/>
    <n v="1"/>
    <n v="20000"/>
    <n v="20000"/>
    <n v="25.09"/>
    <x v="1"/>
    <n v="0"/>
    <n v="0"/>
    <n v="0"/>
    <n v="0"/>
  </r>
  <r>
    <s v="CUST0250"/>
    <s v="Tamuno Lawrence"/>
    <d v="2025-03-25T00:00:00"/>
    <n v="26"/>
    <x v="0"/>
    <x v="24"/>
    <s v="4G Router"/>
    <x v="0"/>
    <n v="2"/>
    <s v="Fair"/>
    <n v="48"/>
    <x v="2"/>
    <x v="5"/>
    <n v="4500"/>
    <n v="9"/>
    <n v="40500"/>
    <n v="4500"/>
    <n v="123.57"/>
    <x v="1"/>
    <n v="0"/>
    <n v="0"/>
    <n v="0"/>
    <n v="0"/>
  </r>
  <r>
    <s v="CUST0250"/>
    <s v="Tamuno Lawrence"/>
    <d v="2025-03-25T00:00:00"/>
    <n v="26"/>
    <x v="0"/>
    <x v="24"/>
    <s v="Broadband MiFi"/>
    <x v="0"/>
    <n v="2"/>
    <s v="Fair"/>
    <n v="48"/>
    <x v="2"/>
    <x v="2"/>
    <n v="20000"/>
    <n v="19"/>
    <n v="380000"/>
    <n v="20000"/>
    <n v="23.37"/>
    <x v="1"/>
    <n v="0"/>
    <n v="0"/>
    <n v="0"/>
    <n v="0"/>
  </r>
  <r>
    <s v="CUST0250"/>
    <s v="Tamuno Lawrence"/>
    <d v="2025-03-25T00:00:00"/>
    <n v="26"/>
    <x v="0"/>
    <x v="24"/>
    <s v="5G Broadband Router"/>
    <x v="0"/>
    <n v="2"/>
    <s v="Fair"/>
    <n v="48"/>
    <x v="2"/>
    <x v="4"/>
    <n v="9000"/>
    <n v="18"/>
    <n v="162000"/>
    <n v="9000"/>
    <n v="170.35"/>
    <x v="1"/>
    <n v="0"/>
    <n v="0"/>
    <n v="0"/>
    <n v="0"/>
  </r>
  <r>
    <s v="CUST0251"/>
    <s v="Zina Nicholson"/>
    <d v="2025-01-25T00:00:00"/>
    <n v="25"/>
    <x v="0"/>
    <x v="14"/>
    <s v="5G Broadband Router"/>
    <x v="0"/>
    <n v="2"/>
    <s v="Fair"/>
    <n v="17"/>
    <x v="1"/>
    <x v="11"/>
    <n v="30000"/>
    <n v="8"/>
    <n v="240000"/>
    <n v="30000"/>
    <n v="134.41999999999999"/>
    <x v="1"/>
    <n v="0"/>
    <n v="0"/>
    <n v="0"/>
    <n v="0"/>
  </r>
  <r>
    <s v="CUST0251"/>
    <s v="Zina Nicholson"/>
    <d v="2025-01-25T00:00:00"/>
    <n v="25"/>
    <x v="0"/>
    <x v="14"/>
    <s v="4G Router"/>
    <x v="0"/>
    <n v="2"/>
    <s v="Fair"/>
    <n v="17"/>
    <x v="1"/>
    <x v="9"/>
    <n v="16000"/>
    <n v="3"/>
    <n v="48000"/>
    <n v="16000"/>
    <n v="57.38"/>
    <x v="1"/>
    <n v="0"/>
    <n v="0"/>
    <n v="0"/>
    <n v="0"/>
  </r>
  <r>
    <s v="CUST0252"/>
    <s v="Bala Graham"/>
    <d v="2025-03-25T00:00:00"/>
    <n v="56"/>
    <x v="3"/>
    <x v="12"/>
    <s v="5G Broadband Router"/>
    <x v="1"/>
    <n v="5"/>
    <s v="Excellent"/>
    <n v="22"/>
    <x v="1"/>
    <x v="11"/>
    <n v="30000"/>
    <n v="8"/>
    <n v="240000"/>
    <n v="30000"/>
    <n v="1.46"/>
    <x v="0"/>
    <n v="1"/>
    <n v="0"/>
    <n v="0"/>
    <n v="0"/>
  </r>
  <r>
    <s v="CUST0252"/>
    <s v="Bala Graham"/>
    <d v="2025-03-25T00:00:00"/>
    <n v="56"/>
    <x v="3"/>
    <x v="12"/>
    <s v="Mobile SIM Card"/>
    <x v="1"/>
    <n v="5"/>
    <s v="Excellent"/>
    <n v="22"/>
    <x v="1"/>
    <x v="5"/>
    <n v="4500"/>
    <n v="14"/>
    <n v="63000"/>
    <n v="4500"/>
    <n v="142.58000000000001"/>
    <x v="0"/>
    <n v="1"/>
    <n v="0"/>
    <n v="0"/>
    <n v="0"/>
  </r>
  <r>
    <s v="CUST0253"/>
    <s v="Zainab Blackwell"/>
    <d v="2025-02-25T00:00:00"/>
    <n v="62"/>
    <x v="3"/>
    <x v="21"/>
    <s v="Mobile SIM Card"/>
    <x v="1"/>
    <n v="4"/>
    <s v="Very Good"/>
    <n v="57"/>
    <x v="2"/>
    <x v="14"/>
    <n v="1000"/>
    <n v="20"/>
    <n v="20000"/>
    <n v="1000"/>
    <n v="35.57"/>
    <x v="1"/>
    <n v="0"/>
    <n v="0"/>
    <n v="0"/>
    <n v="0"/>
  </r>
  <r>
    <s v="CUST0253"/>
    <s v="Zainab Blackwell"/>
    <d v="2025-02-25T00:00:00"/>
    <n v="62"/>
    <x v="3"/>
    <x v="21"/>
    <s v="5G Broadband Router"/>
    <x v="1"/>
    <n v="4"/>
    <s v="Very Good"/>
    <n v="57"/>
    <x v="2"/>
    <x v="2"/>
    <n v="20000"/>
    <n v="5"/>
    <n v="100000"/>
    <n v="20000"/>
    <n v="168.44"/>
    <x v="1"/>
    <n v="0"/>
    <n v="0"/>
    <n v="0"/>
    <n v="0"/>
  </r>
  <r>
    <s v="CUST0254"/>
    <s v="David Rodriguez"/>
    <d v="2025-01-25T00:00:00"/>
    <n v="41"/>
    <x v="2"/>
    <x v="22"/>
    <s v="Broadband MiFi"/>
    <x v="0"/>
    <n v="1"/>
    <s v="Poor"/>
    <n v="47"/>
    <x v="2"/>
    <x v="10"/>
    <n v="24000"/>
    <n v="2"/>
    <n v="48000"/>
    <n v="24000"/>
    <n v="42.95"/>
    <x v="1"/>
    <n v="0"/>
    <n v="0"/>
    <n v="0"/>
    <n v="0"/>
  </r>
  <r>
    <s v="CUST0254"/>
    <s v="David Rodriguez"/>
    <d v="2025-01-25T00:00:00"/>
    <n v="41"/>
    <x v="2"/>
    <x v="22"/>
    <s v="5G Broadband Router"/>
    <x v="0"/>
    <n v="1"/>
    <s v="Poor"/>
    <n v="47"/>
    <x v="2"/>
    <x v="10"/>
    <n v="24000"/>
    <n v="18"/>
    <n v="432000"/>
    <n v="24000"/>
    <n v="108.92"/>
    <x v="1"/>
    <n v="0"/>
    <n v="0"/>
    <n v="0"/>
    <n v="0"/>
  </r>
  <r>
    <s v="CUST0254"/>
    <s v="David Rodriguez"/>
    <d v="2025-01-25T00:00:00"/>
    <n v="41"/>
    <x v="2"/>
    <x v="22"/>
    <s v="4G Router"/>
    <x v="0"/>
    <n v="1"/>
    <s v="Poor"/>
    <n v="47"/>
    <x v="2"/>
    <x v="0"/>
    <n v="35000"/>
    <n v="5"/>
    <n v="175000"/>
    <n v="35000"/>
    <n v="130.94999999999999"/>
    <x v="1"/>
    <n v="0"/>
    <n v="0"/>
    <n v="0"/>
    <n v="0"/>
  </r>
  <r>
    <s v="CUST0255"/>
    <s v="Ejiro Miller"/>
    <d v="2025-02-25T00:00:00"/>
    <n v="66"/>
    <x v="3"/>
    <x v="16"/>
    <s v="5G Broadband Router"/>
    <x v="1"/>
    <n v="5"/>
    <s v="Excellent"/>
    <n v="9"/>
    <x v="3"/>
    <x v="4"/>
    <n v="9000"/>
    <n v="20"/>
    <n v="180000"/>
    <n v="9000"/>
    <n v="132.69999999999999"/>
    <x v="1"/>
    <n v="0"/>
    <n v="0"/>
    <n v="0"/>
    <n v="0"/>
  </r>
  <r>
    <s v="CUST0255"/>
    <s v="Ejiro Miller"/>
    <d v="2025-02-25T00:00:00"/>
    <n v="66"/>
    <x v="3"/>
    <x v="16"/>
    <s v="Mobile SIM Card"/>
    <x v="1"/>
    <n v="5"/>
    <s v="Excellent"/>
    <n v="9"/>
    <x v="3"/>
    <x v="19"/>
    <n v="600"/>
    <n v="5"/>
    <n v="3000"/>
    <n v="600"/>
    <n v="151.56"/>
    <x v="1"/>
    <n v="0"/>
    <n v="0"/>
    <n v="0"/>
    <n v="0"/>
  </r>
  <r>
    <s v="CUST0256"/>
    <s v="Alabo Smith"/>
    <d v="2025-02-25T00:00:00"/>
    <n v="36"/>
    <x v="2"/>
    <x v="20"/>
    <s v="4G Router"/>
    <x v="0"/>
    <n v="3"/>
    <s v="Good"/>
    <n v="48"/>
    <x v="2"/>
    <x v="6"/>
    <n v="9000"/>
    <n v="2"/>
    <n v="18000"/>
    <n v="9000"/>
    <n v="74.2"/>
    <x v="0"/>
    <n v="1"/>
    <n v="0"/>
    <n v="0"/>
    <n v="0"/>
  </r>
  <r>
    <s v="CUST0256"/>
    <s v="Alabo Smith"/>
    <d v="2025-02-25T00:00:00"/>
    <n v="36"/>
    <x v="2"/>
    <x v="20"/>
    <s v="Broadband MiFi"/>
    <x v="0"/>
    <n v="3"/>
    <s v="Good"/>
    <n v="48"/>
    <x v="2"/>
    <x v="2"/>
    <n v="20000"/>
    <n v="12"/>
    <n v="240000"/>
    <n v="20000"/>
    <n v="103.82"/>
    <x v="0"/>
    <n v="1"/>
    <n v="0"/>
    <n v="0"/>
    <n v="0"/>
  </r>
  <r>
    <s v="CUST0257"/>
    <s v="Omamuzo Smith"/>
    <d v="2025-03-25T00:00:00"/>
    <n v="76"/>
    <x v="3"/>
    <x v="2"/>
    <s v="5G Broadband Router"/>
    <x v="0"/>
    <n v="1"/>
    <s v="Poor"/>
    <n v="3"/>
    <x v="0"/>
    <x v="11"/>
    <n v="30000"/>
    <n v="13"/>
    <n v="390000"/>
    <n v="30000"/>
    <n v="75.64"/>
    <x v="1"/>
    <n v="0"/>
    <n v="0"/>
    <n v="0"/>
    <n v="0"/>
  </r>
  <r>
    <s v="CUST0257"/>
    <s v="Omamuzo Smith"/>
    <d v="2025-03-25T00:00:00"/>
    <n v="76"/>
    <x v="3"/>
    <x v="2"/>
    <s v="Mobile SIM Card"/>
    <x v="0"/>
    <n v="1"/>
    <s v="Poor"/>
    <n v="3"/>
    <x v="0"/>
    <x v="7"/>
    <n v="3500"/>
    <n v="3"/>
    <n v="10500"/>
    <n v="3500"/>
    <n v="117.74"/>
    <x v="1"/>
    <n v="0"/>
    <n v="0"/>
    <n v="0"/>
    <n v="0"/>
  </r>
  <r>
    <s v="CUST0257"/>
    <s v="Omamuzo Smith"/>
    <d v="2025-03-25T00:00:00"/>
    <n v="76"/>
    <x v="3"/>
    <x v="2"/>
    <s v="4G Router"/>
    <x v="0"/>
    <n v="1"/>
    <s v="Poor"/>
    <n v="3"/>
    <x v="0"/>
    <x v="6"/>
    <n v="9000"/>
    <n v="8"/>
    <n v="72000"/>
    <n v="9000"/>
    <n v="75.58"/>
    <x v="1"/>
    <n v="0"/>
    <n v="0"/>
    <n v="0"/>
    <n v="0"/>
  </r>
  <r>
    <s v="CUST0258"/>
    <s v="Sarah Munoz"/>
    <d v="2025-02-25T00:00:00"/>
    <n v="67"/>
    <x v="3"/>
    <x v="25"/>
    <s v="Mobile SIM Card"/>
    <x v="1"/>
    <n v="5"/>
    <s v="Excellent"/>
    <n v="32"/>
    <x v="2"/>
    <x v="9"/>
    <n v="16000"/>
    <n v="9"/>
    <n v="144000"/>
    <n v="16000"/>
    <n v="103.15"/>
    <x v="0"/>
    <n v="1"/>
    <n v="0"/>
    <n v="0"/>
    <n v="0"/>
  </r>
  <r>
    <s v="CUST0258"/>
    <s v="Sarah Munoz"/>
    <d v="2025-02-25T00:00:00"/>
    <n v="67"/>
    <x v="3"/>
    <x v="25"/>
    <s v="Broadband MiFi"/>
    <x v="1"/>
    <n v="5"/>
    <s v="Excellent"/>
    <n v="32"/>
    <x v="2"/>
    <x v="2"/>
    <n v="20000"/>
    <n v="6"/>
    <n v="120000"/>
    <n v="20000"/>
    <n v="30.47"/>
    <x v="0"/>
    <n v="1"/>
    <n v="0"/>
    <n v="0"/>
    <n v="0"/>
  </r>
  <r>
    <s v="CUST0259"/>
    <s v="Ejiro Collins"/>
    <d v="2025-03-25T00:00:00"/>
    <n v="31"/>
    <x v="0"/>
    <x v="16"/>
    <s v="Mobile SIM Card"/>
    <x v="1"/>
    <n v="1"/>
    <s v="Poor"/>
    <n v="52"/>
    <x v="2"/>
    <x v="19"/>
    <n v="600"/>
    <n v="14"/>
    <n v="8400"/>
    <n v="600"/>
    <n v="129.63"/>
    <x v="1"/>
    <n v="0"/>
    <n v="0"/>
    <n v="0"/>
    <n v="0"/>
  </r>
  <r>
    <s v="CUST0259"/>
    <s v="Ejiro Collins"/>
    <d v="2025-03-25T00:00:00"/>
    <n v="31"/>
    <x v="0"/>
    <x v="16"/>
    <s v="Broadband MiFi"/>
    <x v="1"/>
    <n v="1"/>
    <s v="Poor"/>
    <n v="52"/>
    <x v="2"/>
    <x v="4"/>
    <n v="9000"/>
    <n v="5"/>
    <n v="45000"/>
    <n v="9000"/>
    <n v="49.11"/>
    <x v="1"/>
    <n v="0"/>
    <n v="0"/>
    <n v="0"/>
    <n v="0"/>
  </r>
  <r>
    <s v="CUST0260"/>
    <s v="Amina Johns"/>
    <d v="2025-02-25T00:00:00"/>
    <n v="33"/>
    <x v="0"/>
    <x v="28"/>
    <s v="Mobile SIM Card"/>
    <x v="0"/>
    <n v="1"/>
    <s v="Poor"/>
    <n v="58"/>
    <x v="2"/>
    <x v="3"/>
    <n v="500"/>
    <n v="7"/>
    <n v="3500"/>
    <n v="500"/>
    <n v="189.48"/>
    <x v="0"/>
    <n v="1"/>
    <n v="0"/>
    <n v="0"/>
    <n v="0"/>
  </r>
  <r>
    <s v="CUST0260"/>
    <s v="Amina Johns"/>
    <d v="2025-02-25T00:00:00"/>
    <n v="33"/>
    <x v="0"/>
    <x v="28"/>
    <s v="5G Broadband Router"/>
    <x v="0"/>
    <n v="1"/>
    <s v="Poor"/>
    <n v="58"/>
    <x v="2"/>
    <x v="8"/>
    <n v="150000"/>
    <n v="16"/>
    <n v="2400000"/>
    <n v="150000"/>
    <n v="121.5"/>
    <x v="0"/>
    <n v="1"/>
    <n v="0"/>
    <n v="0"/>
    <n v="0"/>
  </r>
  <r>
    <s v="CUST0260"/>
    <s v="Amina Johns"/>
    <d v="2025-02-25T00:00:00"/>
    <n v="33"/>
    <x v="0"/>
    <x v="28"/>
    <s v="Broadband MiFi"/>
    <x v="0"/>
    <n v="1"/>
    <s v="Poor"/>
    <n v="58"/>
    <x v="2"/>
    <x v="12"/>
    <n v="14500"/>
    <n v="14"/>
    <n v="203000"/>
    <n v="14500"/>
    <n v="34.53"/>
    <x v="0"/>
    <n v="1"/>
    <n v="0"/>
    <n v="0"/>
    <n v="0"/>
  </r>
  <r>
    <s v="CUST0261"/>
    <s v="Obinna Simon"/>
    <d v="2025-03-25T00:00:00"/>
    <n v="39"/>
    <x v="2"/>
    <x v="28"/>
    <s v="4G Router"/>
    <x v="1"/>
    <n v="4"/>
    <s v="Very Good"/>
    <n v="11"/>
    <x v="3"/>
    <x v="0"/>
    <n v="35000"/>
    <n v="4"/>
    <n v="140000"/>
    <n v="35000"/>
    <n v="77.400000000000006"/>
    <x v="1"/>
    <n v="0"/>
    <n v="0"/>
    <n v="0"/>
    <n v="0"/>
  </r>
  <r>
    <s v="CUST0262"/>
    <s v="Funke Alexander"/>
    <d v="2025-02-25T00:00:00"/>
    <n v="41"/>
    <x v="2"/>
    <x v="8"/>
    <s v="Broadband MiFi"/>
    <x v="1"/>
    <n v="5"/>
    <s v="Excellent"/>
    <n v="53"/>
    <x v="2"/>
    <x v="4"/>
    <n v="9000"/>
    <n v="5"/>
    <n v="45000"/>
    <n v="9000"/>
    <n v="96.71"/>
    <x v="0"/>
    <n v="1"/>
    <n v="0"/>
    <n v="0"/>
    <n v="0"/>
  </r>
  <r>
    <s v="CUST0262"/>
    <s v="Funke Alexander"/>
    <d v="2025-02-25T00:00:00"/>
    <n v="41"/>
    <x v="2"/>
    <x v="8"/>
    <s v="5G Broadband Router"/>
    <x v="1"/>
    <n v="5"/>
    <s v="Excellent"/>
    <n v="53"/>
    <x v="2"/>
    <x v="4"/>
    <n v="9000"/>
    <n v="14"/>
    <n v="126000"/>
    <n v="9000"/>
    <n v="179.45"/>
    <x v="0"/>
    <n v="1"/>
    <n v="0"/>
    <n v="0"/>
    <n v="0"/>
  </r>
  <r>
    <s v="CUST0262"/>
    <s v="Funke Alexander"/>
    <d v="2025-02-25T00:00:00"/>
    <n v="41"/>
    <x v="2"/>
    <x v="8"/>
    <s v="Mobile SIM Card"/>
    <x v="1"/>
    <n v="5"/>
    <s v="Excellent"/>
    <n v="53"/>
    <x v="2"/>
    <x v="20"/>
    <n v="6500"/>
    <n v="2"/>
    <n v="13000"/>
    <n v="6500"/>
    <n v="84.43"/>
    <x v="0"/>
    <n v="1"/>
    <n v="0"/>
    <n v="0"/>
    <n v="0"/>
  </r>
  <r>
    <s v="CUST0263"/>
    <s v="Sarah Fritz"/>
    <d v="2025-02-25T00:00:00"/>
    <n v="70"/>
    <x v="3"/>
    <x v="16"/>
    <s v="Broadband MiFi"/>
    <x v="1"/>
    <n v="3"/>
    <s v="Good"/>
    <n v="51"/>
    <x v="2"/>
    <x v="11"/>
    <n v="30000"/>
    <n v="8"/>
    <n v="240000"/>
    <n v="30000"/>
    <n v="95.69"/>
    <x v="1"/>
    <n v="0"/>
    <n v="0"/>
    <n v="0"/>
    <n v="0"/>
  </r>
  <r>
    <s v="CUST0263"/>
    <s v="Sarah Fritz"/>
    <d v="2025-02-25T00:00:00"/>
    <n v="70"/>
    <x v="3"/>
    <x v="16"/>
    <s v="4G Router"/>
    <x v="1"/>
    <n v="3"/>
    <s v="Good"/>
    <n v="51"/>
    <x v="2"/>
    <x v="9"/>
    <n v="16000"/>
    <n v="18"/>
    <n v="288000"/>
    <n v="16000"/>
    <n v="57.01"/>
    <x v="1"/>
    <n v="0"/>
    <n v="0"/>
    <n v="0"/>
    <n v="0"/>
  </r>
  <r>
    <s v="CUST0263"/>
    <s v="Sarah Fritz"/>
    <d v="2025-02-25T00:00:00"/>
    <n v="70"/>
    <x v="3"/>
    <x v="16"/>
    <s v="Mobile SIM Card"/>
    <x v="1"/>
    <n v="3"/>
    <s v="Good"/>
    <n v="51"/>
    <x v="2"/>
    <x v="15"/>
    <n v="7500"/>
    <n v="1"/>
    <n v="7500"/>
    <n v="7500"/>
    <n v="51.93"/>
    <x v="1"/>
    <n v="0"/>
    <n v="0"/>
    <n v="0"/>
    <n v="0"/>
  </r>
  <r>
    <s v="CUST0264"/>
    <s v="Tunde Smith"/>
    <d v="2025-02-25T00:00:00"/>
    <n v="31"/>
    <x v="0"/>
    <x v="8"/>
    <s v="Mobile SIM Card"/>
    <x v="0"/>
    <n v="3"/>
    <s v="Good"/>
    <n v="25"/>
    <x v="2"/>
    <x v="0"/>
    <n v="35000"/>
    <n v="9"/>
    <n v="315000"/>
    <n v="35000"/>
    <n v="130.49"/>
    <x v="1"/>
    <n v="0"/>
    <n v="0"/>
    <n v="0"/>
    <n v="0"/>
  </r>
  <r>
    <s v="CUST0265"/>
    <s v="Saidu Martinez"/>
    <d v="2025-02-25T00:00:00"/>
    <n v="70"/>
    <x v="3"/>
    <x v="3"/>
    <s v="Mobile SIM Card"/>
    <x v="1"/>
    <n v="2"/>
    <s v="Fair"/>
    <n v="44"/>
    <x v="2"/>
    <x v="20"/>
    <n v="6500"/>
    <n v="9"/>
    <n v="58500"/>
    <n v="6500"/>
    <n v="111.2"/>
    <x v="1"/>
    <n v="0"/>
    <n v="0"/>
    <n v="0"/>
    <n v="0"/>
  </r>
  <r>
    <s v="CUST0265"/>
    <s v="Saidu Martinez"/>
    <d v="2025-02-25T00:00:00"/>
    <n v="70"/>
    <x v="3"/>
    <x v="3"/>
    <s v="Broadband MiFi"/>
    <x v="1"/>
    <n v="2"/>
    <s v="Fair"/>
    <n v="44"/>
    <x v="2"/>
    <x v="11"/>
    <n v="30000"/>
    <n v="13"/>
    <n v="390000"/>
    <n v="30000"/>
    <n v="115.74"/>
    <x v="1"/>
    <n v="0"/>
    <n v="0"/>
    <n v="0"/>
    <n v="0"/>
  </r>
  <r>
    <s v="CUST0265"/>
    <s v="Saidu Martinez"/>
    <d v="2025-02-25T00:00:00"/>
    <n v="70"/>
    <x v="3"/>
    <x v="3"/>
    <s v="4G Router"/>
    <x v="1"/>
    <n v="2"/>
    <s v="Fair"/>
    <n v="44"/>
    <x v="2"/>
    <x v="5"/>
    <n v="4500"/>
    <n v="4"/>
    <n v="18000"/>
    <n v="4500"/>
    <n v="171.07"/>
    <x v="1"/>
    <n v="0"/>
    <n v="0"/>
    <n v="0"/>
    <n v="0"/>
  </r>
  <r>
    <s v="CUST0266"/>
    <s v="Nura Hunter"/>
    <d v="2025-02-25T00:00:00"/>
    <n v="73"/>
    <x v="3"/>
    <x v="1"/>
    <s v="Broadband MiFi"/>
    <x v="0"/>
    <n v="3"/>
    <s v="Good"/>
    <n v="14"/>
    <x v="1"/>
    <x v="4"/>
    <n v="9000"/>
    <n v="5"/>
    <n v="45000"/>
    <n v="9000"/>
    <n v="160.97"/>
    <x v="1"/>
    <n v="0"/>
    <n v="0"/>
    <n v="0"/>
    <n v="0"/>
  </r>
  <r>
    <s v="CUST0266"/>
    <s v="Nura Hunter"/>
    <d v="2025-02-25T00:00:00"/>
    <n v="73"/>
    <x v="3"/>
    <x v="1"/>
    <s v="Mobile SIM Card"/>
    <x v="0"/>
    <n v="3"/>
    <s v="Good"/>
    <n v="14"/>
    <x v="1"/>
    <x v="1"/>
    <n v="5500"/>
    <n v="14"/>
    <n v="77000"/>
    <n v="5500"/>
    <n v="185.21"/>
    <x v="1"/>
    <n v="0"/>
    <n v="0"/>
    <n v="0"/>
    <n v="0"/>
  </r>
  <r>
    <s v="CUST0266"/>
    <s v="Nura Hunter"/>
    <d v="2025-02-25T00:00:00"/>
    <n v="73"/>
    <x v="3"/>
    <x v="1"/>
    <s v="4G Router"/>
    <x v="0"/>
    <n v="3"/>
    <s v="Good"/>
    <n v="14"/>
    <x v="1"/>
    <x v="9"/>
    <n v="16000"/>
    <n v="8"/>
    <n v="128000"/>
    <n v="16000"/>
    <n v="13.28"/>
    <x v="1"/>
    <n v="0"/>
    <n v="0"/>
    <n v="0"/>
    <n v="0"/>
  </r>
  <r>
    <s v="CUST0267"/>
    <s v="Ejiro Mendoza"/>
    <d v="2025-02-25T00:00:00"/>
    <n v="26"/>
    <x v="0"/>
    <x v="19"/>
    <s v="Broadband MiFi"/>
    <x v="1"/>
    <n v="5"/>
    <s v="Excellent"/>
    <n v="60"/>
    <x v="2"/>
    <x v="12"/>
    <n v="14500"/>
    <n v="7"/>
    <n v="101500"/>
    <n v="14500"/>
    <n v="88.07"/>
    <x v="1"/>
    <n v="0"/>
    <n v="0"/>
    <n v="0"/>
    <n v="0"/>
  </r>
  <r>
    <s v="CUST0267"/>
    <s v="Ejiro Mendoza"/>
    <d v="2025-02-25T00:00:00"/>
    <n v="26"/>
    <x v="0"/>
    <x v="19"/>
    <s v="Mobile SIM Card"/>
    <x v="1"/>
    <n v="5"/>
    <s v="Excellent"/>
    <n v="60"/>
    <x v="2"/>
    <x v="20"/>
    <n v="6500"/>
    <n v="2"/>
    <n v="13000"/>
    <n v="6500"/>
    <n v="57.56"/>
    <x v="1"/>
    <n v="0"/>
    <n v="0"/>
    <n v="0"/>
    <n v="0"/>
  </r>
  <r>
    <s v="CUST0268"/>
    <s v="Michael Peterson"/>
    <d v="2025-02-25T00:00:00"/>
    <n v="45"/>
    <x v="4"/>
    <x v="1"/>
    <s v="5G Broadband Router"/>
    <x v="0"/>
    <n v="1"/>
    <s v="Poor"/>
    <n v="24"/>
    <x v="1"/>
    <x v="17"/>
    <n v="75000"/>
    <n v="13"/>
    <n v="975000"/>
    <n v="75000"/>
    <n v="70.95"/>
    <x v="1"/>
    <n v="0"/>
    <n v="0"/>
    <n v="0"/>
    <n v="0"/>
  </r>
  <r>
    <s v="CUST0269"/>
    <s v="Tamuno Diaz"/>
    <d v="2025-01-25T00:00:00"/>
    <n v="41"/>
    <x v="2"/>
    <x v="8"/>
    <s v="5G Broadband Router"/>
    <x v="0"/>
    <n v="1"/>
    <s v="Poor"/>
    <n v="48"/>
    <x v="2"/>
    <x v="12"/>
    <n v="14500"/>
    <n v="7"/>
    <n v="101500"/>
    <n v="14500"/>
    <n v="121.47"/>
    <x v="1"/>
    <n v="0"/>
    <n v="0"/>
    <n v="0"/>
    <n v="0"/>
  </r>
  <r>
    <s v="CUST0269"/>
    <s v="Tamuno Diaz"/>
    <d v="2025-01-25T00:00:00"/>
    <n v="41"/>
    <x v="2"/>
    <x v="8"/>
    <s v="4G Router"/>
    <x v="0"/>
    <n v="1"/>
    <s v="Poor"/>
    <n v="48"/>
    <x v="2"/>
    <x v="0"/>
    <n v="35000"/>
    <n v="19"/>
    <n v="665000"/>
    <n v="35000"/>
    <n v="185.98"/>
    <x v="1"/>
    <n v="0"/>
    <n v="0"/>
    <n v="0"/>
    <n v="0"/>
  </r>
  <r>
    <s v="CUST0269"/>
    <s v="Tamuno Diaz"/>
    <d v="2025-01-25T00:00:00"/>
    <n v="41"/>
    <x v="2"/>
    <x v="8"/>
    <s v="Mobile SIM Card"/>
    <x v="0"/>
    <n v="1"/>
    <s v="Poor"/>
    <n v="48"/>
    <x v="2"/>
    <x v="16"/>
    <n v="900"/>
    <n v="14"/>
    <n v="12600"/>
    <n v="900"/>
    <n v="52.59"/>
    <x v="1"/>
    <n v="0"/>
    <n v="0"/>
    <n v="0"/>
    <n v="0"/>
  </r>
  <r>
    <s v="CUST0270"/>
    <s v="Michael Rodriguez"/>
    <d v="2025-01-25T00:00:00"/>
    <n v="29"/>
    <x v="0"/>
    <x v="23"/>
    <s v="5G Broadband Router"/>
    <x v="1"/>
    <n v="5"/>
    <s v="Excellent"/>
    <n v="22"/>
    <x v="1"/>
    <x v="17"/>
    <n v="75000"/>
    <n v="8"/>
    <n v="600000"/>
    <n v="75000"/>
    <n v="112.85"/>
    <x v="1"/>
    <n v="0"/>
    <n v="0"/>
    <n v="0"/>
    <n v="0"/>
  </r>
  <r>
    <s v="CUST0270"/>
    <s v="Michael Rodriguez"/>
    <d v="2025-01-25T00:00:00"/>
    <n v="29"/>
    <x v="0"/>
    <x v="23"/>
    <s v="Mobile SIM Card"/>
    <x v="1"/>
    <n v="5"/>
    <s v="Excellent"/>
    <n v="22"/>
    <x v="1"/>
    <x v="7"/>
    <n v="3500"/>
    <n v="15"/>
    <n v="52500"/>
    <n v="3500"/>
    <n v="192.27"/>
    <x v="1"/>
    <n v="0"/>
    <n v="0"/>
    <n v="0"/>
    <n v="0"/>
  </r>
  <r>
    <s v="CUST0270"/>
    <s v="Michael Rodriguez"/>
    <d v="2025-01-25T00:00:00"/>
    <n v="29"/>
    <x v="0"/>
    <x v="23"/>
    <s v="Mobile SIM Card"/>
    <x v="1"/>
    <n v="5"/>
    <s v="Excellent"/>
    <n v="22"/>
    <x v="1"/>
    <x v="0"/>
    <n v="35000"/>
    <n v="1"/>
    <n v="35000"/>
    <n v="35000"/>
    <n v="179.36"/>
    <x v="1"/>
    <n v="0"/>
    <n v="0"/>
    <n v="0"/>
    <n v="0"/>
  </r>
  <r>
    <s v="CUST0271"/>
    <s v="John Benson"/>
    <d v="2025-02-25T00:00:00"/>
    <n v="30"/>
    <x v="0"/>
    <x v="22"/>
    <s v="5G Broadband Router"/>
    <x v="0"/>
    <n v="2"/>
    <s v="Fair"/>
    <n v="25"/>
    <x v="2"/>
    <x v="4"/>
    <n v="9000"/>
    <n v="9"/>
    <n v="81000"/>
    <n v="9000"/>
    <n v="140.31"/>
    <x v="1"/>
    <n v="0"/>
    <n v="0"/>
    <n v="0"/>
    <n v="0"/>
  </r>
  <r>
    <s v="CUST0271"/>
    <s v="John Benson"/>
    <d v="2025-02-25T00:00:00"/>
    <n v="30"/>
    <x v="0"/>
    <x v="22"/>
    <s v="Mobile SIM Card"/>
    <x v="0"/>
    <n v="2"/>
    <s v="Fair"/>
    <n v="25"/>
    <x v="2"/>
    <x v="13"/>
    <n v="350"/>
    <n v="13"/>
    <n v="4550"/>
    <n v="350"/>
    <n v="57.81"/>
    <x v="1"/>
    <n v="0"/>
    <n v="0"/>
    <n v="0"/>
    <n v="0"/>
  </r>
  <r>
    <s v="CUST0272"/>
    <s v="Tega Cooper"/>
    <d v="2025-03-25T00:00:00"/>
    <n v="25"/>
    <x v="0"/>
    <x v="20"/>
    <s v="Mobile SIM Card"/>
    <x v="1"/>
    <n v="2"/>
    <s v="Fair"/>
    <n v="21"/>
    <x v="1"/>
    <x v="5"/>
    <n v="4500"/>
    <n v="7"/>
    <n v="31500"/>
    <n v="4500"/>
    <n v="100.05"/>
    <x v="1"/>
    <n v="0"/>
    <n v="0"/>
    <n v="0"/>
    <n v="0"/>
  </r>
  <r>
    <s v="CUST0272"/>
    <s v="Tega Cooper"/>
    <d v="2025-03-25T00:00:00"/>
    <n v="25"/>
    <x v="0"/>
    <x v="20"/>
    <s v="5G Broadband Router"/>
    <x v="1"/>
    <n v="2"/>
    <s v="Fair"/>
    <n v="21"/>
    <x v="1"/>
    <x v="12"/>
    <n v="14500"/>
    <n v="9"/>
    <n v="130500"/>
    <n v="14500"/>
    <n v="147.22"/>
    <x v="1"/>
    <n v="0"/>
    <n v="0"/>
    <n v="0"/>
    <n v="0"/>
  </r>
  <r>
    <s v="CUST0273"/>
    <s v="Fatima Lewis"/>
    <d v="2025-03-25T00:00:00"/>
    <n v="45"/>
    <x v="4"/>
    <x v="18"/>
    <s v="Broadband MiFi"/>
    <x v="0"/>
    <n v="2"/>
    <s v="Fair"/>
    <n v="54"/>
    <x v="2"/>
    <x v="12"/>
    <n v="14500"/>
    <n v="18"/>
    <n v="261000"/>
    <n v="14500"/>
    <n v="122.96"/>
    <x v="1"/>
    <n v="0"/>
    <n v="0"/>
    <n v="0"/>
    <n v="0"/>
  </r>
  <r>
    <s v="CUST0274"/>
    <s v="Bola Duffy"/>
    <d v="2025-03-25T00:00:00"/>
    <n v="77"/>
    <x v="3"/>
    <x v="3"/>
    <s v="5G Broadband Router"/>
    <x v="1"/>
    <n v="4"/>
    <s v="Very Good"/>
    <n v="32"/>
    <x v="2"/>
    <x v="11"/>
    <n v="30000"/>
    <n v="14"/>
    <n v="420000"/>
    <n v="30000"/>
    <n v="11.3"/>
    <x v="0"/>
    <n v="1"/>
    <n v="0"/>
    <n v="0"/>
    <n v="0"/>
  </r>
  <r>
    <s v="CUST0274"/>
    <s v="Bola Duffy"/>
    <d v="2025-03-25T00:00:00"/>
    <n v="77"/>
    <x v="3"/>
    <x v="3"/>
    <s v="Mobile SIM Card"/>
    <x v="1"/>
    <n v="4"/>
    <s v="Very Good"/>
    <n v="32"/>
    <x v="2"/>
    <x v="0"/>
    <n v="35000"/>
    <n v="2"/>
    <n v="70000"/>
    <n v="35000"/>
    <n v="187.96"/>
    <x v="0"/>
    <n v="1"/>
    <n v="0"/>
    <n v="0"/>
    <n v="0"/>
  </r>
  <r>
    <s v="CUST0274"/>
    <s v="Bola Duffy"/>
    <d v="2025-03-25T00:00:00"/>
    <n v="77"/>
    <x v="3"/>
    <x v="3"/>
    <s v="Broadband MiFi"/>
    <x v="1"/>
    <n v="4"/>
    <s v="Very Good"/>
    <n v="32"/>
    <x v="2"/>
    <x v="10"/>
    <n v="24000"/>
    <n v="6"/>
    <n v="144000"/>
    <n v="24000"/>
    <n v="69.78"/>
    <x v="0"/>
    <n v="1"/>
    <n v="0"/>
    <n v="0"/>
    <n v="0"/>
  </r>
  <r>
    <s v="CUST0275"/>
    <s v="Zina Gallegos"/>
    <d v="2025-01-25T00:00:00"/>
    <n v="31"/>
    <x v="0"/>
    <x v="8"/>
    <s v="Broadband MiFi"/>
    <x v="1"/>
    <n v="1"/>
    <s v="Poor"/>
    <n v="21"/>
    <x v="1"/>
    <x v="11"/>
    <n v="30000"/>
    <n v="9"/>
    <n v="270000"/>
    <n v="30000"/>
    <n v="122.75"/>
    <x v="1"/>
    <n v="0"/>
    <n v="0"/>
    <n v="0"/>
    <n v="0"/>
  </r>
  <r>
    <s v="CUST0275"/>
    <s v="Zina Gallegos"/>
    <d v="2025-01-25T00:00:00"/>
    <n v="31"/>
    <x v="0"/>
    <x v="8"/>
    <s v="Mobile SIM Card"/>
    <x v="1"/>
    <n v="1"/>
    <s v="Poor"/>
    <n v="21"/>
    <x v="1"/>
    <x v="5"/>
    <n v="4500"/>
    <n v="8"/>
    <n v="36000"/>
    <n v="4500"/>
    <n v="109.94"/>
    <x v="1"/>
    <n v="0"/>
    <n v="0"/>
    <n v="0"/>
    <n v="0"/>
  </r>
  <r>
    <s v="CUST0276"/>
    <s v="Zainab Rogers"/>
    <d v="2025-02-25T00:00:00"/>
    <n v="76"/>
    <x v="3"/>
    <x v="26"/>
    <s v="5G Broadband Router"/>
    <x v="1"/>
    <n v="4"/>
    <s v="Very Good"/>
    <n v="12"/>
    <x v="3"/>
    <x v="10"/>
    <n v="24000"/>
    <n v="19"/>
    <n v="456000"/>
    <n v="24000"/>
    <n v="90.42"/>
    <x v="0"/>
    <n v="1"/>
    <n v="0"/>
    <n v="0"/>
    <n v="0"/>
  </r>
  <r>
    <s v="CUST0276"/>
    <s v="Zainab Rogers"/>
    <d v="2025-02-25T00:00:00"/>
    <n v="76"/>
    <x v="3"/>
    <x v="26"/>
    <s v="4G Router"/>
    <x v="1"/>
    <n v="4"/>
    <s v="Very Good"/>
    <n v="12"/>
    <x v="3"/>
    <x v="5"/>
    <n v="4500"/>
    <n v="8"/>
    <n v="36000"/>
    <n v="4500"/>
    <n v="195.86"/>
    <x v="0"/>
    <n v="1"/>
    <n v="0"/>
    <n v="0"/>
    <n v="0"/>
  </r>
  <r>
    <s v="CUST0277"/>
    <s v="Ngozi Dunn"/>
    <d v="2025-02-25T00:00:00"/>
    <n v="50"/>
    <x v="4"/>
    <x v="7"/>
    <s v="Mobile SIM Card"/>
    <x v="1"/>
    <n v="2"/>
    <s v="Fair"/>
    <n v="55"/>
    <x v="2"/>
    <x v="16"/>
    <n v="900"/>
    <n v="16"/>
    <n v="14400"/>
    <n v="900"/>
    <n v="35.729999999999997"/>
    <x v="0"/>
    <n v="1"/>
    <n v="0"/>
    <n v="0"/>
    <n v="0"/>
  </r>
  <r>
    <s v="CUST0278"/>
    <s v="Amaka Johnson"/>
    <d v="2025-01-25T00:00:00"/>
    <n v="56"/>
    <x v="3"/>
    <x v="12"/>
    <s v="4G Router"/>
    <x v="1"/>
    <n v="4"/>
    <s v="Very Good"/>
    <n v="17"/>
    <x v="1"/>
    <x v="6"/>
    <n v="9000"/>
    <n v="4"/>
    <n v="36000"/>
    <n v="9000"/>
    <n v="95.57"/>
    <x v="0"/>
    <n v="1"/>
    <n v="0"/>
    <n v="0"/>
    <n v="0"/>
  </r>
  <r>
    <s v="CUST0279"/>
    <s v="Alabo Carlson"/>
    <d v="2025-03-25T00:00:00"/>
    <n v="58"/>
    <x v="3"/>
    <x v="22"/>
    <s v="Mobile SIM Card"/>
    <x v="1"/>
    <n v="3"/>
    <s v="Good"/>
    <n v="24"/>
    <x v="1"/>
    <x v="5"/>
    <n v="4500"/>
    <n v="10"/>
    <n v="45000"/>
    <n v="4500"/>
    <n v="195.88"/>
    <x v="0"/>
    <n v="1"/>
    <n v="0"/>
    <n v="0"/>
    <n v="0"/>
  </r>
  <r>
    <s v="CUST0279"/>
    <s v="Alabo Carlson"/>
    <d v="2025-03-25T00:00:00"/>
    <n v="58"/>
    <x v="3"/>
    <x v="22"/>
    <s v="5G Broadband Router"/>
    <x v="1"/>
    <n v="3"/>
    <s v="Good"/>
    <n v="24"/>
    <x v="1"/>
    <x v="18"/>
    <n v="25000"/>
    <n v="17"/>
    <n v="425000"/>
    <n v="25000"/>
    <n v="65.36"/>
    <x v="0"/>
    <n v="1"/>
    <n v="0"/>
    <n v="0"/>
    <n v="0"/>
  </r>
  <r>
    <s v="CUST0280"/>
    <s v="Grace Brock"/>
    <d v="2025-03-25T00:00:00"/>
    <n v="73"/>
    <x v="3"/>
    <x v="33"/>
    <s v="4G Router"/>
    <x v="1"/>
    <n v="4"/>
    <s v="Very Good"/>
    <n v="40"/>
    <x v="2"/>
    <x v="6"/>
    <n v="9000"/>
    <n v="20"/>
    <n v="180000"/>
    <n v="9000"/>
    <n v="84.65"/>
    <x v="1"/>
    <n v="0"/>
    <n v="0"/>
    <n v="0"/>
    <n v="0"/>
  </r>
  <r>
    <s v="CUST0281"/>
    <s v="Tamuno Ortiz"/>
    <d v="2025-02-25T00:00:00"/>
    <n v="25"/>
    <x v="0"/>
    <x v="33"/>
    <s v="5G Broadband Router"/>
    <x v="0"/>
    <n v="3"/>
    <s v="Good"/>
    <n v="22"/>
    <x v="1"/>
    <x v="17"/>
    <n v="75000"/>
    <n v="15"/>
    <n v="1125000"/>
    <n v="75000"/>
    <n v="54.61"/>
    <x v="1"/>
    <n v="0"/>
    <n v="0"/>
    <n v="0"/>
    <n v="0"/>
  </r>
  <r>
    <s v="CUST0281"/>
    <s v="Tamuno Ortiz"/>
    <d v="2025-02-25T00:00:00"/>
    <n v="25"/>
    <x v="0"/>
    <x v="33"/>
    <s v="Mobile SIM Card"/>
    <x v="0"/>
    <n v="3"/>
    <s v="Good"/>
    <n v="22"/>
    <x v="1"/>
    <x v="7"/>
    <n v="3500"/>
    <n v="17"/>
    <n v="59500"/>
    <n v="3500"/>
    <n v="149.71"/>
    <x v="1"/>
    <n v="0"/>
    <n v="0"/>
    <n v="0"/>
    <n v="0"/>
  </r>
  <r>
    <s v="CUST0282"/>
    <s v="Alabo Chavez"/>
    <d v="2025-01-25T00:00:00"/>
    <n v="68"/>
    <x v="3"/>
    <x v="1"/>
    <s v="5G Broadband Router"/>
    <x v="0"/>
    <n v="2"/>
    <s v="Fair"/>
    <n v="55"/>
    <x v="2"/>
    <x v="12"/>
    <n v="14500"/>
    <n v="4"/>
    <n v="58000"/>
    <n v="14500"/>
    <n v="33.799999999999997"/>
    <x v="1"/>
    <n v="0"/>
    <n v="0"/>
    <n v="0"/>
    <n v="0"/>
  </r>
  <r>
    <s v="CUST0282"/>
    <s v="Alabo Chavez"/>
    <d v="2025-01-25T00:00:00"/>
    <n v="68"/>
    <x v="3"/>
    <x v="1"/>
    <s v="Mobile SIM Card"/>
    <x v="0"/>
    <n v="2"/>
    <s v="Fair"/>
    <n v="55"/>
    <x v="2"/>
    <x v="14"/>
    <n v="1000"/>
    <n v="16"/>
    <n v="16000"/>
    <n v="1000"/>
    <n v="13.23"/>
    <x v="1"/>
    <n v="0"/>
    <n v="0"/>
    <n v="0"/>
    <n v="0"/>
  </r>
  <r>
    <s v="CUST0282"/>
    <s v="Alabo Chavez"/>
    <d v="2025-01-25T00:00:00"/>
    <n v="68"/>
    <x v="3"/>
    <x v="1"/>
    <s v="Broadband MiFi"/>
    <x v="0"/>
    <n v="2"/>
    <s v="Fair"/>
    <n v="55"/>
    <x v="2"/>
    <x v="10"/>
    <n v="24000"/>
    <n v="13"/>
    <n v="312000"/>
    <n v="24000"/>
    <n v="11.24"/>
    <x v="1"/>
    <n v="0"/>
    <n v="0"/>
    <n v="0"/>
    <n v="0"/>
  </r>
  <r>
    <s v="CUST0283"/>
    <s v="Sarah Ballard"/>
    <d v="2025-02-25T00:00:00"/>
    <n v="26"/>
    <x v="0"/>
    <x v="13"/>
    <s v="5G Broadband Router"/>
    <x v="1"/>
    <n v="1"/>
    <s v="Poor"/>
    <n v="40"/>
    <x v="2"/>
    <x v="12"/>
    <n v="14500"/>
    <n v="15"/>
    <n v="217500"/>
    <n v="14500"/>
    <n v="147.65"/>
    <x v="1"/>
    <n v="0"/>
    <n v="0"/>
    <n v="0"/>
    <n v="0"/>
  </r>
  <r>
    <s v="CUST0283"/>
    <s v="Sarah Ballard"/>
    <d v="2025-02-25T00:00:00"/>
    <n v="26"/>
    <x v="0"/>
    <x v="13"/>
    <s v="Broadband MiFi"/>
    <x v="1"/>
    <n v="1"/>
    <s v="Poor"/>
    <n v="40"/>
    <x v="2"/>
    <x v="2"/>
    <n v="20000"/>
    <n v="6"/>
    <n v="120000"/>
    <n v="20000"/>
    <n v="26.69"/>
    <x v="1"/>
    <n v="0"/>
    <n v="0"/>
    <n v="0"/>
    <n v="0"/>
  </r>
  <r>
    <s v="CUST0284"/>
    <s v="Funke Shaffer"/>
    <d v="2025-02-25T00:00:00"/>
    <n v="20"/>
    <x v="1"/>
    <x v="25"/>
    <s v="5G Broadband Router"/>
    <x v="1"/>
    <n v="4"/>
    <s v="Very Good"/>
    <n v="56"/>
    <x v="2"/>
    <x v="11"/>
    <n v="30000"/>
    <n v="18"/>
    <n v="540000"/>
    <n v="30000"/>
    <n v="193.92"/>
    <x v="1"/>
    <n v="0"/>
    <n v="0"/>
    <n v="0"/>
    <n v="0"/>
  </r>
  <r>
    <s v="CUST0284"/>
    <s v="Funke Shaffer"/>
    <d v="2025-02-25T00:00:00"/>
    <n v="20"/>
    <x v="1"/>
    <x v="25"/>
    <s v="Mobile SIM Card"/>
    <x v="1"/>
    <n v="4"/>
    <s v="Very Good"/>
    <n v="56"/>
    <x v="2"/>
    <x v="19"/>
    <n v="600"/>
    <n v="15"/>
    <n v="9000"/>
    <n v="600"/>
    <n v="118.37"/>
    <x v="1"/>
    <n v="0"/>
    <n v="0"/>
    <n v="0"/>
    <n v="0"/>
  </r>
  <r>
    <s v="CUST0284"/>
    <s v="Funke Shaffer"/>
    <d v="2025-02-25T00:00:00"/>
    <n v="20"/>
    <x v="1"/>
    <x v="25"/>
    <s v="4G Router"/>
    <x v="1"/>
    <n v="4"/>
    <s v="Very Good"/>
    <n v="56"/>
    <x v="2"/>
    <x v="0"/>
    <n v="35000"/>
    <n v="18"/>
    <n v="630000"/>
    <n v="35000"/>
    <n v="104.93"/>
    <x v="1"/>
    <n v="0"/>
    <n v="0"/>
    <n v="0"/>
    <n v="0"/>
  </r>
  <r>
    <s v="CUST0285"/>
    <s v="Maryam Gates"/>
    <d v="2025-01-25T00:00:00"/>
    <n v="60"/>
    <x v="3"/>
    <x v="31"/>
    <s v="5G Broadband Router"/>
    <x v="0"/>
    <n v="4"/>
    <s v="Very Good"/>
    <n v="52"/>
    <x v="2"/>
    <x v="10"/>
    <n v="24000"/>
    <n v="17"/>
    <n v="408000"/>
    <n v="24000"/>
    <n v="2.61"/>
    <x v="1"/>
    <n v="0"/>
    <n v="0"/>
    <n v="0"/>
    <n v="0"/>
  </r>
  <r>
    <s v="CUST0285"/>
    <s v="Maryam Gates"/>
    <d v="2025-01-25T00:00:00"/>
    <n v="60"/>
    <x v="3"/>
    <x v="31"/>
    <s v="Broadband MiFi"/>
    <x v="0"/>
    <n v="4"/>
    <s v="Very Good"/>
    <n v="52"/>
    <x v="2"/>
    <x v="2"/>
    <n v="20000"/>
    <n v="16"/>
    <n v="320000"/>
    <n v="20000"/>
    <n v="69.11"/>
    <x v="1"/>
    <n v="0"/>
    <n v="0"/>
    <n v="0"/>
    <n v="0"/>
  </r>
  <r>
    <s v="CUST0286"/>
    <s v="David George"/>
    <d v="2025-01-25T00:00:00"/>
    <n v="17"/>
    <x v="1"/>
    <x v="12"/>
    <s v="4G Router"/>
    <x v="1"/>
    <n v="4"/>
    <s v="Very Good"/>
    <n v="20"/>
    <x v="1"/>
    <x v="5"/>
    <n v="4500"/>
    <n v="18"/>
    <n v="81000"/>
    <n v="4500"/>
    <n v="82.64"/>
    <x v="1"/>
    <n v="0"/>
    <n v="0"/>
    <n v="0"/>
    <n v="0"/>
  </r>
  <r>
    <s v="CUST0286"/>
    <s v="David George"/>
    <d v="2025-01-25T00:00:00"/>
    <n v="17"/>
    <x v="1"/>
    <x v="12"/>
    <s v="Mobile SIM Card"/>
    <x v="1"/>
    <n v="4"/>
    <s v="Very Good"/>
    <n v="20"/>
    <x v="1"/>
    <x v="1"/>
    <n v="5500"/>
    <n v="6"/>
    <n v="33000"/>
    <n v="5500"/>
    <n v="79.25"/>
    <x v="1"/>
    <n v="0"/>
    <n v="0"/>
    <n v="0"/>
    <n v="0"/>
  </r>
  <r>
    <s v="CUST0287"/>
    <s v="Omamuzo Rivera"/>
    <d v="2025-02-25T00:00:00"/>
    <n v="64"/>
    <x v="3"/>
    <x v="16"/>
    <s v="5G Broadband Router"/>
    <x v="1"/>
    <n v="2"/>
    <s v="Fair"/>
    <n v="6"/>
    <x v="3"/>
    <x v="17"/>
    <n v="75000"/>
    <n v="3"/>
    <n v="225000"/>
    <n v="75000"/>
    <n v="38.01"/>
    <x v="1"/>
    <n v="0"/>
    <n v="0"/>
    <n v="0"/>
    <n v="0"/>
  </r>
  <r>
    <s v="CUST0287"/>
    <s v="Omamuzo Rivera"/>
    <d v="2025-02-25T00:00:00"/>
    <n v="64"/>
    <x v="3"/>
    <x v="16"/>
    <s v="4G Router"/>
    <x v="1"/>
    <n v="2"/>
    <s v="Fair"/>
    <n v="6"/>
    <x v="3"/>
    <x v="5"/>
    <n v="4500"/>
    <n v="4"/>
    <n v="18000"/>
    <n v="4500"/>
    <n v="27.76"/>
    <x v="1"/>
    <n v="0"/>
    <n v="0"/>
    <n v="0"/>
    <n v="0"/>
  </r>
  <r>
    <s v="CUST0287"/>
    <s v="Omamuzo Rivera"/>
    <d v="2025-02-25T00:00:00"/>
    <n v="64"/>
    <x v="3"/>
    <x v="16"/>
    <s v="Mobile SIM Card"/>
    <x v="1"/>
    <n v="2"/>
    <s v="Fair"/>
    <n v="6"/>
    <x v="3"/>
    <x v="1"/>
    <n v="5500"/>
    <n v="9"/>
    <n v="49500"/>
    <n v="5500"/>
    <n v="123.74"/>
    <x v="1"/>
    <n v="0"/>
    <n v="0"/>
    <n v="0"/>
    <n v="0"/>
  </r>
  <r>
    <s v="CUST0288"/>
    <s v="Grace Chaney"/>
    <d v="2025-01-25T00:00:00"/>
    <n v="40"/>
    <x v="2"/>
    <x v="32"/>
    <s v="5G Broadband Router"/>
    <x v="0"/>
    <n v="5"/>
    <s v="Excellent"/>
    <n v="10"/>
    <x v="3"/>
    <x v="8"/>
    <n v="150000"/>
    <n v="8"/>
    <n v="1200000"/>
    <n v="150000"/>
    <n v="145.56"/>
    <x v="0"/>
    <n v="1"/>
    <n v="0"/>
    <n v="0"/>
    <n v="0"/>
  </r>
  <r>
    <s v="CUST0288"/>
    <s v="Grace Chaney"/>
    <d v="2025-01-25T00:00:00"/>
    <n v="40"/>
    <x v="2"/>
    <x v="32"/>
    <s v="Broadband MiFi"/>
    <x v="0"/>
    <n v="5"/>
    <s v="Excellent"/>
    <n v="10"/>
    <x v="3"/>
    <x v="4"/>
    <n v="9000"/>
    <n v="16"/>
    <n v="144000"/>
    <n v="9000"/>
    <n v="30.56"/>
    <x v="0"/>
    <n v="1"/>
    <n v="0"/>
    <n v="0"/>
    <n v="0"/>
  </r>
  <r>
    <s v="CUST0289"/>
    <s v="Fatima Wheeler"/>
    <d v="2025-02-25T00:00:00"/>
    <n v="59"/>
    <x v="3"/>
    <x v="15"/>
    <s v="5G Broadband Router"/>
    <x v="1"/>
    <n v="3"/>
    <s v="Good"/>
    <n v="51"/>
    <x v="2"/>
    <x v="2"/>
    <n v="20000"/>
    <n v="5"/>
    <n v="100000"/>
    <n v="20000"/>
    <n v="168.79"/>
    <x v="1"/>
    <n v="0"/>
    <n v="0"/>
    <n v="0"/>
    <n v="0"/>
  </r>
  <r>
    <s v="CUST0290"/>
    <s v="Sade Ryan"/>
    <d v="2025-02-25T00:00:00"/>
    <n v="50"/>
    <x v="4"/>
    <x v="10"/>
    <s v="Mobile SIM Card"/>
    <x v="0"/>
    <n v="2"/>
    <s v="Fair"/>
    <n v="35"/>
    <x v="2"/>
    <x v="14"/>
    <n v="1000"/>
    <n v="8"/>
    <n v="8000"/>
    <n v="1000"/>
    <n v="194.93"/>
    <x v="0"/>
    <n v="1"/>
    <n v="0"/>
    <n v="0"/>
    <n v="0"/>
  </r>
  <r>
    <s v="CUST0290"/>
    <s v="Sade Ryan"/>
    <d v="2025-02-25T00:00:00"/>
    <n v="50"/>
    <x v="4"/>
    <x v="10"/>
    <s v="Broadband MiFi"/>
    <x v="0"/>
    <n v="2"/>
    <s v="Fair"/>
    <n v="35"/>
    <x v="2"/>
    <x v="12"/>
    <n v="14500"/>
    <n v="15"/>
    <n v="217500"/>
    <n v="14500"/>
    <n v="154.36000000000001"/>
    <x v="0"/>
    <n v="1"/>
    <n v="0"/>
    <n v="0"/>
    <n v="0"/>
  </r>
  <r>
    <s v="CUST0291"/>
    <s v="Halima Mahoney"/>
    <d v="2025-01-25T00:00:00"/>
    <n v="20"/>
    <x v="1"/>
    <x v="18"/>
    <s v="Mobile SIM Card"/>
    <x v="1"/>
    <n v="5"/>
    <s v="Excellent"/>
    <n v="48"/>
    <x v="2"/>
    <x v="15"/>
    <n v="7500"/>
    <n v="10"/>
    <n v="75000"/>
    <n v="7500"/>
    <n v="136.44999999999999"/>
    <x v="1"/>
    <n v="0"/>
    <n v="0"/>
    <n v="0"/>
    <n v="0"/>
  </r>
  <r>
    <s v="CUST0292"/>
    <s v="Ese Rose"/>
    <d v="2025-02-25T00:00:00"/>
    <n v="36"/>
    <x v="2"/>
    <x v="19"/>
    <s v="4G Router"/>
    <x v="0"/>
    <n v="3"/>
    <s v="Good"/>
    <n v="17"/>
    <x v="1"/>
    <x v="0"/>
    <n v="35000"/>
    <n v="6"/>
    <n v="210000"/>
    <n v="35000"/>
    <n v="65.239999999999995"/>
    <x v="0"/>
    <n v="1"/>
    <n v="0"/>
    <n v="0"/>
    <n v="0"/>
  </r>
  <r>
    <s v="CUST0292"/>
    <s v="Ese Rose"/>
    <d v="2025-02-25T00:00:00"/>
    <n v="36"/>
    <x v="2"/>
    <x v="19"/>
    <s v="Broadband MiFi"/>
    <x v="0"/>
    <n v="3"/>
    <s v="Good"/>
    <n v="17"/>
    <x v="1"/>
    <x v="11"/>
    <n v="30000"/>
    <n v="13"/>
    <n v="390000"/>
    <n v="30000"/>
    <n v="117.15"/>
    <x v="0"/>
    <n v="1"/>
    <n v="0"/>
    <n v="0"/>
    <n v="0"/>
  </r>
  <r>
    <s v="CUST0292"/>
    <s v="Ese Rose"/>
    <d v="2025-02-25T00:00:00"/>
    <n v="36"/>
    <x v="2"/>
    <x v="19"/>
    <s v="5G Broadband Router"/>
    <x v="0"/>
    <n v="3"/>
    <s v="Good"/>
    <n v="17"/>
    <x v="1"/>
    <x v="12"/>
    <n v="14500"/>
    <n v="2"/>
    <n v="29000"/>
    <n v="14500"/>
    <n v="2.2799999999999998"/>
    <x v="0"/>
    <n v="1"/>
    <n v="0"/>
    <n v="0"/>
    <n v="0"/>
  </r>
  <r>
    <s v="CUST0293"/>
    <s v="John Jones"/>
    <d v="2025-02-25T00:00:00"/>
    <n v="35"/>
    <x v="2"/>
    <x v="3"/>
    <s v="Broadband MiFi"/>
    <x v="0"/>
    <n v="4"/>
    <s v="Very Good"/>
    <n v="16"/>
    <x v="1"/>
    <x v="11"/>
    <n v="30000"/>
    <n v="18"/>
    <n v="540000"/>
    <n v="30000"/>
    <n v="129.09"/>
    <x v="0"/>
    <n v="1"/>
    <n v="0"/>
    <n v="0"/>
    <n v="0"/>
  </r>
  <r>
    <s v="CUST0293"/>
    <s v="John Jones"/>
    <d v="2025-02-25T00:00:00"/>
    <n v="35"/>
    <x v="2"/>
    <x v="3"/>
    <s v="Mobile SIM Card"/>
    <x v="0"/>
    <n v="4"/>
    <s v="Very Good"/>
    <n v="16"/>
    <x v="1"/>
    <x v="14"/>
    <n v="1000"/>
    <n v="8"/>
    <n v="8000"/>
    <n v="1000"/>
    <n v="25.6"/>
    <x v="0"/>
    <n v="1"/>
    <n v="0"/>
    <n v="0"/>
    <n v="0"/>
  </r>
  <r>
    <s v="CUST0294"/>
    <s v="Ese Bailey"/>
    <d v="2025-02-25T00:00:00"/>
    <n v="60"/>
    <x v="3"/>
    <x v="30"/>
    <s v="Broadband MiFi"/>
    <x v="0"/>
    <n v="3"/>
    <s v="Good"/>
    <n v="2"/>
    <x v="0"/>
    <x v="12"/>
    <n v="14500"/>
    <n v="18"/>
    <n v="261000"/>
    <n v="14500"/>
    <n v="112.03"/>
    <x v="1"/>
    <n v="0"/>
    <n v="0"/>
    <n v="0"/>
    <n v="0"/>
  </r>
  <r>
    <s v="CUST0294"/>
    <s v="Ese Bailey"/>
    <d v="2025-02-25T00:00:00"/>
    <n v="60"/>
    <x v="3"/>
    <x v="30"/>
    <s v="4G Router"/>
    <x v="0"/>
    <n v="3"/>
    <s v="Good"/>
    <n v="2"/>
    <x v="0"/>
    <x v="0"/>
    <n v="35000"/>
    <n v="6"/>
    <n v="210000"/>
    <n v="35000"/>
    <n v="38.36"/>
    <x v="1"/>
    <n v="0"/>
    <n v="0"/>
    <n v="0"/>
    <n v="0"/>
  </r>
  <r>
    <s v="CUST0295"/>
    <s v="David Higgins"/>
    <d v="2025-02-25T00:00:00"/>
    <n v="60"/>
    <x v="3"/>
    <x v="32"/>
    <s v="5G Broadband Router"/>
    <x v="1"/>
    <n v="1"/>
    <s v="Poor"/>
    <n v="18"/>
    <x v="1"/>
    <x v="18"/>
    <n v="25000"/>
    <n v="17"/>
    <n v="425000"/>
    <n v="25000"/>
    <n v="91.09"/>
    <x v="1"/>
    <n v="0"/>
    <n v="0"/>
    <n v="0"/>
    <n v="0"/>
  </r>
  <r>
    <s v="CUST0295"/>
    <s v="David Higgins"/>
    <d v="2025-02-25T00:00:00"/>
    <n v="60"/>
    <x v="3"/>
    <x v="32"/>
    <s v="4G Router"/>
    <x v="1"/>
    <n v="1"/>
    <s v="Poor"/>
    <n v="18"/>
    <x v="1"/>
    <x v="0"/>
    <n v="35000"/>
    <n v="1"/>
    <n v="35000"/>
    <n v="35000"/>
    <n v="146.86000000000001"/>
    <x v="1"/>
    <n v="0"/>
    <n v="0"/>
    <n v="0"/>
    <n v="0"/>
  </r>
  <r>
    <s v="CUST0296"/>
    <s v="Ejiro Scott"/>
    <d v="2025-02-25T00:00:00"/>
    <n v="46"/>
    <x v="4"/>
    <x v="32"/>
    <s v="4G Router"/>
    <x v="0"/>
    <n v="2"/>
    <s v="Fair"/>
    <n v="43"/>
    <x v="2"/>
    <x v="6"/>
    <n v="9000"/>
    <n v="11"/>
    <n v="99000"/>
    <n v="9000"/>
    <n v="64.86"/>
    <x v="1"/>
    <n v="0"/>
    <n v="0"/>
    <n v="0"/>
    <n v="0"/>
  </r>
  <r>
    <s v="CUST0296"/>
    <s v="Ejiro Scott"/>
    <d v="2025-02-25T00:00:00"/>
    <n v="46"/>
    <x v="4"/>
    <x v="32"/>
    <s v="5G Broadband Router"/>
    <x v="0"/>
    <n v="2"/>
    <s v="Fair"/>
    <n v="43"/>
    <x v="2"/>
    <x v="2"/>
    <n v="20000"/>
    <n v="3"/>
    <n v="60000"/>
    <n v="20000"/>
    <n v="19.7"/>
    <x v="1"/>
    <n v="0"/>
    <n v="0"/>
    <n v="0"/>
    <n v="0"/>
  </r>
  <r>
    <s v="CUST0297"/>
    <s v="Bola Spencer"/>
    <d v="2025-01-25T00:00:00"/>
    <n v="32"/>
    <x v="0"/>
    <x v="20"/>
    <s v="Mobile SIM Card"/>
    <x v="0"/>
    <n v="4"/>
    <s v="Very Good"/>
    <n v="13"/>
    <x v="1"/>
    <x v="20"/>
    <n v="6500"/>
    <n v="19"/>
    <n v="123500"/>
    <n v="6500"/>
    <n v="124.98"/>
    <x v="0"/>
    <n v="1"/>
    <n v="0"/>
    <n v="0"/>
    <n v="0"/>
  </r>
  <r>
    <s v="CUST0297"/>
    <s v="Bola Spencer"/>
    <d v="2025-01-25T00:00:00"/>
    <n v="32"/>
    <x v="0"/>
    <x v="20"/>
    <s v="5G Broadband Router"/>
    <x v="0"/>
    <n v="4"/>
    <s v="Very Good"/>
    <n v="13"/>
    <x v="1"/>
    <x v="10"/>
    <n v="24000"/>
    <n v="8"/>
    <n v="192000"/>
    <n v="24000"/>
    <n v="10.29"/>
    <x v="0"/>
    <n v="1"/>
    <n v="0"/>
    <n v="0"/>
    <n v="0"/>
  </r>
  <r>
    <s v="CUST0297"/>
    <s v="Bola Spencer"/>
    <d v="2025-01-25T00:00:00"/>
    <n v="32"/>
    <x v="0"/>
    <x v="20"/>
    <s v="4G Router"/>
    <x v="0"/>
    <n v="4"/>
    <s v="Very Good"/>
    <n v="13"/>
    <x v="1"/>
    <x v="9"/>
    <n v="16000"/>
    <n v="7"/>
    <n v="112000"/>
    <n v="16000"/>
    <n v="3.11"/>
    <x v="0"/>
    <n v="1"/>
    <n v="0"/>
    <n v="0"/>
    <n v="0"/>
  </r>
  <r>
    <s v="CUST0298"/>
    <s v="Grace Davis"/>
    <d v="2025-02-25T00:00:00"/>
    <n v="26"/>
    <x v="0"/>
    <x v="2"/>
    <s v="5G Broadband Router"/>
    <x v="0"/>
    <n v="3"/>
    <s v="Good"/>
    <n v="24"/>
    <x v="1"/>
    <x v="4"/>
    <n v="9000"/>
    <n v="10"/>
    <n v="90000"/>
    <n v="9000"/>
    <n v="146.99"/>
    <x v="1"/>
    <n v="0"/>
    <n v="0"/>
    <n v="0"/>
    <n v="0"/>
  </r>
  <r>
    <s v="CUST0299"/>
    <s v="Kunle Fuller"/>
    <d v="2025-02-25T00:00:00"/>
    <n v="43"/>
    <x v="2"/>
    <x v="8"/>
    <s v="4G Router"/>
    <x v="0"/>
    <n v="5"/>
    <s v="Excellent"/>
    <n v="7"/>
    <x v="3"/>
    <x v="5"/>
    <n v="4500"/>
    <n v="18"/>
    <n v="81000"/>
    <n v="4500"/>
    <n v="111.91"/>
    <x v="1"/>
    <n v="0"/>
    <n v="0"/>
    <n v="0"/>
    <n v="0"/>
  </r>
  <r>
    <s v="CUST0300"/>
    <s v="Ibim Wilkerson"/>
    <d v="2025-02-25T00:00:00"/>
    <n v="29"/>
    <x v="0"/>
    <x v="25"/>
    <s v="Mobile SIM Card"/>
    <x v="1"/>
    <n v="1"/>
    <s v="Poor"/>
    <n v="45"/>
    <x v="2"/>
    <x v="19"/>
    <n v="600"/>
    <n v="20"/>
    <n v="12000"/>
    <n v="600"/>
    <n v="107.01"/>
    <x v="0"/>
    <n v="1"/>
    <n v="0"/>
    <n v="0"/>
    <n v="0"/>
  </r>
  <r>
    <s v="CUST0300"/>
    <s v="Ibim Wilkerson"/>
    <d v="2025-02-25T00:00:00"/>
    <n v="29"/>
    <x v="0"/>
    <x v="25"/>
    <s v="5G Broadband Router"/>
    <x v="1"/>
    <n v="1"/>
    <s v="Poor"/>
    <n v="45"/>
    <x v="2"/>
    <x v="8"/>
    <n v="150000"/>
    <n v="11"/>
    <n v="1650000"/>
    <n v="150000"/>
    <n v="186.74"/>
    <x v="0"/>
    <n v="1"/>
    <n v="0"/>
    <n v="0"/>
    <n v="0"/>
  </r>
  <r>
    <s v="CUST0300"/>
    <s v="Ibim Wilkerson"/>
    <d v="2025-02-25T00:00:00"/>
    <n v="29"/>
    <x v="0"/>
    <x v="25"/>
    <s v="4G Router"/>
    <x v="1"/>
    <n v="1"/>
    <s v="Poor"/>
    <n v="45"/>
    <x v="2"/>
    <x v="6"/>
    <n v="9000"/>
    <n v="14"/>
    <n v="126000"/>
    <n v="9000"/>
    <n v="169.05"/>
    <x v="0"/>
    <n v="1"/>
    <n v="0"/>
    <n v="0"/>
    <n v="0"/>
  </r>
  <r>
    <s v="CUST0301"/>
    <s v="Boma Knight"/>
    <d v="2025-03-25T00:00:00"/>
    <n v="57"/>
    <x v="3"/>
    <x v="7"/>
    <s v="Mobile SIM Card"/>
    <x v="0"/>
    <n v="3"/>
    <s v="Good"/>
    <n v="25"/>
    <x v="2"/>
    <x v="16"/>
    <n v="900"/>
    <n v="20"/>
    <n v="18000"/>
    <n v="900"/>
    <n v="196.6"/>
    <x v="1"/>
    <n v="0"/>
    <n v="0"/>
    <n v="0"/>
    <n v="0"/>
  </r>
  <r>
    <s v="CUST0301"/>
    <s v="Boma Knight"/>
    <d v="2025-03-25T00:00:00"/>
    <n v="57"/>
    <x v="3"/>
    <x v="7"/>
    <s v="Broadband MiFi"/>
    <x v="0"/>
    <n v="3"/>
    <s v="Good"/>
    <n v="25"/>
    <x v="2"/>
    <x v="4"/>
    <n v="9000"/>
    <n v="10"/>
    <n v="90000"/>
    <n v="9000"/>
    <n v="103.76"/>
    <x v="1"/>
    <n v="0"/>
    <n v="0"/>
    <n v="0"/>
    <n v="0"/>
  </r>
  <r>
    <s v="CUST0302"/>
    <s v="Tunde Wallace"/>
    <d v="2025-03-25T00:00:00"/>
    <n v="54"/>
    <x v="4"/>
    <x v="16"/>
    <s v="5G Broadband Router"/>
    <x v="0"/>
    <n v="1"/>
    <s v="Poor"/>
    <n v="55"/>
    <x v="2"/>
    <x v="2"/>
    <n v="20000"/>
    <n v="12"/>
    <n v="240000"/>
    <n v="20000"/>
    <n v="8.0299999999999994"/>
    <x v="1"/>
    <n v="0"/>
    <n v="0"/>
    <n v="0"/>
    <n v="0"/>
  </r>
  <r>
    <s v="CUST0302"/>
    <s v="Tunde Wallace"/>
    <d v="2025-03-25T00:00:00"/>
    <n v="54"/>
    <x v="4"/>
    <x v="16"/>
    <s v="Mobile SIM Card"/>
    <x v="0"/>
    <n v="1"/>
    <s v="Poor"/>
    <n v="55"/>
    <x v="2"/>
    <x v="19"/>
    <n v="600"/>
    <n v="12"/>
    <n v="7200"/>
    <n v="600"/>
    <n v="28.11"/>
    <x v="1"/>
    <n v="0"/>
    <n v="0"/>
    <n v="0"/>
    <n v="0"/>
  </r>
  <r>
    <s v="CUST0302"/>
    <s v="Tunde Wallace"/>
    <d v="2025-03-25T00:00:00"/>
    <n v="54"/>
    <x v="4"/>
    <x v="16"/>
    <s v="Broadband MiFi"/>
    <x v="0"/>
    <n v="1"/>
    <s v="Poor"/>
    <n v="55"/>
    <x v="2"/>
    <x v="10"/>
    <n v="24000"/>
    <n v="9"/>
    <n v="216000"/>
    <n v="24000"/>
    <n v="50.35"/>
    <x v="1"/>
    <n v="0"/>
    <n v="0"/>
    <n v="0"/>
    <n v="0"/>
  </r>
  <r>
    <s v="CUST0303"/>
    <s v="Maryam Walker"/>
    <d v="2025-01-25T00:00:00"/>
    <n v="27"/>
    <x v="0"/>
    <x v="10"/>
    <s v="Mobile SIM Card"/>
    <x v="0"/>
    <n v="3"/>
    <s v="Good"/>
    <n v="47"/>
    <x v="2"/>
    <x v="14"/>
    <n v="1000"/>
    <n v="10"/>
    <n v="10000"/>
    <n v="1000"/>
    <n v="119.25"/>
    <x v="1"/>
    <n v="0"/>
    <n v="0"/>
    <n v="0"/>
    <n v="0"/>
  </r>
  <r>
    <s v="CUST0304"/>
    <s v="Bola Castro"/>
    <d v="2025-03-25T00:00:00"/>
    <n v="64"/>
    <x v="3"/>
    <x v="33"/>
    <s v="Mobile SIM Card"/>
    <x v="0"/>
    <n v="3"/>
    <s v="Good"/>
    <n v="59"/>
    <x v="2"/>
    <x v="13"/>
    <n v="350"/>
    <n v="20"/>
    <n v="7000"/>
    <n v="350"/>
    <n v="149.66"/>
    <x v="1"/>
    <n v="0"/>
    <n v="0"/>
    <n v="0"/>
    <n v="0"/>
  </r>
  <r>
    <s v="CUST0304"/>
    <s v="Bola Castro"/>
    <d v="2025-03-25T00:00:00"/>
    <n v="64"/>
    <x v="3"/>
    <x v="33"/>
    <s v="Broadband MiFi"/>
    <x v="0"/>
    <n v="3"/>
    <s v="Good"/>
    <n v="59"/>
    <x v="2"/>
    <x v="4"/>
    <n v="9000"/>
    <n v="13"/>
    <n v="117000"/>
    <n v="9000"/>
    <n v="126.96"/>
    <x v="1"/>
    <n v="0"/>
    <n v="0"/>
    <n v="0"/>
    <n v="0"/>
  </r>
  <r>
    <s v="CUST0305"/>
    <s v="Sade Shepard"/>
    <d v="2025-02-25T00:00:00"/>
    <n v="55"/>
    <x v="3"/>
    <x v="8"/>
    <s v="Mobile SIM Card"/>
    <x v="0"/>
    <n v="3"/>
    <s v="Good"/>
    <n v="21"/>
    <x v="1"/>
    <x v="9"/>
    <n v="16000"/>
    <n v="13"/>
    <n v="208000"/>
    <n v="16000"/>
    <n v="134.88999999999999"/>
    <x v="1"/>
    <n v="0"/>
    <n v="0"/>
    <n v="0"/>
    <n v="0"/>
  </r>
  <r>
    <s v="CUST0306"/>
    <s v="Alabo Cortez"/>
    <d v="2025-03-25T00:00:00"/>
    <n v="80"/>
    <x v="3"/>
    <x v="33"/>
    <s v="Mobile SIM Card"/>
    <x v="0"/>
    <n v="4"/>
    <s v="Very Good"/>
    <n v="28"/>
    <x v="2"/>
    <x v="16"/>
    <n v="900"/>
    <n v="9"/>
    <n v="8100"/>
    <n v="900"/>
    <n v="109.86"/>
    <x v="0"/>
    <n v="1"/>
    <n v="0"/>
    <n v="0"/>
    <n v="0"/>
  </r>
  <r>
    <s v="CUST0307"/>
    <s v="Chinedu Hoffman"/>
    <d v="2025-02-25T00:00:00"/>
    <n v="67"/>
    <x v="3"/>
    <x v="28"/>
    <s v="Mobile SIM Card"/>
    <x v="1"/>
    <n v="2"/>
    <s v="Fair"/>
    <n v="50"/>
    <x v="2"/>
    <x v="15"/>
    <n v="7500"/>
    <n v="7"/>
    <n v="52500"/>
    <n v="7500"/>
    <n v="130.62"/>
    <x v="1"/>
    <n v="0"/>
    <n v="0"/>
    <n v="0"/>
    <n v="0"/>
  </r>
  <r>
    <s v="CUST0308"/>
    <s v="Sarah Flores"/>
    <d v="2025-02-25T00:00:00"/>
    <n v="47"/>
    <x v="4"/>
    <x v="7"/>
    <s v="Broadband MiFi"/>
    <x v="0"/>
    <n v="3"/>
    <s v="Good"/>
    <n v="18"/>
    <x v="1"/>
    <x v="12"/>
    <n v="14500"/>
    <n v="7"/>
    <n v="101500"/>
    <n v="14500"/>
    <n v="73.37"/>
    <x v="1"/>
    <n v="0"/>
    <n v="0"/>
    <n v="0"/>
    <n v="0"/>
  </r>
  <r>
    <s v="CUST0308"/>
    <s v="Sarah Flores"/>
    <d v="2025-02-25T00:00:00"/>
    <n v="47"/>
    <x v="4"/>
    <x v="7"/>
    <s v="Mobile SIM Card"/>
    <x v="0"/>
    <n v="3"/>
    <s v="Good"/>
    <n v="18"/>
    <x v="1"/>
    <x v="7"/>
    <n v="3500"/>
    <n v="1"/>
    <n v="3500"/>
    <n v="3500"/>
    <n v="69.23"/>
    <x v="1"/>
    <n v="0"/>
    <n v="0"/>
    <n v="0"/>
    <n v="0"/>
  </r>
  <r>
    <s v="CUST0308"/>
    <s v="Sarah Flores"/>
    <d v="2025-02-25T00:00:00"/>
    <n v="47"/>
    <x v="4"/>
    <x v="7"/>
    <s v="4G Router"/>
    <x v="0"/>
    <n v="3"/>
    <s v="Good"/>
    <n v="18"/>
    <x v="1"/>
    <x v="6"/>
    <n v="9000"/>
    <n v="12"/>
    <n v="108000"/>
    <n v="9000"/>
    <n v="34.270000000000003"/>
    <x v="1"/>
    <n v="0"/>
    <n v="0"/>
    <n v="0"/>
    <n v="0"/>
  </r>
  <r>
    <s v="CUST0309"/>
    <s v="Alabo Guerra"/>
    <d v="2025-02-25T00:00:00"/>
    <n v="34"/>
    <x v="0"/>
    <x v="30"/>
    <s v="Broadband MiFi"/>
    <x v="0"/>
    <n v="2"/>
    <s v="Fair"/>
    <n v="60"/>
    <x v="2"/>
    <x v="4"/>
    <n v="9000"/>
    <n v="8"/>
    <n v="72000"/>
    <n v="9000"/>
    <n v="148.05000000000001"/>
    <x v="1"/>
    <n v="0"/>
    <n v="0"/>
    <n v="0"/>
    <n v="0"/>
  </r>
  <r>
    <s v="CUST0310"/>
    <s v="Obinna Ballard"/>
    <d v="2025-01-25T00:00:00"/>
    <n v="52"/>
    <x v="4"/>
    <x v="34"/>
    <s v="5G Broadband Router"/>
    <x v="1"/>
    <n v="3"/>
    <s v="Good"/>
    <n v="45"/>
    <x v="2"/>
    <x v="12"/>
    <n v="14500"/>
    <n v="7"/>
    <n v="101500"/>
    <n v="14500"/>
    <n v="148.13"/>
    <x v="1"/>
    <n v="0"/>
    <n v="0"/>
    <n v="0"/>
    <n v="0"/>
  </r>
  <r>
    <s v="CUST0311"/>
    <s v="Fatima Freeman"/>
    <d v="2025-01-25T00:00:00"/>
    <n v="49"/>
    <x v="4"/>
    <x v="31"/>
    <s v="Broadband MiFi"/>
    <x v="0"/>
    <n v="4"/>
    <s v="Very Good"/>
    <n v="45"/>
    <x v="2"/>
    <x v="4"/>
    <n v="9000"/>
    <n v="20"/>
    <n v="180000"/>
    <n v="9000"/>
    <n v="57.16"/>
    <x v="1"/>
    <n v="0"/>
    <n v="0"/>
    <n v="0"/>
    <n v="0"/>
  </r>
  <r>
    <s v="CUST0311"/>
    <s v="Fatima Freeman"/>
    <d v="2025-01-25T00:00:00"/>
    <n v="49"/>
    <x v="4"/>
    <x v="31"/>
    <s v="4G Router"/>
    <x v="0"/>
    <n v="4"/>
    <s v="Very Good"/>
    <n v="45"/>
    <x v="2"/>
    <x v="6"/>
    <n v="9000"/>
    <n v="1"/>
    <n v="9000"/>
    <n v="9000"/>
    <n v="11.09"/>
    <x v="1"/>
    <n v="0"/>
    <n v="0"/>
    <n v="0"/>
    <n v="0"/>
  </r>
  <r>
    <s v="CUST0311"/>
    <s v="Fatima Freeman"/>
    <d v="2025-01-25T00:00:00"/>
    <n v="49"/>
    <x v="4"/>
    <x v="31"/>
    <s v="Mobile SIM Card"/>
    <x v="0"/>
    <n v="4"/>
    <s v="Very Good"/>
    <n v="45"/>
    <x v="2"/>
    <x v="14"/>
    <n v="1000"/>
    <n v="9"/>
    <n v="9000"/>
    <n v="1000"/>
    <n v="78.03"/>
    <x v="1"/>
    <n v="0"/>
    <n v="0"/>
    <n v="0"/>
    <n v="0"/>
  </r>
  <r>
    <s v="CUST0312"/>
    <s v="Ejiro Barker"/>
    <d v="2025-02-25T00:00:00"/>
    <n v="29"/>
    <x v="0"/>
    <x v="17"/>
    <s v="Broadband MiFi"/>
    <x v="1"/>
    <n v="2"/>
    <s v="Fair"/>
    <n v="56"/>
    <x v="2"/>
    <x v="10"/>
    <n v="24000"/>
    <n v="6"/>
    <n v="144000"/>
    <n v="24000"/>
    <n v="106.55"/>
    <x v="1"/>
    <n v="0"/>
    <n v="0"/>
    <n v="0"/>
    <n v="0"/>
  </r>
  <r>
    <s v="CUST0312"/>
    <s v="Ejiro Barker"/>
    <d v="2025-02-25T00:00:00"/>
    <n v="29"/>
    <x v="0"/>
    <x v="17"/>
    <s v="4G Router"/>
    <x v="1"/>
    <n v="2"/>
    <s v="Fair"/>
    <n v="56"/>
    <x v="2"/>
    <x v="5"/>
    <n v="4500"/>
    <n v="15"/>
    <n v="67500"/>
    <n v="4500"/>
    <n v="100.38"/>
    <x v="1"/>
    <n v="0"/>
    <n v="0"/>
    <n v="0"/>
    <n v="0"/>
  </r>
  <r>
    <s v="CUST0312"/>
    <s v="Ejiro Barker"/>
    <d v="2025-02-25T00:00:00"/>
    <n v="29"/>
    <x v="0"/>
    <x v="17"/>
    <s v="5G Broadband Router"/>
    <x v="1"/>
    <n v="2"/>
    <s v="Fair"/>
    <n v="56"/>
    <x v="2"/>
    <x v="4"/>
    <n v="9000"/>
    <n v="17"/>
    <n v="153000"/>
    <n v="9000"/>
    <n v="8.43"/>
    <x v="1"/>
    <n v="0"/>
    <n v="0"/>
    <n v="0"/>
    <n v="0"/>
  </r>
  <r>
    <s v="CUST0313"/>
    <s v="Maryam Hernandez"/>
    <d v="2025-02-25T00:00:00"/>
    <n v="58"/>
    <x v="3"/>
    <x v="12"/>
    <s v="5G Broadband Router"/>
    <x v="1"/>
    <n v="1"/>
    <s v="Poor"/>
    <n v="48"/>
    <x v="2"/>
    <x v="10"/>
    <n v="24000"/>
    <n v="17"/>
    <n v="408000"/>
    <n v="24000"/>
    <n v="47.62"/>
    <x v="1"/>
    <n v="0"/>
    <n v="0"/>
    <n v="0"/>
    <n v="0"/>
  </r>
  <r>
    <s v="CUST0313"/>
    <s v="Maryam Hernandez"/>
    <d v="2025-02-25T00:00:00"/>
    <n v="58"/>
    <x v="3"/>
    <x v="12"/>
    <s v="Mobile SIM Card"/>
    <x v="1"/>
    <n v="1"/>
    <s v="Poor"/>
    <n v="48"/>
    <x v="2"/>
    <x v="3"/>
    <n v="500"/>
    <n v="9"/>
    <n v="4500"/>
    <n v="500"/>
    <n v="162.47"/>
    <x v="1"/>
    <n v="0"/>
    <n v="0"/>
    <n v="0"/>
    <n v="0"/>
  </r>
  <r>
    <s v="CUST0314"/>
    <s v="Omamuzo King"/>
    <d v="2025-03-25T00:00:00"/>
    <n v="19"/>
    <x v="1"/>
    <x v="29"/>
    <s v="Mobile SIM Card"/>
    <x v="0"/>
    <n v="4"/>
    <s v="Very Good"/>
    <n v="10"/>
    <x v="3"/>
    <x v="13"/>
    <n v="350"/>
    <n v="19"/>
    <n v="6650"/>
    <n v="350"/>
    <n v="83.76"/>
    <x v="1"/>
    <n v="0"/>
    <n v="0"/>
    <n v="0"/>
    <n v="0"/>
  </r>
  <r>
    <s v="CUST0315"/>
    <s v="Obinna Anderson"/>
    <d v="2025-02-25T00:00:00"/>
    <n v="70"/>
    <x v="3"/>
    <x v="24"/>
    <s v="4G Router"/>
    <x v="1"/>
    <n v="2"/>
    <s v="Fair"/>
    <n v="29"/>
    <x v="2"/>
    <x v="5"/>
    <n v="4500"/>
    <n v="5"/>
    <n v="22500"/>
    <n v="4500"/>
    <n v="86.3"/>
    <x v="1"/>
    <n v="0"/>
    <n v="0"/>
    <n v="0"/>
    <n v="0"/>
  </r>
  <r>
    <s v="CUST0315"/>
    <s v="Obinna Anderson"/>
    <d v="2025-02-25T00:00:00"/>
    <n v="70"/>
    <x v="3"/>
    <x v="24"/>
    <s v="Broadband MiFi"/>
    <x v="1"/>
    <n v="2"/>
    <s v="Fair"/>
    <n v="29"/>
    <x v="2"/>
    <x v="10"/>
    <n v="24000"/>
    <n v="11"/>
    <n v="264000"/>
    <n v="24000"/>
    <n v="183.46"/>
    <x v="1"/>
    <n v="0"/>
    <n v="0"/>
    <n v="0"/>
    <n v="0"/>
  </r>
  <r>
    <s v="CUST0315"/>
    <s v="Obinna Anderson"/>
    <d v="2025-02-25T00:00:00"/>
    <n v="70"/>
    <x v="3"/>
    <x v="24"/>
    <s v="Mobile SIM Card"/>
    <x v="1"/>
    <n v="2"/>
    <s v="Fair"/>
    <n v="29"/>
    <x v="2"/>
    <x v="14"/>
    <n v="1000"/>
    <n v="4"/>
    <n v="4000"/>
    <n v="1000"/>
    <n v="111.69"/>
    <x v="1"/>
    <n v="0"/>
    <n v="0"/>
    <n v="0"/>
    <n v="0"/>
  </r>
  <r>
    <s v="CUST0316"/>
    <s v="Shehu Rogers"/>
    <d v="2025-03-25T00:00:00"/>
    <n v="56"/>
    <x v="3"/>
    <x v="5"/>
    <s v="Mobile SIM Card"/>
    <x v="0"/>
    <n v="4"/>
    <s v="Very Good"/>
    <n v="49"/>
    <x v="2"/>
    <x v="3"/>
    <n v="500"/>
    <n v="7"/>
    <n v="3500"/>
    <n v="500"/>
    <n v="30.82"/>
    <x v="1"/>
    <n v="0"/>
    <n v="0"/>
    <n v="0"/>
    <n v="0"/>
  </r>
  <r>
    <s v="CUST0316"/>
    <s v="Shehu Rogers"/>
    <d v="2025-03-25T00:00:00"/>
    <n v="56"/>
    <x v="3"/>
    <x v="5"/>
    <s v="5G Broadband Router"/>
    <x v="0"/>
    <n v="4"/>
    <s v="Very Good"/>
    <n v="49"/>
    <x v="2"/>
    <x v="2"/>
    <n v="20000"/>
    <n v="1"/>
    <n v="20000"/>
    <n v="20000"/>
    <n v="26.74"/>
    <x v="1"/>
    <n v="0"/>
    <n v="0"/>
    <n v="0"/>
    <n v="0"/>
  </r>
  <r>
    <s v="CUST0317"/>
    <s v="Zainab Shaw"/>
    <d v="2025-01-25T00:00:00"/>
    <n v="45"/>
    <x v="4"/>
    <x v="16"/>
    <s v="4G Router"/>
    <x v="0"/>
    <n v="3"/>
    <s v="Good"/>
    <n v="44"/>
    <x v="2"/>
    <x v="0"/>
    <n v="35000"/>
    <n v="12"/>
    <n v="420000"/>
    <n v="35000"/>
    <n v="142.55000000000001"/>
    <x v="0"/>
    <n v="1"/>
    <n v="0"/>
    <n v="0"/>
    <n v="0"/>
  </r>
  <r>
    <s v="CUST0317"/>
    <s v="Zainab Shaw"/>
    <d v="2025-01-25T00:00:00"/>
    <n v="45"/>
    <x v="4"/>
    <x v="16"/>
    <s v="5G Broadband Router"/>
    <x v="0"/>
    <n v="3"/>
    <s v="Good"/>
    <n v="44"/>
    <x v="2"/>
    <x v="11"/>
    <n v="30000"/>
    <n v="16"/>
    <n v="480000"/>
    <n v="30000"/>
    <n v="170.5"/>
    <x v="0"/>
    <n v="1"/>
    <n v="0"/>
    <n v="0"/>
    <n v="0"/>
  </r>
  <r>
    <s v="CUST0318"/>
    <s v="John Martinez"/>
    <d v="2025-01-25T00:00:00"/>
    <n v="33"/>
    <x v="0"/>
    <x v="1"/>
    <s v="5G Broadband Router"/>
    <x v="0"/>
    <n v="4"/>
    <s v="Very Good"/>
    <n v="15"/>
    <x v="1"/>
    <x v="17"/>
    <n v="75000"/>
    <n v="7"/>
    <n v="525000"/>
    <n v="75000"/>
    <n v="44.9"/>
    <x v="1"/>
    <n v="0"/>
    <n v="0"/>
    <n v="0"/>
    <n v="0"/>
  </r>
  <r>
    <s v="CUST0319"/>
    <s v="Fatima Powell"/>
    <d v="2025-02-25T00:00:00"/>
    <n v="24"/>
    <x v="1"/>
    <x v="20"/>
    <s v="Mobile SIM Card"/>
    <x v="1"/>
    <n v="3"/>
    <s v="Good"/>
    <n v="56"/>
    <x v="2"/>
    <x v="15"/>
    <n v="7500"/>
    <n v="20"/>
    <n v="150000"/>
    <n v="7500"/>
    <n v="155.35"/>
    <x v="1"/>
    <n v="0"/>
    <n v="0"/>
    <n v="0"/>
    <n v="0"/>
  </r>
  <r>
    <s v="CUST0320"/>
    <s v="Omamuzo Perez"/>
    <d v="2025-01-25T00:00:00"/>
    <n v="56"/>
    <x v="3"/>
    <x v="10"/>
    <s v="4G Router"/>
    <x v="0"/>
    <n v="4"/>
    <s v="Very Good"/>
    <n v="34"/>
    <x v="2"/>
    <x v="0"/>
    <n v="35000"/>
    <n v="2"/>
    <n v="70000"/>
    <n v="35000"/>
    <n v="196.77"/>
    <x v="1"/>
    <n v="0"/>
    <n v="0"/>
    <n v="0"/>
    <n v="0"/>
  </r>
  <r>
    <s v="CUST0321"/>
    <s v="Omamuzo Schwartz"/>
    <d v="2025-02-25T00:00:00"/>
    <n v="22"/>
    <x v="1"/>
    <x v="18"/>
    <s v="Mobile SIM Card"/>
    <x v="1"/>
    <n v="3"/>
    <s v="Good"/>
    <n v="29"/>
    <x v="2"/>
    <x v="15"/>
    <n v="7500"/>
    <n v="2"/>
    <n v="15000"/>
    <n v="7500"/>
    <n v="59.24"/>
    <x v="1"/>
    <n v="0"/>
    <n v="0"/>
    <n v="0"/>
    <n v="0"/>
  </r>
  <r>
    <s v="CUST0321"/>
    <s v="Omamuzo Schwartz"/>
    <d v="2025-02-25T00:00:00"/>
    <n v="22"/>
    <x v="1"/>
    <x v="18"/>
    <s v="Broadband MiFi"/>
    <x v="1"/>
    <n v="3"/>
    <s v="Good"/>
    <n v="29"/>
    <x v="2"/>
    <x v="10"/>
    <n v="24000"/>
    <n v="15"/>
    <n v="360000"/>
    <n v="24000"/>
    <n v="180.78"/>
    <x v="1"/>
    <n v="0"/>
    <n v="0"/>
    <n v="0"/>
    <n v="0"/>
  </r>
  <r>
    <s v="CUST0322"/>
    <s v="Alabo Jackson"/>
    <d v="2025-02-25T00:00:00"/>
    <n v="27"/>
    <x v="0"/>
    <x v="28"/>
    <s v="Broadband MiFi"/>
    <x v="0"/>
    <n v="4"/>
    <s v="Very Good"/>
    <n v="12"/>
    <x v="3"/>
    <x v="12"/>
    <n v="14500"/>
    <n v="7"/>
    <n v="101500"/>
    <n v="14500"/>
    <n v="118.27"/>
    <x v="1"/>
    <n v="0"/>
    <n v="0"/>
    <n v="0"/>
    <n v="0"/>
  </r>
  <r>
    <s v="CUST0322"/>
    <s v="Alabo Jackson"/>
    <d v="2025-02-25T00:00:00"/>
    <n v="27"/>
    <x v="0"/>
    <x v="28"/>
    <s v="Mobile SIM Card"/>
    <x v="0"/>
    <n v="4"/>
    <s v="Very Good"/>
    <n v="12"/>
    <x v="3"/>
    <x v="1"/>
    <n v="5500"/>
    <n v="11"/>
    <n v="60500"/>
    <n v="5500"/>
    <n v="18.489999999999998"/>
    <x v="1"/>
    <n v="0"/>
    <n v="0"/>
    <n v="0"/>
    <n v="0"/>
  </r>
  <r>
    <s v="CUST0323"/>
    <s v="Amina Nguyen"/>
    <d v="2025-02-25T00:00:00"/>
    <n v="31"/>
    <x v="0"/>
    <x v="33"/>
    <s v="4G Router"/>
    <x v="0"/>
    <n v="3"/>
    <s v="Good"/>
    <n v="46"/>
    <x v="2"/>
    <x v="0"/>
    <n v="35000"/>
    <n v="6"/>
    <n v="210000"/>
    <n v="35000"/>
    <n v="9.26"/>
    <x v="0"/>
    <n v="1"/>
    <n v="0"/>
    <n v="0"/>
    <n v="0"/>
  </r>
  <r>
    <s v="CUST0323"/>
    <s v="Amina Nguyen"/>
    <d v="2025-02-25T00:00:00"/>
    <n v="31"/>
    <x v="0"/>
    <x v="33"/>
    <s v="Mobile SIM Card"/>
    <x v="0"/>
    <n v="3"/>
    <s v="Good"/>
    <n v="46"/>
    <x v="2"/>
    <x v="7"/>
    <n v="3500"/>
    <n v="5"/>
    <n v="17500"/>
    <n v="3500"/>
    <n v="113.32"/>
    <x v="0"/>
    <n v="1"/>
    <n v="0"/>
    <n v="0"/>
    <n v="0"/>
  </r>
  <r>
    <s v="CUST0324"/>
    <s v="Amina Taylor"/>
    <d v="2025-03-25T00:00:00"/>
    <n v="34"/>
    <x v="0"/>
    <x v="20"/>
    <s v="5G Broadband Router"/>
    <x v="0"/>
    <n v="3"/>
    <s v="Good"/>
    <n v="27"/>
    <x v="2"/>
    <x v="11"/>
    <n v="30000"/>
    <n v="5"/>
    <n v="150000"/>
    <n v="30000"/>
    <n v="23.95"/>
    <x v="1"/>
    <n v="0"/>
    <n v="0"/>
    <n v="0"/>
    <n v="0"/>
  </r>
  <r>
    <s v="CUST0324"/>
    <s v="Amina Taylor"/>
    <d v="2025-03-25T00:00:00"/>
    <n v="34"/>
    <x v="0"/>
    <x v="20"/>
    <s v="Mobile SIM Card"/>
    <x v="0"/>
    <n v="3"/>
    <s v="Good"/>
    <n v="27"/>
    <x v="2"/>
    <x v="13"/>
    <n v="350"/>
    <n v="9"/>
    <n v="3150"/>
    <n v="350"/>
    <n v="1.2"/>
    <x v="1"/>
    <n v="0"/>
    <n v="0"/>
    <n v="0"/>
    <n v="0"/>
  </r>
  <r>
    <s v="CUST0325"/>
    <s v="Tunde Terry"/>
    <d v="2025-01-25T00:00:00"/>
    <n v="74"/>
    <x v="3"/>
    <x v="12"/>
    <s v="4G Router"/>
    <x v="1"/>
    <n v="5"/>
    <s v="Excellent"/>
    <n v="35"/>
    <x v="2"/>
    <x v="0"/>
    <n v="35000"/>
    <n v="15"/>
    <n v="525000"/>
    <n v="35000"/>
    <n v="91.02"/>
    <x v="1"/>
    <n v="0"/>
    <n v="0"/>
    <n v="0"/>
    <n v="0"/>
  </r>
  <r>
    <s v="CUST0326"/>
    <s v="Chinedu Krueger"/>
    <d v="2025-02-25T00:00:00"/>
    <n v="16"/>
    <x v="1"/>
    <x v="7"/>
    <s v="Mobile SIM Card"/>
    <x v="1"/>
    <n v="1"/>
    <s v="Poor"/>
    <n v="40"/>
    <x v="2"/>
    <x v="16"/>
    <n v="900"/>
    <n v="20"/>
    <n v="18000"/>
    <n v="900"/>
    <n v="133.57"/>
    <x v="0"/>
    <n v="1"/>
    <n v="0"/>
    <n v="0"/>
    <n v="0"/>
  </r>
  <r>
    <s v="CUST0327"/>
    <s v="Maryam Rhodes"/>
    <d v="2025-02-25T00:00:00"/>
    <n v="58"/>
    <x v="3"/>
    <x v="33"/>
    <s v="4G Router"/>
    <x v="0"/>
    <n v="2"/>
    <s v="Fair"/>
    <n v="7"/>
    <x v="3"/>
    <x v="9"/>
    <n v="16000"/>
    <n v="10"/>
    <n v="160000"/>
    <n v="16000"/>
    <n v="19.079999999999998"/>
    <x v="0"/>
    <n v="1"/>
    <n v="0"/>
    <n v="0"/>
    <n v="0"/>
  </r>
  <r>
    <s v="CUST0327"/>
    <s v="Maryam Rhodes"/>
    <d v="2025-02-25T00:00:00"/>
    <n v="58"/>
    <x v="3"/>
    <x v="33"/>
    <s v="Mobile SIM Card"/>
    <x v="0"/>
    <n v="2"/>
    <s v="Fair"/>
    <n v="7"/>
    <x v="3"/>
    <x v="7"/>
    <n v="3500"/>
    <n v="13"/>
    <n v="45500"/>
    <n v="3500"/>
    <n v="74.03"/>
    <x v="0"/>
    <n v="1"/>
    <n v="0"/>
    <n v="0"/>
    <n v="0"/>
  </r>
  <r>
    <s v="CUST0327"/>
    <s v="Maryam Rhodes"/>
    <d v="2025-02-25T00:00:00"/>
    <n v="58"/>
    <x v="3"/>
    <x v="33"/>
    <s v="5G Broadband Router"/>
    <x v="0"/>
    <n v="2"/>
    <s v="Fair"/>
    <n v="7"/>
    <x v="3"/>
    <x v="2"/>
    <n v="20000"/>
    <n v="18"/>
    <n v="360000"/>
    <n v="20000"/>
    <n v="151.81"/>
    <x v="0"/>
    <n v="1"/>
    <n v="0"/>
    <n v="0"/>
    <n v="0"/>
  </r>
  <r>
    <s v="CUST0328"/>
    <s v="Kunle Liu"/>
    <d v="2025-03-25T00:00:00"/>
    <n v="53"/>
    <x v="4"/>
    <x v="31"/>
    <s v="4G Router"/>
    <x v="0"/>
    <n v="3"/>
    <s v="Good"/>
    <n v="8"/>
    <x v="3"/>
    <x v="9"/>
    <n v="16000"/>
    <n v="17"/>
    <n v="272000"/>
    <n v="16000"/>
    <n v="22.31"/>
    <x v="1"/>
    <n v="0"/>
    <n v="0"/>
    <n v="0"/>
    <n v="0"/>
  </r>
  <r>
    <s v="CUST0328"/>
    <s v="Kunle Liu"/>
    <d v="2025-03-25T00:00:00"/>
    <n v="53"/>
    <x v="4"/>
    <x v="31"/>
    <s v="5G Broadband Router"/>
    <x v="0"/>
    <n v="3"/>
    <s v="Good"/>
    <n v="8"/>
    <x v="3"/>
    <x v="2"/>
    <n v="20000"/>
    <n v="20"/>
    <n v="400000"/>
    <n v="20000"/>
    <n v="96.99"/>
    <x v="1"/>
    <n v="0"/>
    <n v="0"/>
    <n v="0"/>
    <n v="0"/>
  </r>
  <r>
    <s v="CUST0328"/>
    <s v="Kunle Liu"/>
    <d v="2025-03-25T00:00:00"/>
    <n v="53"/>
    <x v="4"/>
    <x v="31"/>
    <s v="Broadband MiFi"/>
    <x v="0"/>
    <n v="3"/>
    <s v="Good"/>
    <n v="8"/>
    <x v="3"/>
    <x v="11"/>
    <n v="30000"/>
    <n v="11"/>
    <n v="330000"/>
    <n v="30000"/>
    <n v="85.7"/>
    <x v="1"/>
    <n v="0"/>
    <n v="0"/>
    <n v="0"/>
    <n v="0"/>
  </r>
  <r>
    <s v="CUST0329"/>
    <s v="Saidu Anderson"/>
    <d v="2025-02-25T00:00:00"/>
    <n v="61"/>
    <x v="3"/>
    <x v="21"/>
    <s v="4G Router"/>
    <x v="1"/>
    <n v="4"/>
    <s v="Very Good"/>
    <n v="34"/>
    <x v="2"/>
    <x v="5"/>
    <n v="4500"/>
    <n v="1"/>
    <n v="4500"/>
    <n v="4500"/>
    <n v="0.82"/>
    <x v="1"/>
    <n v="0"/>
    <n v="0"/>
    <n v="0"/>
    <n v="0"/>
  </r>
  <r>
    <s v="CUST0329"/>
    <s v="Saidu Anderson"/>
    <d v="2025-02-25T00:00:00"/>
    <n v="61"/>
    <x v="3"/>
    <x v="21"/>
    <s v="5G Broadband Router"/>
    <x v="1"/>
    <n v="4"/>
    <s v="Very Good"/>
    <n v="34"/>
    <x v="2"/>
    <x v="8"/>
    <n v="150000"/>
    <n v="4"/>
    <n v="600000"/>
    <n v="150000"/>
    <n v="125.28"/>
    <x v="1"/>
    <n v="0"/>
    <n v="0"/>
    <n v="0"/>
    <n v="0"/>
  </r>
  <r>
    <s v="CUST0329"/>
    <s v="Saidu Anderson"/>
    <d v="2025-02-25T00:00:00"/>
    <n v="61"/>
    <x v="3"/>
    <x v="21"/>
    <s v="Mobile SIM Card"/>
    <x v="1"/>
    <n v="4"/>
    <s v="Very Good"/>
    <n v="34"/>
    <x v="2"/>
    <x v="13"/>
    <n v="350"/>
    <n v="14"/>
    <n v="4900"/>
    <n v="350"/>
    <n v="160.01"/>
    <x v="1"/>
    <n v="0"/>
    <n v="0"/>
    <n v="0"/>
    <n v="0"/>
  </r>
  <r>
    <s v="CUST0330"/>
    <s v="Ibim Harrison"/>
    <d v="2025-02-25T00:00:00"/>
    <n v="21"/>
    <x v="1"/>
    <x v="26"/>
    <s v="5G Broadband Router"/>
    <x v="1"/>
    <n v="1"/>
    <s v="Poor"/>
    <n v="36"/>
    <x v="2"/>
    <x v="10"/>
    <n v="24000"/>
    <n v="18"/>
    <n v="432000"/>
    <n v="24000"/>
    <n v="60.41"/>
    <x v="1"/>
    <n v="0"/>
    <n v="0"/>
    <n v="0"/>
    <n v="0"/>
  </r>
  <r>
    <s v="CUST0330"/>
    <s v="Ibim Harrison"/>
    <d v="2025-02-25T00:00:00"/>
    <n v="21"/>
    <x v="1"/>
    <x v="26"/>
    <s v="4G Router"/>
    <x v="1"/>
    <n v="1"/>
    <s v="Poor"/>
    <n v="36"/>
    <x v="2"/>
    <x v="6"/>
    <n v="9000"/>
    <n v="4"/>
    <n v="36000"/>
    <n v="9000"/>
    <n v="153.52000000000001"/>
    <x v="1"/>
    <n v="0"/>
    <n v="0"/>
    <n v="0"/>
    <n v="0"/>
  </r>
  <r>
    <s v="CUST0330"/>
    <s v="Ibim Harrison"/>
    <d v="2025-02-25T00:00:00"/>
    <n v="21"/>
    <x v="1"/>
    <x v="26"/>
    <s v="Broadband MiFi"/>
    <x v="1"/>
    <n v="1"/>
    <s v="Poor"/>
    <n v="36"/>
    <x v="2"/>
    <x v="11"/>
    <n v="30000"/>
    <n v="19"/>
    <n v="570000"/>
    <n v="30000"/>
    <n v="68.599999999999994"/>
    <x v="1"/>
    <n v="0"/>
    <n v="0"/>
    <n v="0"/>
    <n v="0"/>
  </r>
  <r>
    <s v="CUST0331"/>
    <s v="Funke Francis"/>
    <d v="2025-03-25T00:00:00"/>
    <n v="38"/>
    <x v="2"/>
    <x v="18"/>
    <s v="4G Router"/>
    <x v="1"/>
    <n v="4"/>
    <s v="Very Good"/>
    <n v="54"/>
    <x v="2"/>
    <x v="0"/>
    <n v="35000"/>
    <n v="15"/>
    <n v="525000"/>
    <n v="35000"/>
    <n v="31.5"/>
    <x v="1"/>
    <n v="0"/>
    <n v="0"/>
    <n v="0"/>
    <n v="0"/>
  </r>
  <r>
    <s v="CUST0332"/>
    <s v="David Ward"/>
    <d v="2025-01-25T00:00:00"/>
    <n v="58"/>
    <x v="3"/>
    <x v="2"/>
    <s v="5G Broadband Router"/>
    <x v="1"/>
    <n v="5"/>
    <s v="Excellent"/>
    <n v="60"/>
    <x v="2"/>
    <x v="12"/>
    <n v="14500"/>
    <n v="11"/>
    <n v="159500"/>
    <n v="14500"/>
    <n v="115.69"/>
    <x v="0"/>
    <n v="1"/>
    <n v="0"/>
    <n v="0"/>
    <n v="0"/>
  </r>
  <r>
    <s v="CUST0332"/>
    <s v="David Ward"/>
    <d v="2025-01-25T00:00:00"/>
    <n v="58"/>
    <x v="3"/>
    <x v="2"/>
    <s v="Mobile SIM Card"/>
    <x v="1"/>
    <n v="5"/>
    <s v="Excellent"/>
    <n v="60"/>
    <x v="2"/>
    <x v="7"/>
    <n v="3500"/>
    <n v="5"/>
    <n v="17500"/>
    <n v="3500"/>
    <n v="13.71"/>
    <x v="0"/>
    <n v="1"/>
    <n v="0"/>
    <n v="0"/>
    <n v="0"/>
  </r>
  <r>
    <s v="CUST0332"/>
    <s v="David Ward"/>
    <d v="2025-01-25T00:00:00"/>
    <n v="58"/>
    <x v="3"/>
    <x v="2"/>
    <s v="Broadband MiFi"/>
    <x v="1"/>
    <n v="5"/>
    <s v="Excellent"/>
    <n v="60"/>
    <x v="2"/>
    <x v="11"/>
    <n v="30000"/>
    <n v="11"/>
    <n v="330000"/>
    <n v="30000"/>
    <n v="168.23"/>
    <x v="0"/>
    <n v="1"/>
    <n v="0"/>
    <n v="0"/>
    <n v="0"/>
  </r>
  <r>
    <s v="CUST0333"/>
    <s v="Omamuzo Miller"/>
    <d v="2025-01-25T00:00:00"/>
    <n v="37"/>
    <x v="2"/>
    <x v="6"/>
    <s v="Broadband MiFi"/>
    <x v="0"/>
    <n v="3"/>
    <s v="Good"/>
    <n v="39"/>
    <x v="2"/>
    <x v="12"/>
    <n v="14500"/>
    <n v="8"/>
    <n v="116000"/>
    <n v="14500"/>
    <n v="17.82"/>
    <x v="1"/>
    <n v="0"/>
    <n v="0"/>
    <n v="0"/>
    <n v="0"/>
  </r>
  <r>
    <s v="CUST0333"/>
    <s v="Omamuzo Miller"/>
    <d v="2025-01-25T00:00:00"/>
    <n v="37"/>
    <x v="2"/>
    <x v="6"/>
    <s v="4G Router"/>
    <x v="0"/>
    <n v="3"/>
    <s v="Good"/>
    <n v="39"/>
    <x v="2"/>
    <x v="6"/>
    <n v="9000"/>
    <n v="10"/>
    <n v="90000"/>
    <n v="9000"/>
    <n v="90.66"/>
    <x v="1"/>
    <n v="0"/>
    <n v="0"/>
    <n v="0"/>
    <n v="0"/>
  </r>
  <r>
    <s v="CUST0334"/>
    <s v="Fatima Carter"/>
    <d v="2025-01-25T00:00:00"/>
    <n v="54"/>
    <x v="4"/>
    <x v="20"/>
    <s v="Broadband MiFi"/>
    <x v="0"/>
    <n v="2"/>
    <s v="Fair"/>
    <n v="24"/>
    <x v="1"/>
    <x v="10"/>
    <n v="24000"/>
    <n v="11"/>
    <n v="264000"/>
    <n v="24000"/>
    <n v="31.24"/>
    <x v="1"/>
    <n v="0"/>
    <n v="0"/>
    <n v="0"/>
    <n v="0"/>
  </r>
  <r>
    <s v="CUST0334"/>
    <s v="Fatima Carter"/>
    <d v="2025-01-25T00:00:00"/>
    <n v="54"/>
    <x v="4"/>
    <x v="20"/>
    <s v="4G Router"/>
    <x v="0"/>
    <n v="2"/>
    <s v="Fair"/>
    <n v="24"/>
    <x v="1"/>
    <x v="0"/>
    <n v="35000"/>
    <n v="17"/>
    <n v="595000"/>
    <n v="35000"/>
    <n v="146.62"/>
    <x v="1"/>
    <n v="0"/>
    <n v="0"/>
    <n v="0"/>
    <n v="0"/>
  </r>
  <r>
    <s v="CUST0335"/>
    <s v="Maryam Patterson"/>
    <d v="2025-02-25T00:00:00"/>
    <n v="57"/>
    <x v="3"/>
    <x v="5"/>
    <s v="Mobile SIM Card"/>
    <x v="0"/>
    <n v="2"/>
    <s v="Fair"/>
    <n v="53"/>
    <x v="2"/>
    <x v="20"/>
    <n v="6500"/>
    <n v="10"/>
    <n v="65000"/>
    <n v="6500"/>
    <n v="23.61"/>
    <x v="1"/>
    <n v="0"/>
    <n v="0"/>
    <n v="0"/>
    <n v="0"/>
  </r>
  <r>
    <s v="CUST0335"/>
    <s v="Maryam Patterson"/>
    <d v="2025-02-25T00:00:00"/>
    <n v="57"/>
    <x v="3"/>
    <x v="5"/>
    <s v="5G Broadband Router"/>
    <x v="0"/>
    <n v="2"/>
    <s v="Fair"/>
    <n v="53"/>
    <x v="2"/>
    <x v="4"/>
    <n v="9000"/>
    <n v="20"/>
    <n v="180000"/>
    <n v="9000"/>
    <n v="137.57"/>
    <x v="1"/>
    <n v="0"/>
    <n v="0"/>
    <n v="0"/>
    <n v="0"/>
  </r>
  <r>
    <s v="CUST0336"/>
    <s v="Chinedu Reynolds"/>
    <d v="2025-03-25T00:00:00"/>
    <n v="58"/>
    <x v="3"/>
    <x v="2"/>
    <s v="4G Router"/>
    <x v="0"/>
    <n v="1"/>
    <s v="Poor"/>
    <n v="7"/>
    <x v="3"/>
    <x v="5"/>
    <n v="4500"/>
    <n v="9"/>
    <n v="40500"/>
    <n v="4500"/>
    <n v="38.909999999999997"/>
    <x v="1"/>
    <n v="0"/>
    <n v="0"/>
    <n v="0"/>
    <n v="0"/>
  </r>
  <r>
    <s v="CUST0336"/>
    <s v="Chinedu Reynolds"/>
    <d v="2025-03-25T00:00:00"/>
    <n v="58"/>
    <x v="3"/>
    <x v="2"/>
    <s v="Mobile SIM Card"/>
    <x v="0"/>
    <n v="1"/>
    <s v="Poor"/>
    <n v="7"/>
    <x v="3"/>
    <x v="20"/>
    <n v="6500"/>
    <n v="15"/>
    <n v="97500"/>
    <n v="6500"/>
    <n v="64.17"/>
    <x v="1"/>
    <n v="0"/>
    <n v="0"/>
    <n v="0"/>
    <n v="0"/>
  </r>
  <r>
    <s v="CUST0337"/>
    <s v="Ifeanyi Cunningham"/>
    <d v="2025-01-25T00:00:00"/>
    <n v="50"/>
    <x v="4"/>
    <x v="5"/>
    <s v="Broadband MiFi"/>
    <x v="0"/>
    <n v="1"/>
    <s v="Poor"/>
    <n v="18"/>
    <x v="1"/>
    <x v="10"/>
    <n v="24000"/>
    <n v="5"/>
    <n v="120000"/>
    <n v="24000"/>
    <n v="64.040000000000006"/>
    <x v="1"/>
    <n v="0"/>
    <n v="0"/>
    <n v="0"/>
    <n v="0"/>
  </r>
  <r>
    <s v="CUST0337"/>
    <s v="Ifeanyi Cunningham"/>
    <d v="2025-01-25T00:00:00"/>
    <n v="50"/>
    <x v="4"/>
    <x v="5"/>
    <s v="Mobile SIM Card"/>
    <x v="0"/>
    <n v="1"/>
    <s v="Poor"/>
    <n v="18"/>
    <x v="1"/>
    <x v="3"/>
    <n v="500"/>
    <n v="6"/>
    <n v="3000"/>
    <n v="500"/>
    <n v="115.03"/>
    <x v="1"/>
    <n v="0"/>
    <n v="0"/>
    <n v="0"/>
    <n v="0"/>
  </r>
  <r>
    <s v="CUST0337"/>
    <s v="Ifeanyi Cunningham"/>
    <d v="2025-01-25T00:00:00"/>
    <n v="50"/>
    <x v="4"/>
    <x v="5"/>
    <s v="4G Router"/>
    <x v="0"/>
    <n v="1"/>
    <s v="Poor"/>
    <n v="18"/>
    <x v="1"/>
    <x v="9"/>
    <n v="16000"/>
    <n v="11"/>
    <n v="176000"/>
    <n v="16000"/>
    <n v="62.62"/>
    <x v="1"/>
    <n v="0"/>
    <n v="0"/>
    <n v="0"/>
    <n v="0"/>
  </r>
  <r>
    <s v="CUST0338"/>
    <s v="David Crosby"/>
    <d v="2025-02-25T00:00:00"/>
    <n v="72"/>
    <x v="3"/>
    <x v="4"/>
    <s v="Mobile SIM Card"/>
    <x v="0"/>
    <n v="1"/>
    <s v="Poor"/>
    <n v="2"/>
    <x v="0"/>
    <x v="15"/>
    <n v="7500"/>
    <n v="20"/>
    <n v="150000"/>
    <n v="7500"/>
    <n v="36.21"/>
    <x v="0"/>
    <n v="1"/>
    <n v="0"/>
    <n v="0"/>
    <n v="0"/>
  </r>
  <r>
    <s v="CUST0339"/>
    <s v="Alabo Davis"/>
    <d v="2025-02-25T00:00:00"/>
    <n v="61"/>
    <x v="3"/>
    <x v="24"/>
    <s v="4G Router"/>
    <x v="1"/>
    <n v="5"/>
    <s v="Excellent"/>
    <n v="53"/>
    <x v="2"/>
    <x v="0"/>
    <n v="35000"/>
    <n v="10"/>
    <n v="350000"/>
    <n v="35000"/>
    <n v="19.899999999999999"/>
    <x v="0"/>
    <n v="1"/>
    <n v="0"/>
    <n v="0"/>
    <n v="0"/>
  </r>
  <r>
    <s v="CUST0339"/>
    <s v="Alabo Davis"/>
    <d v="2025-02-25T00:00:00"/>
    <n v="61"/>
    <x v="3"/>
    <x v="24"/>
    <s v="Broadband MiFi"/>
    <x v="1"/>
    <n v="5"/>
    <s v="Excellent"/>
    <n v="53"/>
    <x v="2"/>
    <x v="12"/>
    <n v="14500"/>
    <n v="8"/>
    <n v="116000"/>
    <n v="14500"/>
    <n v="94.37"/>
    <x v="0"/>
    <n v="1"/>
    <n v="0"/>
    <n v="0"/>
    <n v="0"/>
  </r>
  <r>
    <s v="CUST0340"/>
    <s v="Obinna Thomas"/>
    <d v="2025-03-25T00:00:00"/>
    <n v="49"/>
    <x v="4"/>
    <x v="3"/>
    <s v="Broadband MiFi"/>
    <x v="1"/>
    <n v="3"/>
    <s v="Good"/>
    <n v="12"/>
    <x v="3"/>
    <x v="12"/>
    <n v="14500"/>
    <n v="16"/>
    <n v="232000"/>
    <n v="14500"/>
    <n v="23.02"/>
    <x v="1"/>
    <n v="0"/>
    <n v="0"/>
    <n v="0"/>
    <n v="0"/>
  </r>
  <r>
    <s v="CUST0341"/>
    <s v="Zina Valenzuela"/>
    <d v="2025-02-25T00:00:00"/>
    <n v="37"/>
    <x v="2"/>
    <x v="14"/>
    <s v="Broadband MiFi"/>
    <x v="1"/>
    <n v="5"/>
    <s v="Excellent"/>
    <n v="39"/>
    <x v="2"/>
    <x v="11"/>
    <n v="30000"/>
    <n v="13"/>
    <n v="390000"/>
    <n v="30000"/>
    <n v="106.78"/>
    <x v="0"/>
    <n v="1"/>
    <n v="0"/>
    <n v="0"/>
    <n v="0"/>
  </r>
  <r>
    <s v="CUST0341"/>
    <s v="Zina Valenzuela"/>
    <d v="2025-02-25T00:00:00"/>
    <n v="37"/>
    <x v="2"/>
    <x v="14"/>
    <s v="4G Router"/>
    <x v="1"/>
    <n v="5"/>
    <s v="Excellent"/>
    <n v="39"/>
    <x v="2"/>
    <x v="0"/>
    <n v="35000"/>
    <n v="8"/>
    <n v="280000"/>
    <n v="35000"/>
    <n v="48.1"/>
    <x v="0"/>
    <n v="1"/>
    <n v="0"/>
    <n v="0"/>
    <n v="0"/>
  </r>
  <r>
    <s v="CUST0341"/>
    <s v="Zina Valenzuela"/>
    <d v="2025-02-25T00:00:00"/>
    <n v="37"/>
    <x v="2"/>
    <x v="14"/>
    <s v="Mobile SIM Card"/>
    <x v="1"/>
    <n v="5"/>
    <s v="Excellent"/>
    <n v="39"/>
    <x v="2"/>
    <x v="20"/>
    <n v="6500"/>
    <n v="16"/>
    <n v="104000"/>
    <n v="6500"/>
    <n v="32.22"/>
    <x v="0"/>
    <n v="1"/>
    <n v="0"/>
    <n v="0"/>
    <n v="0"/>
  </r>
  <r>
    <s v="CUST0342"/>
    <s v="Omamuzo Holmes"/>
    <d v="2025-02-25T00:00:00"/>
    <n v="24"/>
    <x v="1"/>
    <x v="26"/>
    <s v="4G Router"/>
    <x v="0"/>
    <n v="4"/>
    <s v="Very Good"/>
    <n v="53"/>
    <x v="2"/>
    <x v="9"/>
    <n v="16000"/>
    <n v="19"/>
    <n v="304000"/>
    <n v="16000"/>
    <n v="148"/>
    <x v="1"/>
    <n v="0"/>
    <n v="0"/>
    <n v="0"/>
    <n v="0"/>
  </r>
  <r>
    <s v="CUST0342"/>
    <s v="Omamuzo Holmes"/>
    <d v="2025-02-25T00:00:00"/>
    <n v="24"/>
    <x v="1"/>
    <x v="26"/>
    <s v="Broadband MiFi"/>
    <x v="0"/>
    <n v="4"/>
    <s v="Very Good"/>
    <n v="53"/>
    <x v="2"/>
    <x v="12"/>
    <n v="14500"/>
    <n v="20"/>
    <n v="290000"/>
    <n v="14500"/>
    <n v="23.31"/>
    <x v="1"/>
    <n v="0"/>
    <n v="0"/>
    <n v="0"/>
    <n v="0"/>
  </r>
  <r>
    <s v="CUST0343"/>
    <s v="Zina Diaz"/>
    <d v="2025-03-25T00:00:00"/>
    <n v="57"/>
    <x v="3"/>
    <x v="13"/>
    <s v="Mobile SIM Card"/>
    <x v="1"/>
    <n v="4"/>
    <s v="Very Good"/>
    <n v="12"/>
    <x v="3"/>
    <x v="16"/>
    <n v="900"/>
    <n v="5"/>
    <n v="4500"/>
    <n v="900"/>
    <n v="18.559999999999999"/>
    <x v="0"/>
    <n v="1"/>
    <n v="0"/>
    <n v="0"/>
    <n v="0"/>
  </r>
  <r>
    <s v="CUST0343"/>
    <s v="Zina Diaz"/>
    <d v="2025-03-25T00:00:00"/>
    <n v="57"/>
    <x v="3"/>
    <x v="13"/>
    <s v="4G Router"/>
    <x v="1"/>
    <n v="4"/>
    <s v="Very Good"/>
    <n v="12"/>
    <x v="3"/>
    <x v="9"/>
    <n v="16000"/>
    <n v="5"/>
    <n v="80000"/>
    <n v="16000"/>
    <n v="151.54"/>
    <x v="0"/>
    <n v="1"/>
    <n v="0"/>
    <n v="0"/>
    <n v="0"/>
  </r>
  <r>
    <s v="CUST0343"/>
    <s v="Zina Diaz"/>
    <d v="2025-03-25T00:00:00"/>
    <n v="57"/>
    <x v="3"/>
    <x v="13"/>
    <s v="5G Broadband Router"/>
    <x v="1"/>
    <n v="4"/>
    <s v="Very Good"/>
    <n v="12"/>
    <x v="3"/>
    <x v="8"/>
    <n v="150000"/>
    <n v="13"/>
    <n v="1950000"/>
    <n v="150000"/>
    <n v="106.49"/>
    <x v="0"/>
    <n v="1"/>
    <n v="0"/>
    <n v="0"/>
    <n v="0"/>
  </r>
  <r>
    <s v="CUST0344"/>
    <s v="Alabo Baker"/>
    <d v="2025-03-25T00:00:00"/>
    <n v="41"/>
    <x v="2"/>
    <x v="9"/>
    <s v="Broadband MiFi"/>
    <x v="1"/>
    <n v="4"/>
    <s v="Very Good"/>
    <n v="20"/>
    <x v="1"/>
    <x v="4"/>
    <n v="9000"/>
    <n v="17"/>
    <n v="153000"/>
    <n v="9000"/>
    <n v="122.49"/>
    <x v="1"/>
    <n v="0"/>
    <n v="0"/>
    <n v="0"/>
    <n v="0"/>
  </r>
  <r>
    <s v="CUST0344"/>
    <s v="Alabo Baker"/>
    <d v="2025-03-25T00:00:00"/>
    <n v="41"/>
    <x v="2"/>
    <x v="9"/>
    <s v="5G Broadband Router"/>
    <x v="1"/>
    <n v="4"/>
    <s v="Very Good"/>
    <n v="20"/>
    <x v="1"/>
    <x v="17"/>
    <n v="75000"/>
    <n v="10"/>
    <n v="750000"/>
    <n v="75000"/>
    <n v="169.6"/>
    <x v="1"/>
    <n v="0"/>
    <n v="0"/>
    <n v="0"/>
    <n v="0"/>
  </r>
  <r>
    <s v="CUST0345"/>
    <s v="Sade Mercer"/>
    <d v="2025-03-25T00:00:00"/>
    <n v="63"/>
    <x v="3"/>
    <x v="4"/>
    <s v="4G Router"/>
    <x v="0"/>
    <n v="1"/>
    <s v="Poor"/>
    <n v="46"/>
    <x v="2"/>
    <x v="0"/>
    <n v="35000"/>
    <n v="13"/>
    <n v="455000"/>
    <n v="35000"/>
    <n v="140.59"/>
    <x v="1"/>
    <n v="0"/>
    <n v="0"/>
    <n v="0"/>
    <n v="0"/>
  </r>
  <r>
    <s v="CUST0346"/>
    <s v="Ese Harper"/>
    <d v="2025-02-25T00:00:00"/>
    <n v="64"/>
    <x v="3"/>
    <x v="10"/>
    <s v="Mobile SIM Card"/>
    <x v="1"/>
    <n v="2"/>
    <s v="Fair"/>
    <n v="28"/>
    <x v="2"/>
    <x v="7"/>
    <n v="3500"/>
    <n v="5"/>
    <n v="17500"/>
    <n v="3500"/>
    <n v="168.07"/>
    <x v="1"/>
    <n v="0"/>
    <n v="0"/>
    <n v="0"/>
    <n v="0"/>
  </r>
  <r>
    <s v="CUST0347"/>
    <s v="Abubakar Mcknight"/>
    <d v="2025-01-25T00:00:00"/>
    <n v="32"/>
    <x v="0"/>
    <x v="21"/>
    <s v="Mobile SIM Card"/>
    <x v="0"/>
    <n v="2"/>
    <s v="Fair"/>
    <n v="5"/>
    <x v="0"/>
    <x v="14"/>
    <n v="1000"/>
    <n v="14"/>
    <n v="14000"/>
    <n v="1000"/>
    <n v="27.88"/>
    <x v="1"/>
    <n v="0"/>
    <n v="0"/>
    <n v="0"/>
    <n v="0"/>
  </r>
  <r>
    <s v="CUST0347"/>
    <s v="Abubakar Mcknight"/>
    <d v="2025-01-25T00:00:00"/>
    <n v="32"/>
    <x v="0"/>
    <x v="21"/>
    <s v="Broadband MiFi"/>
    <x v="0"/>
    <n v="2"/>
    <s v="Fair"/>
    <n v="5"/>
    <x v="0"/>
    <x v="12"/>
    <n v="14500"/>
    <n v="20"/>
    <n v="290000"/>
    <n v="14500"/>
    <n v="178.77"/>
    <x v="1"/>
    <n v="0"/>
    <n v="0"/>
    <n v="0"/>
    <n v="0"/>
  </r>
  <r>
    <s v="CUST0348"/>
    <s v="Boma Anderson"/>
    <d v="2025-02-25T00:00:00"/>
    <n v="39"/>
    <x v="2"/>
    <x v="2"/>
    <s v="Mobile SIM Card"/>
    <x v="1"/>
    <n v="4"/>
    <s v="Very Good"/>
    <n v="36"/>
    <x v="2"/>
    <x v="16"/>
    <n v="900"/>
    <n v="8"/>
    <n v="7200"/>
    <n v="900"/>
    <n v="115.8"/>
    <x v="1"/>
    <n v="0"/>
    <n v="0"/>
    <n v="0"/>
    <n v="0"/>
  </r>
  <r>
    <s v="CUST0349"/>
    <s v="Michael Smith"/>
    <d v="2025-01-25T00:00:00"/>
    <n v="50"/>
    <x v="4"/>
    <x v="15"/>
    <s v="Broadband MiFi"/>
    <x v="1"/>
    <n v="5"/>
    <s v="Excellent"/>
    <n v="3"/>
    <x v="0"/>
    <x v="12"/>
    <n v="14500"/>
    <n v="3"/>
    <n v="43500"/>
    <n v="14500"/>
    <n v="192.37"/>
    <x v="1"/>
    <n v="0"/>
    <n v="0"/>
    <n v="0"/>
    <n v="0"/>
  </r>
  <r>
    <s v="CUST0349"/>
    <s v="Michael Smith"/>
    <d v="2025-01-25T00:00:00"/>
    <n v="50"/>
    <x v="4"/>
    <x v="15"/>
    <s v="5G Broadband Router"/>
    <x v="1"/>
    <n v="5"/>
    <s v="Excellent"/>
    <n v="3"/>
    <x v="0"/>
    <x v="11"/>
    <n v="30000"/>
    <n v="17"/>
    <n v="510000"/>
    <n v="30000"/>
    <n v="146.16999999999999"/>
    <x v="1"/>
    <n v="0"/>
    <n v="0"/>
    <n v="0"/>
    <n v="0"/>
  </r>
  <r>
    <s v="CUST0350"/>
    <s v="Zainab Compton"/>
    <d v="2025-01-25T00:00:00"/>
    <n v="75"/>
    <x v="3"/>
    <x v="8"/>
    <s v="Broadband MiFi"/>
    <x v="0"/>
    <n v="2"/>
    <s v="Fair"/>
    <n v="34"/>
    <x v="2"/>
    <x v="10"/>
    <n v="24000"/>
    <n v="11"/>
    <n v="264000"/>
    <n v="24000"/>
    <n v="11.03"/>
    <x v="1"/>
    <n v="0"/>
    <n v="0"/>
    <n v="0"/>
    <n v="0"/>
  </r>
  <r>
    <s v="CUST0350"/>
    <s v="Zainab Compton"/>
    <d v="2025-01-25T00:00:00"/>
    <n v="75"/>
    <x v="3"/>
    <x v="8"/>
    <s v="5G Broadband Router"/>
    <x v="0"/>
    <n v="2"/>
    <s v="Fair"/>
    <n v="34"/>
    <x v="2"/>
    <x v="4"/>
    <n v="9000"/>
    <n v="17"/>
    <n v="153000"/>
    <n v="9000"/>
    <n v="94.04"/>
    <x v="1"/>
    <n v="0"/>
    <n v="0"/>
    <n v="0"/>
    <n v="0"/>
  </r>
  <r>
    <s v="CUST0350"/>
    <s v="Zainab Compton"/>
    <d v="2025-01-25T00:00:00"/>
    <n v="75"/>
    <x v="3"/>
    <x v="8"/>
    <s v="4G Router"/>
    <x v="0"/>
    <n v="2"/>
    <s v="Fair"/>
    <n v="34"/>
    <x v="2"/>
    <x v="0"/>
    <n v="35000"/>
    <n v="11"/>
    <n v="385000"/>
    <n v="35000"/>
    <n v="115.01"/>
    <x v="1"/>
    <n v="0"/>
    <n v="0"/>
    <n v="0"/>
    <n v="0"/>
  </r>
  <r>
    <s v="CUST0351"/>
    <s v="Ibim Mills"/>
    <d v="2025-01-25T00:00:00"/>
    <n v="61"/>
    <x v="3"/>
    <x v="14"/>
    <s v="5G Broadband Router"/>
    <x v="1"/>
    <n v="5"/>
    <s v="Excellent"/>
    <n v="11"/>
    <x v="3"/>
    <x v="11"/>
    <n v="30000"/>
    <n v="10"/>
    <n v="300000"/>
    <n v="30000"/>
    <n v="114.79"/>
    <x v="1"/>
    <n v="0"/>
    <n v="0"/>
    <n v="0"/>
    <n v="0"/>
  </r>
  <r>
    <s v="CUST0351"/>
    <s v="Ibim Mills"/>
    <d v="2025-01-25T00:00:00"/>
    <n v="61"/>
    <x v="3"/>
    <x v="14"/>
    <s v="Broadband MiFi"/>
    <x v="1"/>
    <n v="5"/>
    <s v="Excellent"/>
    <n v="11"/>
    <x v="3"/>
    <x v="10"/>
    <n v="24000"/>
    <n v="16"/>
    <n v="384000"/>
    <n v="24000"/>
    <n v="5.95"/>
    <x v="1"/>
    <n v="0"/>
    <n v="0"/>
    <n v="0"/>
    <n v="0"/>
  </r>
  <r>
    <s v="CUST0351"/>
    <s v="Ibim Mills"/>
    <d v="2025-01-25T00:00:00"/>
    <n v="61"/>
    <x v="3"/>
    <x v="14"/>
    <s v="4G Router"/>
    <x v="1"/>
    <n v="5"/>
    <s v="Excellent"/>
    <n v="11"/>
    <x v="3"/>
    <x v="9"/>
    <n v="16000"/>
    <n v="3"/>
    <n v="48000"/>
    <n v="16000"/>
    <n v="25.8"/>
    <x v="1"/>
    <n v="0"/>
    <n v="0"/>
    <n v="0"/>
    <n v="0"/>
  </r>
  <r>
    <s v="CUST0352"/>
    <s v="Zainab Rivera"/>
    <d v="2025-03-25T00:00:00"/>
    <n v="48"/>
    <x v="4"/>
    <x v="21"/>
    <s v="4G Router"/>
    <x v="1"/>
    <n v="1"/>
    <s v="Poor"/>
    <n v="18"/>
    <x v="1"/>
    <x v="0"/>
    <n v="35000"/>
    <n v="6"/>
    <n v="210000"/>
    <n v="35000"/>
    <n v="74.27"/>
    <x v="1"/>
    <n v="0"/>
    <n v="0"/>
    <n v="0"/>
    <n v="0"/>
  </r>
  <r>
    <s v="CUST0352"/>
    <s v="Zainab Rivera"/>
    <d v="2025-03-25T00:00:00"/>
    <n v="48"/>
    <x v="4"/>
    <x v="21"/>
    <s v="5G Broadband Router"/>
    <x v="1"/>
    <n v="1"/>
    <s v="Poor"/>
    <n v="18"/>
    <x v="1"/>
    <x v="10"/>
    <n v="24000"/>
    <n v="8"/>
    <n v="192000"/>
    <n v="24000"/>
    <n v="156.61000000000001"/>
    <x v="1"/>
    <n v="0"/>
    <n v="0"/>
    <n v="0"/>
    <n v="0"/>
  </r>
  <r>
    <s v="CUST0352"/>
    <s v="Zainab Rivera"/>
    <d v="2025-03-25T00:00:00"/>
    <n v="48"/>
    <x v="4"/>
    <x v="21"/>
    <s v="Broadband MiFi"/>
    <x v="1"/>
    <n v="1"/>
    <s v="Poor"/>
    <n v="18"/>
    <x v="1"/>
    <x v="12"/>
    <n v="14500"/>
    <n v="17"/>
    <n v="246500"/>
    <n v="14500"/>
    <n v="36.57"/>
    <x v="1"/>
    <n v="0"/>
    <n v="0"/>
    <n v="0"/>
    <n v="0"/>
  </r>
  <r>
    <s v="CUST0353"/>
    <s v="Bola Patterson"/>
    <d v="2025-02-25T00:00:00"/>
    <n v="59"/>
    <x v="3"/>
    <x v="33"/>
    <s v="Mobile SIM Card"/>
    <x v="0"/>
    <n v="4"/>
    <s v="Very Good"/>
    <n v="39"/>
    <x v="2"/>
    <x v="1"/>
    <n v="5500"/>
    <n v="6"/>
    <n v="33000"/>
    <n v="5500"/>
    <n v="145.34"/>
    <x v="1"/>
    <n v="0"/>
    <n v="0"/>
    <n v="0"/>
    <n v="0"/>
  </r>
  <r>
    <s v="CUST0353"/>
    <s v="Bola Patterson"/>
    <d v="2025-02-25T00:00:00"/>
    <n v="59"/>
    <x v="3"/>
    <x v="33"/>
    <s v="Broadband MiFi"/>
    <x v="0"/>
    <n v="4"/>
    <s v="Very Good"/>
    <n v="39"/>
    <x v="2"/>
    <x v="2"/>
    <n v="20000"/>
    <n v="12"/>
    <n v="240000"/>
    <n v="20000"/>
    <n v="115.76"/>
    <x v="1"/>
    <n v="0"/>
    <n v="0"/>
    <n v="0"/>
    <n v="0"/>
  </r>
  <r>
    <s v="CUST0354"/>
    <s v="Sade Brown"/>
    <d v="2025-02-25T00:00:00"/>
    <n v="49"/>
    <x v="4"/>
    <x v="27"/>
    <s v="4G Router"/>
    <x v="0"/>
    <n v="4"/>
    <s v="Very Good"/>
    <n v="11"/>
    <x v="3"/>
    <x v="0"/>
    <n v="35000"/>
    <n v="5"/>
    <n v="175000"/>
    <n v="35000"/>
    <n v="95.18"/>
    <x v="1"/>
    <n v="0"/>
    <n v="0"/>
    <n v="0"/>
    <n v="0"/>
  </r>
  <r>
    <s v="CUST0354"/>
    <s v="Sade Brown"/>
    <d v="2025-02-25T00:00:00"/>
    <n v="49"/>
    <x v="4"/>
    <x v="27"/>
    <s v="Mobile SIM Card"/>
    <x v="0"/>
    <n v="4"/>
    <s v="Very Good"/>
    <n v="11"/>
    <x v="3"/>
    <x v="20"/>
    <n v="6500"/>
    <n v="1"/>
    <n v="6500"/>
    <n v="6500"/>
    <n v="174.12"/>
    <x v="1"/>
    <n v="0"/>
    <n v="0"/>
    <n v="0"/>
    <n v="0"/>
  </r>
  <r>
    <s v="CUST0355"/>
    <s v="Abubakar Martin"/>
    <d v="2025-01-25T00:00:00"/>
    <n v="73"/>
    <x v="3"/>
    <x v="6"/>
    <s v="5G Broadband Router"/>
    <x v="1"/>
    <n v="1"/>
    <s v="Poor"/>
    <n v="34"/>
    <x v="2"/>
    <x v="18"/>
    <n v="25000"/>
    <n v="4"/>
    <n v="100000"/>
    <n v="25000"/>
    <n v="54.43"/>
    <x v="1"/>
    <n v="0"/>
    <n v="0"/>
    <n v="0"/>
    <n v="0"/>
  </r>
  <r>
    <s v="CUST0355"/>
    <s v="Abubakar Martin"/>
    <d v="2025-01-25T00:00:00"/>
    <n v="73"/>
    <x v="3"/>
    <x v="6"/>
    <s v="4G Router"/>
    <x v="1"/>
    <n v="1"/>
    <s v="Poor"/>
    <n v="34"/>
    <x v="2"/>
    <x v="6"/>
    <n v="9000"/>
    <n v="13"/>
    <n v="117000"/>
    <n v="9000"/>
    <n v="131.04"/>
    <x v="1"/>
    <n v="0"/>
    <n v="0"/>
    <n v="0"/>
    <n v="0"/>
  </r>
  <r>
    <s v="CUST0355"/>
    <s v="Abubakar Martin"/>
    <d v="2025-01-25T00:00:00"/>
    <n v="73"/>
    <x v="3"/>
    <x v="6"/>
    <s v="Mobile SIM Card"/>
    <x v="1"/>
    <n v="1"/>
    <s v="Poor"/>
    <n v="34"/>
    <x v="2"/>
    <x v="1"/>
    <n v="5500"/>
    <n v="8"/>
    <n v="44000"/>
    <n v="5500"/>
    <n v="154.74"/>
    <x v="1"/>
    <n v="0"/>
    <n v="0"/>
    <n v="0"/>
    <n v="0"/>
  </r>
  <r>
    <s v="CUST0356"/>
    <s v="Bala Gibson"/>
    <d v="2025-01-25T00:00:00"/>
    <n v="59"/>
    <x v="3"/>
    <x v="20"/>
    <s v="Mobile SIM Card"/>
    <x v="1"/>
    <n v="1"/>
    <s v="Poor"/>
    <n v="36"/>
    <x v="2"/>
    <x v="14"/>
    <n v="1000"/>
    <n v="15"/>
    <n v="15000"/>
    <n v="1000"/>
    <n v="105.29"/>
    <x v="1"/>
    <n v="0"/>
    <n v="0"/>
    <n v="0"/>
    <n v="0"/>
  </r>
  <r>
    <s v="CUST0357"/>
    <s v="Oghene Winters"/>
    <d v="2025-01-25T00:00:00"/>
    <n v="44"/>
    <x v="2"/>
    <x v="14"/>
    <s v="4G Router"/>
    <x v="1"/>
    <n v="1"/>
    <s v="Poor"/>
    <n v="13"/>
    <x v="1"/>
    <x v="9"/>
    <n v="16000"/>
    <n v="4"/>
    <n v="64000"/>
    <n v="16000"/>
    <n v="141.76"/>
    <x v="1"/>
    <n v="0"/>
    <n v="0"/>
    <n v="0"/>
    <n v="0"/>
  </r>
  <r>
    <s v="CUST0358"/>
    <s v="Chinedu Smith"/>
    <d v="2025-01-25T00:00:00"/>
    <n v="32"/>
    <x v="0"/>
    <x v="6"/>
    <s v="Broadband MiFi"/>
    <x v="0"/>
    <n v="2"/>
    <s v="Fair"/>
    <n v="58"/>
    <x v="2"/>
    <x v="11"/>
    <n v="30000"/>
    <n v="11"/>
    <n v="330000"/>
    <n v="30000"/>
    <n v="153.99"/>
    <x v="0"/>
    <n v="1"/>
    <n v="0"/>
    <n v="0"/>
    <n v="0"/>
  </r>
  <r>
    <s v="CUST0358"/>
    <s v="Chinedu Smith"/>
    <d v="2025-01-25T00:00:00"/>
    <n v="32"/>
    <x v="0"/>
    <x v="6"/>
    <s v="5G Broadband Router"/>
    <x v="0"/>
    <n v="2"/>
    <s v="Fair"/>
    <n v="58"/>
    <x v="2"/>
    <x v="10"/>
    <n v="24000"/>
    <n v="3"/>
    <n v="72000"/>
    <n v="24000"/>
    <n v="32.81"/>
    <x v="0"/>
    <n v="1"/>
    <n v="0"/>
    <n v="0"/>
    <n v="0"/>
  </r>
  <r>
    <s v="CUST0358"/>
    <s v="Chinedu Smith"/>
    <d v="2025-01-25T00:00:00"/>
    <n v="32"/>
    <x v="0"/>
    <x v="6"/>
    <s v="4G Router"/>
    <x v="0"/>
    <n v="2"/>
    <s v="Fair"/>
    <n v="58"/>
    <x v="2"/>
    <x v="6"/>
    <n v="9000"/>
    <n v="13"/>
    <n v="117000"/>
    <n v="9000"/>
    <n v="155.53"/>
    <x v="0"/>
    <n v="1"/>
    <n v="0"/>
    <n v="0"/>
    <n v="0"/>
  </r>
  <r>
    <s v="CUST0359"/>
    <s v="Omamuzo Juarez"/>
    <d v="2025-03-25T00:00:00"/>
    <n v="58"/>
    <x v="3"/>
    <x v="4"/>
    <s v="4G Router"/>
    <x v="1"/>
    <n v="2"/>
    <s v="Fair"/>
    <n v="53"/>
    <x v="2"/>
    <x v="0"/>
    <n v="35000"/>
    <n v="16"/>
    <n v="560000"/>
    <n v="35000"/>
    <n v="36.1"/>
    <x v="1"/>
    <n v="0"/>
    <n v="0"/>
    <n v="0"/>
    <n v="0"/>
  </r>
  <r>
    <s v="CUST0359"/>
    <s v="Omamuzo Juarez"/>
    <d v="2025-03-25T00:00:00"/>
    <n v="58"/>
    <x v="3"/>
    <x v="4"/>
    <s v="5G Broadband Router"/>
    <x v="1"/>
    <n v="2"/>
    <s v="Fair"/>
    <n v="53"/>
    <x v="2"/>
    <x v="2"/>
    <n v="20000"/>
    <n v="14"/>
    <n v="280000"/>
    <n v="20000"/>
    <n v="29.2"/>
    <x v="1"/>
    <n v="0"/>
    <n v="0"/>
    <n v="0"/>
    <n v="0"/>
  </r>
  <r>
    <s v="CUST0360"/>
    <s v="Fatima Webb"/>
    <d v="2025-01-25T00:00:00"/>
    <n v="29"/>
    <x v="0"/>
    <x v="30"/>
    <s v="Mobile SIM Card"/>
    <x v="1"/>
    <n v="1"/>
    <s v="Poor"/>
    <n v="7"/>
    <x v="3"/>
    <x v="1"/>
    <n v="5500"/>
    <n v="1"/>
    <n v="5500"/>
    <n v="5500"/>
    <n v="30.2"/>
    <x v="0"/>
    <n v="1"/>
    <n v="0"/>
    <n v="0"/>
    <n v="0"/>
  </r>
  <r>
    <s v="CUST0360"/>
    <s v="Fatima Webb"/>
    <d v="2025-01-25T00:00:00"/>
    <n v="29"/>
    <x v="0"/>
    <x v="30"/>
    <s v="Broadband MiFi"/>
    <x v="1"/>
    <n v="1"/>
    <s v="Poor"/>
    <n v="7"/>
    <x v="3"/>
    <x v="4"/>
    <n v="9000"/>
    <n v="9"/>
    <n v="81000"/>
    <n v="9000"/>
    <n v="133.09"/>
    <x v="0"/>
    <n v="1"/>
    <n v="0"/>
    <n v="0"/>
    <n v="0"/>
  </r>
  <r>
    <s v="CUST0361"/>
    <s v="Obinna Andrews"/>
    <d v="2025-02-25T00:00:00"/>
    <n v="58"/>
    <x v="3"/>
    <x v="10"/>
    <s v="Broadband MiFi"/>
    <x v="0"/>
    <n v="4"/>
    <s v="Very Good"/>
    <n v="33"/>
    <x v="2"/>
    <x v="4"/>
    <n v="9000"/>
    <n v="16"/>
    <n v="144000"/>
    <n v="9000"/>
    <n v="77.19"/>
    <x v="1"/>
    <n v="0"/>
    <n v="0"/>
    <n v="0"/>
    <n v="0"/>
  </r>
  <r>
    <s v="CUST0361"/>
    <s v="Obinna Andrews"/>
    <d v="2025-02-25T00:00:00"/>
    <n v="58"/>
    <x v="3"/>
    <x v="10"/>
    <s v="5G Broadband Router"/>
    <x v="0"/>
    <n v="4"/>
    <s v="Very Good"/>
    <n v="33"/>
    <x v="2"/>
    <x v="2"/>
    <n v="20000"/>
    <n v="12"/>
    <n v="240000"/>
    <n v="20000"/>
    <n v="113.67"/>
    <x v="1"/>
    <n v="0"/>
    <n v="0"/>
    <n v="0"/>
    <n v="0"/>
  </r>
  <r>
    <s v="CUST0361"/>
    <s v="Obinna Andrews"/>
    <d v="2025-02-25T00:00:00"/>
    <n v="58"/>
    <x v="3"/>
    <x v="10"/>
    <s v="Mobile SIM Card"/>
    <x v="0"/>
    <n v="4"/>
    <s v="Very Good"/>
    <n v="33"/>
    <x v="2"/>
    <x v="7"/>
    <n v="3500"/>
    <n v="13"/>
    <n v="45500"/>
    <n v="3500"/>
    <n v="136.53"/>
    <x v="1"/>
    <n v="0"/>
    <n v="0"/>
    <n v="0"/>
    <n v="0"/>
  </r>
  <r>
    <s v="CUST0362"/>
    <s v="Sade Donaldson"/>
    <d v="2025-02-25T00:00:00"/>
    <n v="27"/>
    <x v="0"/>
    <x v="3"/>
    <s v="Broadband MiFi"/>
    <x v="1"/>
    <n v="3"/>
    <s v="Good"/>
    <n v="6"/>
    <x v="3"/>
    <x v="12"/>
    <n v="14500"/>
    <n v="10"/>
    <n v="145000"/>
    <n v="14500"/>
    <n v="132.32"/>
    <x v="1"/>
    <n v="0"/>
    <n v="0"/>
    <n v="0"/>
    <n v="0"/>
  </r>
  <r>
    <s v="CUST0363"/>
    <s v="Omamuzo Alexander"/>
    <d v="2025-02-25T00:00:00"/>
    <n v="29"/>
    <x v="0"/>
    <x v="25"/>
    <s v="4G Router"/>
    <x v="1"/>
    <n v="2"/>
    <s v="Fair"/>
    <n v="6"/>
    <x v="3"/>
    <x v="0"/>
    <n v="35000"/>
    <n v="18"/>
    <n v="630000"/>
    <n v="35000"/>
    <n v="78.06"/>
    <x v="0"/>
    <n v="1"/>
    <n v="0"/>
    <n v="0"/>
    <n v="0"/>
  </r>
  <r>
    <s v="CUST0364"/>
    <s v="Maryam Harmon"/>
    <d v="2025-01-25T00:00:00"/>
    <n v="79"/>
    <x v="3"/>
    <x v="11"/>
    <s v="Broadband MiFi"/>
    <x v="1"/>
    <n v="3"/>
    <s v="Good"/>
    <n v="2"/>
    <x v="0"/>
    <x v="2"/>
    <n v="20000"/>
    <n v="17"/>
    <n v="340000"/>
    <n v="20000"/>
    <n v="161.52000000000001"/>
    <x v="0"/>
    <n v="1"/>
    <n v="0"/>
    <n v="0"/>
    <n v="0"/>
  </r>
  <r>
    <s v="CUST0364"/>
    <s v="Maryam Harmon"/>
    <d v="2025-01-25T00:00:00"/>
    <n v="79"/>
    <x v="3"/>
    <x v="11"/>
    <s v="4G Router"/>
    <x v="1"/>
    <n v="3"/>
    <s v="Good"/>
    <n v="2"/>
    <x v="0"/>
    <x v="0"/>
    <n v="35000"/>
    <n v="18"/>
    <n v="630000"/>
    <n v="35000"/>
    <n v="188.05"/>
    <x v="0"/>
    <n v="1"/>
    <n v="0"/>
    <n v="0"/>
    <n v="0"/>
  </r>
  <r>
    <s v="CUST0364"/>
    <s v="Maryam Harmon"/>
    <d v="2025-01-25T00:00:00"/>
    <n v="79"/>
    <x v="3"/>
    <x v="11"/>
    <s v="Mobile SIM Card"/>
    <x v="1"/>
    <n v="3"/>
    <s v="Good"/>
    <n v="2"/>
    <x v="0"/>
    <x v="19"/>
    <n v="600"/>
    <n v="8"/>
    <n v="4800"/>
    <n v="600"/>
    <n v="148.34"/>
    <x v="0"/>
    <n v="1"/>
    <n v="0"/>
    <n v="0"/>
    <n v="0"/>
  </r>
  <r>
    <s v="CUST0365"/>
    <s v="Kunle Myers"/>
    <d v="2025-01-25T00:00:00"/>
    <n v="20"/>
    <x v="1"/>
    <x v="5"/>
    <s v="Broadband MiFi"/>
    <x v="1"/>
    <n v="4"/>
    <s v="Very Good"/>
    <n v="42"/>
    <x v="2"/>
    <x v="4"/>
    <n v="9000"/>
    <n v="2"/>
    <n v="18000"/>
    <n v="9000"/>
    <n v="34.86"/>
    <x v="1"/>
    <n v="0"/>
    <n v="0"/>
    <n v="0"/>
    <n v="0"/>
  </r>
  <r>
    <s v="CUST0365"/>
    <s v="Kunle Myers"/>
    <d v="2025-01-25T00:00:00"/>
    <n v="20"/>
    <x v="1"/>
    <x v="5"/>
    <s v="Mobile SIM Card"/>
    <x v="1"/>
    <n v="4"/>
    <s v="Very Good"/>
    <n v="42"/>
    <x v="2"/>
    <x v="3"/>
    <n v="500"/>
    <n v="4"/>
    <n v="2000"/>
    <n v="500"/>
    <n v="164.24"/>
    <x v="1"/>
    <n v="0"/>
    <n v="0"/>
    <n v="0"/>
    <n v="0"/>
  </r>
  <r>
    <s v="CUST0365"/>
    <s v="Kunle Myers"/>
    <d v="2025-01-25T00:00:00"/>
    <n v="20"/>
    <x v="1"/>
    <x v="5"/>
    <s v="5G Broadband Router"/>
    <x v="1"/>
    <n v="4"/>
    <s v="Very Good"/>
    <n v="42"/>
    <x v="2"/>
    <x v="8"/>
    <n v="150000"/>
    <n v="19"/>
    <n v="2850000"/>
    <n v="150000"/>
    <n v="122.44"/>
    <x v="1"/>
    <n v="0"/>
    <n v="0"/>
    <n v="0"/>
    <n v="0"/>
  </r>
  <r>
    <s v="CUST0366"/>
    <s v="Kunle Brady"/>
    <d v="2025-02-25T00:00:00"/>
    <n v="29"/>
    <x v="0"/>
    <x v="27"/>
    <s v="5G Broadband Router"/>
    <x v="1"/>
    <n v="1"/>
    <s v="Poor"/>
    <n v="39"/>
    <x v="2"/>
    <x v="17"/>
    <n v="75000"/>
    <n v="19"/>
    <n v="1425000"/>
    <n v="75000"/>
    <n v="65.180000000000007"/>
    <x v="1"/>
    <n v="0"/>
    <n v="0"/>
    <n v="0"/>
    <n v="0"/>
  </r>
  <r>
    <s v="CUST0366"/>
    <s v="Kunle Brady"/>
    <d v="2025-02-25T00:00:00"/>
    <n v="29"/>
    <x v="0"/>
    <x v="27"/>
    <s v="Mobile SIM Card"/>
    <x v="1"/>
    <n v="1"/>
    <s v="Poor"/>
    <n v="39"/>
    <x v="2"/>
    <x v="20"/>
    <n v="6500"/>
    <n v="7"/>
    <n v="45500"/>
    <n v="6500"/>
    <n v="27.9"/>
    <x v="1"/>
    <n v="0"/>
    <n v="0"/>
    <n v="0"/>
    <n v="0"/>
  </r>
  <r>
    <s v="CUST0367"/>
    <s v="Bola Carpenter"/>
    <d v="2025-03-25T00:00:00"/>
    <n v="38"/>
    <x v="2"/>
    <x v="26"/>
    <s v="5G Broadband Router"/>
    <x v="0"/>
    <n v="2"/>
    <s v="Fair"/>
    <n v="8"/>
    <x v="3"/>
    <x v="11"/>
    <n v="30000"/>
    <n v="19"/>
    <n v="570000"/>
    <n v="30000"/>
    <n v="88.01"/>
    <x v="1"/>
    <n v="0"/>
    <n v="0"/>
    <n v="0"/>
    <n v="0"/>
  </r>
  <r>
    <s v="CUST0368"/>
    <s v="Bola Meadows"/>
    <d v="2025-02-25T00:00:00"/>
    <n v="33"/>
    <x v="0"/>
    <x v="13"/>
    <s v="Broadband MiFi"/>
    <x v="1"/>
    <n v="1"/>
    <s v="Poor"/>
    <n v="50"/>
    <x v="2"/>
    <x v="4"/>
    <n v="9000"/>
    <n v="3"/>
    <n v="27000"/>
    <n v="9000"/>
    <n v="36.29"/>
    <x v="1"/>
    <n v="0"/>
    <n v="0"/>
    <n v="0"/>
    <n v="0"/>
  </r>
  <r>
    <s v="CUST0369"/>
    <s v="Abubakar Rodriguez"/>
    <d v="2025-02-25T00:00:00"/>
    <n v="69"/>
    <x v="3"/>
    <x v="31"/>
    <s v="4G Router"/>
    <x v="0"/>
    <n v="3"/>
    <s v="Good"/>
    <n v="14"/>
    <x v="1"/>
    <x v="9"/>
    <n v="16000"/>
    <n v="16"/>
    <n v="256000"/>
    <n v="16000"/>
    <n v="119.46"/>
    <x v="1"/>
    <n v="0"/>
    <n v="0"/>
    <n v="0"/>
    <n v="0"/>
  </r>
  <r>
    <s v="CUST0369"/>
    <s v="Abubakar Rodriguez"/>
    <d v="2025-02-25T00:00:00"/>
    <n v="69"/>
    <x v="3"/>
    <x v="31"/>
    <s v="Broadband MiFi"/>
    <x v="0"/>
    <n v="3"/>
    <s v="Good"/>
    <n v="14"/>
    <x v="1"/>
    <x v="10"/>
    <n v="24000"/>
    <n v="10"/>
    <n v="240000"/>
    <n v="24000"/>
    <n v="190.08"/>
    <x v="1"/>
    <n v="0"/>
    <n v="0"/>
    <n v="0"/>
    <n v="0"/>
  </r>
  <r>
    <s v="CUST0370"/>
    <s v="Oghene Bush"/>
    <d v="2025-01-25T00:00:00"/>
    <n v="69"/>
    <x v="3"/>
    <x v="34"/>
    <s v="5G Broadband Router"/>
    <x v="0"/>
    <n v="5"/>
    <s v="Excellent"/>
    <n v="13"/>
    <x v="1"/>
    <x v="8"/>
    <n v="150000"/>
    <n v="7"/>
    <n v="1050000"/>
    <n v="150000"/>
    <n v="154.18"/>
    <x v="1"/>
    <n v="0"/>
    <n v="0"/>
    <n v="0"/>
    <n v="0"/>
  </r>
  <r>
    <s v="CUST0370"/>
    <s v="Oghene Bush"/>
    <d v="2025-01-25T00:00:00"/>
    <n v="69"/>
    <x v="3"/>
    <x v="34"/>
    <s v="Mobile SIM Card"/>
    <x v="0"/>
    <n v="5"/>
    <s v="Excellent"/>
    <n v="13"/>
    <x v="1"/>
    <x v="3"/>
    <n v="500"/>
    <n v="4"/>
    <n v="2000"/>
    <n v="500"/>
    <n v="11.09"/>
    <x v="1"/>
    <n v="0"/>
    <n v="0"/>
    <n v="0"/>
    <n v="0"/>
  </r>
  <r>
    <s v="CUST0370"/>
    <s v="Oghene Bush"/>
    <d v="2025-01-25T00:00:00"/>
    <n v="69"/>
    <x v="3"/>
    <x v="34"/>
    <s v="Broadband MiFi"/>
    <x v="0"/>
    <n v="5"/>
    <s v="Excellent"/>
    <n v="13"/>
    <x v="1"/>
    <x v="2"/>
    <n v="20000"/>
    <n v="16"/>
    <n v="320000"/>
    <n v="20000"/>
    <n v="137.21"/>
    <x v="1"/>
    <n v="0"/>
    <n v="0"/>
    <n v="0"/>
    <n v="0"/>
  </r>
  <r>
    <s v="CUST0371"/>
    <s v="Grace Wilkerson"/>
    <d v="2025-03-25T00:00:00"/>
    <n v="38"/>
    <x v="2"/>
    <x v="1"/>
    <s v="Mobile SIM Card"/>
    <x v="0"/>
    <n v="3"/>
    <s v="Good"/>
    <n v="4"/>
    <x v="0"/>
    <x v="14"/>
    <n v="1000"/>
    <n v="18"/>
    <n v="18000"/>
    <n v="1000"/>
    <n v="148.21"/>
    <x v="0"/>
    <n v="1"/>
    <n v="0"/>
    <n v="0"/>
    <n v="0"/>
  </r>
  <r>
    <s v="CUST0371"/>
    <s v="Grace Wilkerson"/>
    <d v="2025-03-25T00:00:00"/>
    <n v="38"/>
    <x v="2"/>
    <x v="1"/>
    <s v="Broadband MiFi"/>
    <x v="0"/>
    <n v="3"/>
    <s v="Good"/>
    <n v="4"/>
    <x v="0"/>
    <x v="2"/>
    <n v="20000"/>
    <n v="1"/>
    <n v="20000"/>
    <n v="20000"/>
    <n v="32.03"/>
    <x v="0"/>
    <n v="1"/>
    <n v="0"/>
    <n v="0"/>
    <n v="0"/>
  </r>
  <r>
    <s v="CUST0372"/>
    <s v="Grace Salas"/>
    <d v="2025-02-25T00:00:00"/>
    <n v="30"/>
    <x v="0"/>
    <x v="23"/>
    <s v="4G Router"/>
    <x v="0"/>
    <n v="5"/>
    <s v="Excellent"/>
    <n v="47"/>
    <x v="2"/>
    <x v="6"/>
    <n v="9000"/>
    <n v="4"/>
    <n v="36000"/>
    <n v="9000"/>
    <n v="46.4"/>
    <x v="1"/>
    <n v="0"/>
    <n v="0"/>
    <n v="0"/>
    <n v="0"/>
  </r>
  <r>
    <s v="CUST0372"/>
    <s v="Grace Salas"/>
    <d v="2025-02-25T00:00:00"/>
    <n v="30"/>
    <x v="0"/>
    <x v="23"/>
    <s v="5G Broadband Router"/>
    <x v="0"/>
    <n v="5"/>
    <s v="Excellent"/>
    <n v="47"/>
    <x v="2"/>
    <x v="18"/>
    <n v="25000"/>
    <n v="8"/>
    <n v="200000"/>
    <n v="25000"/>
    <n v="45.94"/>
    <x v="1"/>
    <n v="0"/>
    <n v="0"/>
    <n v="0"/>
    <n v="0"/>
  </r>
  <r>
    <s v="CUST0373"/>
    <s v="Ibim Adams"/>
    <d v="2025-02-25T00:00:00"/>
    <n v="41"/>
    <x v="2"/>
    <x v="6"/>
    <s v="4G Router"/>
    <x v="0"/>
    <n v="5"/>
    <s v="Excellent"/>
    <n v="5"/>
    <x v="0"/>
    <x v="0"/>
    <n v="35000"/>
    <n v="12"/>
    <n v="420000"/>
    <n v="35000"/>
    <n v="36.020000000000003"/>
    <x v="1"/>
    <n v="0"/>
    <n v="0"/>
    <n v="0"/>
    <n v="0"/>
  </r>
  <r>
    <s v="CUST0373"/>
    <s v="Ibim Adams"/>
    <d v="2025-02-25T00:00:00"/>
    <n v="41"/>
    <x v="2"/>
    <x v="6"/>
    <s v="Broadband MiFi"/>
    <x v="0"/>
    <n v="5"/>
    <s v="Excellent"/>
    <n v="5"/>
    <x v="0"/>
    <x v="2"/>
    <n v="20000"/>
    <n v="7"/>
    <n v="140000"/>
    <n v="20000"/>
    <n v="91.82"/>
    <x v="1"/>
    <n v="0"/>
    <n v="0"/>
    <n v="0"/>
    <n v="0"/>
  </r>
  <r>
    <s v="CUST0374"/>
    <s v="Oghene Oliver"/>
    <d v="2025-01-25T00:00:00"/>
    <n v="50"/>
    <x v="4"/>
    <x v="18"/>
    <s v="Mobile SIM Card"/>
    <x v="1"/>
    <n v="5"/>
    <s v="Excellent"/>
    <n v="9"/>
    <x v="3"/>
    <x v="1"/>
    <n v="5500"/>
    <n v="11"/>
    <n v="60500"/>
    <n v="5500"/>
    <n v="83.94"/>
    <x v="0"/>
    <n v="1"/>
    <n v="0"/>
    <n v="0"/>
    <n v="0"/>
  </r>
  <r>
    <s v="CUST0375"/>
    <s v="Nura Oconnell"/>
    <d v="2025-02-25T00:00:00"/>
    <n v="53"/>
    <x v="4"/>
    <x v="1"/>
    <s v="Mobile SIM Card"/>
    <x v="0"/>
    <n v="1"/>
    <s v="Poor"/>
    <n v="37"/>
    <x v="2"/>
    <x v="1"/>
    <n v="5500"/>
    <n v="14"/>
    <n v="77000"/>
    <n v="5500"/>
    <n v="56.19"/>
    <x v="1"/>
    <n v="0"/>
    <n v="0"/>
    <n v="0"/>
    <n v="0"/>
  </r>
  <r>
    <s v="CUST0375"/>
    <s v="Nura Oconnell"/>
    <d v="2025-02-25T00:00:00"/>
    <n v="53"/>
    <x v="4"/>
    <x v="1"/>
    <s v="Broadband MiFi"/>
    <x v="0"/>
    <n v="1"/>
    <s v="Poor"/>
    <n v="37"/>
    <x v="2"/>
    <x v="2"/>
    <n v="20000"/>
    <n v="14"/>
    <n v="280000"/>
    <n v="20000"/>
    <n v="49.94"/>
    <x v="1"/>
    <n v="0"/>
    <n v="0"/>
    <n v="0"/>
    <n v="0"/>
  </r>
  <r>
    <s v="CUST0375"/>
    <s v="Nura Oconnell"/>
    <d v="2025-02-25T00:00:00"/>
    <n v="53"/>
    <x v="4"/>
    <x v="1"/>
    <s v="4G Router"/>
    <x v="0"/>
    <n v="1"/>
    <s v="Poor"/>
    <n v="37"/>
    <x v="2"/>
    <x v="5"/>
    <n v="4500"/>
    <n v="19"/>
    <n v="85500"/>
    <n v="4500"/>
    <n v="178.42"/>
    <x v="1"/>
    <n v="0"/>
    <n v="0"/>
    <n v="0"/>
    <n v="0"/>
  </r>
  <r>
    <s v="CUST0376"/>
    <s v="Obinna Miller"/>
    <d v="2025-02-25T00:00:00"/>
    <n v="16"/>
    <x v="1"/>
    <x v="15"/>
    <s v="Mobile SIM Card"/>
    <x v="0"/>
    <n v="5"/>
    <s v="Excellent"/>
    <n v="3"/>
    <x v="0"/>
    <x v="14"/>
    <n v="1000"/>
    <n v="8"/>
    <n v="8000"/>
    <n v="1000"/>
    <n v="90.76"/>
    <x v="0"/>
    <n v="1"/>
    <n v="0"/>
    <n v="0"/>
    <n v="0"/>
  </r>
  <r>
    <s v="CUST0377"/>
    <s v="Chinedu Christian"/>
    <d v="2025-03-25T00:00:00"/>
    <n v="17"/>
    <x v="1"/>
    <x v="15"/>
    <s v="Mobile SIM Card"/>
    <x v="0"/>
    <n v="3"/>
    <s v="Good"/>
    <n v="9"/>
    <x v="3"/>
    <x v="3"/>
    <n v="500"/>
    <n v="15"/>
    <n v="7500"/>
    <n v="500"/>
    <n v="32.78"/>
    <x v="0"/>
    <n v="1"/>
    <n v="0"/>
    <n v="0"/>
    <n v="0"/>
  </r>
  <r>
    <s v="CUST0378"/>
    <s v="Funke Carlson"/>
    <d v="2025-02-25T00:00:00"/>
    <n v="74"/>
    <x v="3"/>
    <x v="2"/>
    <s v="Mobile SIM Card"/>
    <x v="0"/>
    <n v="2"/>
    <s v="Fair"/>
    <n v="56"/>
    <x v="2"/>
    <x v="16"/>
    <n v="900"/>
    <n v="3"/>
    <n v="2700"/>
    <n v="900"/>
    <n v="172.15"/>
    <x v="1"/>
    <n v="0"/>
    <n v="0"/>
    <n v="0"/>
    <n v="0"/>
  </r>
  <r>
    <s v="CUST0378"/>
    <s v="Funke Carlson"/>
    <d v="2025-02-25T00:00:00"/>
    <n v="74"/>
    <x v="3"/>
    <x v="2"/>
    <s v="5G Broadband Router"/>
    <x v="0"/>
    <n v="2"/>
    <s v="Fair"/>
    <n v="56"/>
    <x v="2"/>
    <x v="17"/>
    <n v="75000"/>
    <n v="11"/>
    <n v="825000"/>
    <n v="75000"/>
    <n v="178.74"/>
    <x v="1"/>
    <n v="0"/>
    <n v="0"/>
    <n v="0"/>
    <n v="0"/>
  </r>
  <r>
    <s v="CUST0379"/>
    <s v="Sarah Woods"/>
    <d v="2025-03-25T00:00:00"/>
    <n v="20"/>
    <x v="1"/>
    <x v="14"/>
    <s v="Broadband MiFi"/>
    <x v="1"/>
    <n v="5"/>
    <s v="Excellent"/>
    <n v="49"/>
    <x v="2"/>
    <x v="10"/>
    <n v="24000"/>
    <n v="2"/>
    <n v="48000"/>
    <n v="24000"/>
    <n v="176.23"/>
    <x v="1"/>
    <n v="0"/>
    <n v="0"/>
    <n v="0"/>
    <n v="0"/>
  </r>
  <r>
    <s v="CUST0380"/>
    <s v="Michael Jacobs"/>
    <d v="2025-03-25T00:00:00"/>
    <n v="62"/>
    <x v="3"/>
    <x v="4"/>
    <s v="5G Broadband Router"/>
    <x v="0"/>
    <n v="4"/>
    <s v="Very Good"/>
    <n v="25"/>
    <x v="2"/>
    <x v="2"/>
    <n v="20000"/>
    <n v="7"/>
    <n v="140000"/>
    <n v="20000"/>
    <n v="112.37"/>
    <x v="1"/>
    <n v="0"/>
    <n v="0"/>
    <n v="0"/>
    <n v="0"/>
  </r>
  <r>
    <s v="CUST0380"/>
    <s v="Michael Jacobs"/>
    <d v="2025-03-25T00:00:00"/>
    <n v="62"/>
    <x v="3"/>
    <x v="4"/>
    <s v="Broadband MiFi"/>
    <x v="0"/>
    <n v="4"/>
    <s v="Very Good"/>
    <n v="25"/>
    <x v="2"/>
    <x v="2"/>
    <n v="20000"/>
    <n v="8"/>
    <n v="160000"/>
    <n v="20000"/>
    <n v="196.26"/>
    <x v="1"/>
    <n v="0"/>
    <n v="0"/>
    <n v="0"/>
    <n v="0"/>
  </r>
  <r>
    <s v="CUST0381"/>
    <s v="David Murphy"/>
    <d v="2025-02-25T00:00:00"/>
    <n v="30"/>
    <x v="0"/>
    <x v="31"/>
    <s v="Mobile SIM Card"/>
    <x v="0"/>
    <n v="3"/>
    <s v="Good"/>
    <n v="49"/>
    <x v="2"/>
    <x v="16"/>
    <n v="900"/>
    <n v="12"/>
    <n v="10800"/>
    <n v="900"/>
    <n v="13.14"/>
    <x v="1"/>
    <n v="0"/>
    <n v="0"/>
    <n v="0"/>
    <n v="0"/>
  </r>
  <r>
    <s v="CUST0381"/>
    <s v="David Murphy"/>
    <d v="2025-02-25T00:00:00"/>
    <n v="30"/>
    <x v="0"/>
    <x v="31"/>
    <s v="4G Router"/>
    <x v="0"/>
    <n v="3"/>
    <s v="Good"/>
    <n v="49"/>
    <x v="2"/>
    <x v="0"/>
    <n v="35000"/>
    <n v="17"/>
    <n v="595000"/>
    <n v="35000"/>
    <n v="97.5"/>
    <x v="1"/>
    <n v="0"/>
    <n v="0"/>
    <n v="0"/>
    <n v="0"/>
  </r>
  <r>
    <s v="CUST0382"/>
    <s v="Ifeanyi Cooper"/>
    <d v="2025-03-25T00:00:00"/>
    <n v="76"/>
    <x v="3"/>
    <x v="11"/>
    <s v="Broadband MiFi"/>
    <x v="1"/>
    <n v="1"/>
    <s v="Poor"/>
    <n v="29"/>
    <x v="2"/>
    <x v="12"/>
    <n v="14500"/>
    <n v="10"/>
    <n v="145000"/>
    <n v="14500"/>
    <n v="179.64"/>
    <x v="0"/>
    <n v="1"/>
    <n v="0"/>
    <n v="0"/>
    <n v="0"/>
  </r>
  <r>
    <s v="CUST0383"/>
    <s v="Kunle Manning"/>
    <d v="2025-02-25T00:00:00"/>
    <n v="29"/>
    <x v="0"/>
    <x v="1"/>
    <s v="Broadband MiFi"/>
    <x v="1"/>
    <n v="4"/>
    <s v="Very Good"/>
    <n v="8"/>
    <x v="3"/>
    <x v="10"/>
    <n v="24000"/>
    <n v="16"/>
    <n v="384000"/>
    <n v="24000"/>
    <n v="186.38"/>
    <x v="0"/>
    <n v="1"/>
    <n v="0"/>
    <n v="0"/>
    <n v="0"/>
  </r>
  <r>
    <s v="CUST0383"/>
    <s v="Kunle Manning"/>
    <d v="2025-02-25T00:00:00"/>
    <n v="29"/>
    <x v="0"/>
    <x v="1"/>
    <s v="4G Router"/>
    <x v="1"/>
    <n v="4"/>
    <s v="Very Good"/>
    <n v="8"/>
    <x v="3"/>
    <x v="6"/>
    <n v="9000"/>
    <n v="1"/>
    <n v="9000"/>
    <n v="9000"/>
    <n v="84.32"/>
    <x v="0"/>
    <n v="1"/>
    <n v="0"/>
    <n v="0"/>
    <n v="0"/>
  </r>
  <r>
    <s v="CUST0383"/>
    <s v="Kunle Manning"/>
    <d v="2025-02-25T00:00:00"/>
    <n v="29"/>
    <x v="0"/>
    <x v="1"/>
    <s v="5G Broadband Router"/>
    <x v="1"/>
    <n v="4"/>
    <s v="Very Good"/>
    <n v="8"/>
    <x v="3"/>
    <x v="10"/>
    <n v="24000"/>
    <n v="1"/>
    <n v="24000"/>
    <n v="24000"/>
    <n v="38.22"/>
    <x v="0"/>
    <n v="1"/>
    <n v="0"/>
    <n v="0"/>
    <n v="0"/>
  </r>
  <r>
    <s v="CUST0384"/>
    <s v="Nura Rodriguez"/>
    <d v="2025-03-25T00:00:00"/>
    <n v="58"/>
    <x v="3"/>
    <x v="15"/>
    <s v="Mobile SIM Card"/>
    <x v="1"/>
    <n v="4"/>
    <s v="Very Good"/>
    <n v="42"/>
    <x v="2"/>
    <x v="19"/>
    <n v="600"/>
    <n v="10"/>
    <n v="6000"/>
    <n v="600"/>
    <n v="179.71"/>
    <x v="1"/>
    <n v="0"/>
    <n v="0"/>
    <n v="0"/>
    <n v="0"/>
  </r>
  <r>
    <s v="CUST0384"/>
    <s v="Nura Rodriguez"/>
    <d v="2025-03-25T00:00:00"/>
    <n v="58"/>
    <x v="3"/>
    <x v="15"/>
    <s v="4G Router"/>
    <x v="1"/>
    <n v="4"/>
    <s v="Very Good"/>
    <n v="42"/>
    <x v="2"/>
    <x v="5"/>
    <n v="4500"/>
    <n v="8"/>
    <n v="36000"/>
    <n v="4500"/>
    <n v="157.96"/>
    <x v="1"/>
    <n v="0"/>
    <n v="0"/>
    <n v="0"/>
    <n v="0"/>
  </r>
  <r>
    <s v="CUST0384"/>
    <s v="Nura Rodriguez"/>
    <d v="2025-03-25T00:00:00"/>
    <n v="58"/>
    <x v="3"/>
    <x v="15"/>
    <s v="5G Broadband Router"/>
    <x v="1"/>
    <n v="4"/>
    <s v="Very Good"/>
    <n v="42"/>
    <x v="2"/>
    <x v="8"/>
    <n v="150000"/>
    <n v="10"/>
    <n v="1500000"/>
    <n v="150000"/>
    <n v="74.69"/>
    <x v="1"/>
    <n v="0"/>
    <n v="0"/>
    <n v="0"/>
    <n v="0"/>
  </r>
  <r>
    <s v="CUST0385"/>
    <s v="Sade George"/>
    <d v="2025-02-25T00:00:00"/>
    <n v="34"/>
    <x v="0"/>
    <x v="25"/>
    <s v="5G Broadband Router"/>
    <x v="1"/>
    <n v="5"/>
    <s v="Excellent"/>
    <n v="30"/>
    <x v="2"/>
    <x v="11"/>
    <n v="30000"/>
    <n v="4"/>
    <n v="120000"/>
    <n v="30000"/>
    <n v="32.67"/>
    <x v="1"/>
    <n v="0"/>
    <n v="0"/>
    <n v="0"/>
    <n v="0"/>
  </r>
  <r>
    <s v="CUST0385"/>
    <s v="Sade George"/>
    <d v="2025-02-25T00:00:00"/>
    <n v="34"/>
    <x v="0"/>
    <x v="25"/>
    <s v="Broadband MiFi"/>
    <x v="1"/>
    <n v="5"/>
    <s v="Excellent"/>
    <n v="30"/>
    <x v="2"/>
    <x v="4"/>
    <n v="9000"/>
    <n v="19"/>
    <n v="171000"/>
    <n v="9000"/>
    <n v="198.76"/>
    <x v="1"/>
    <n v="0"/>
    <n v="0"/>
    <n v="0"/>
    <n v="0"/>
  </r>
  <r>
    <s v="CUST0385"/>
    <s v="Sade George"/>
    <d v="2025-02-25T00:00:00"/>
    <n v="34"/>
    <x v="0"/>
    <x v="25"/>
    <s v="Mobile SIM Card"/>
    <x v="1"/>
    <n v="5"/>
    <s v="Excellent"/>
    <n v="30"/>
    <x v="2"/>
    <x v="19"/>
    <n v="600"/>
    <n v="12"/>
    <n v="7200"/>
    <n v="600"/>
    <n v="88.46"/>
    <x v="1"/>
    <n v="0"/>
    <n v="0"/>
    <n v="0"/>
    <n v="0"/>
  </r>
  <r>
    <s v="CUST0386"/>
    <s v="Shehu Torres"/>
    <d v="2025-02-25T00:00:00"/>
    <n v="42"/>
    <x v="2"/>
    <x v="19"/>
    <s v="5G Broadband Router"/>
    <x v="1"/>
    <n v="3"/>
    <s v="Good"/>
    <n v="23"/>
    <x v="1"/>
    <x v="2"/>
    <n v="20000"/>
    <n v="13"/>
    <n v="260000"/>
    <n v="20000"/>
    <n v="184.13"/>
    <x v="1"/>
    <n v="0"/>
    <n v="0"/>
    <n v="0"/>
    <n v="0"/>
  </r>
  <r>
    <s v="CUST0387"/>
    <s v="Grace Walsh"/>
    <d v="2025-01-25T00:00:00"/>
    <n v="34"/>
    <x v="0"/>
    <x v="2"/>
    <s v="5G Broadband Router"/>
    <x v="1"/>
    <n v="5"/>
    <s v="Excellent"/>
    <n v="10"/>
    <x v="3"/>
    <x v="10"/>
    <n v="24000"/>
    <n v="19"/>
    <n v="456000"/>
    <n v="24000"/>
    <n v="193.94"/>
    <x v="1"/>
    <n v="0"/>
    <n v="0"/>
    <n v="0"/>
    <n v="0"/>
  </r>
  <r>
    <s v="CUST0387"/>
    <s v="Grace Walsh"/>
    <d v="2025-01-25T00:00:00"/>
    <n v="34"/>
    <x v="0"/>
    <x v="2"/>
    <s v="4G Router"/>
    <x v="1"/>
    <n v="5"/>
    <s v="Excellent"/>
    <n v="10"/>
    <x v="3"/>
    <x v="5"/>
    <n v="4500"/>
    <n v="15"/>
    <n v="67500"/>
    <n v="4500"/>
    <n v="160.02000000000001"/>
    <x v="1"/>
    <n v="0"/>
    <n v="0"/>
    <n v="0"/>
    <n v="0"/>
  </r>
  <r>
    <s v="CUST0388"/>
    <s v="Tega Cervantes"/>
    <d v="2025-01-25T00:00:00"/>
    <n v="30"/>
    <x v="0"/>
    <x v="31"/>
    <s v="Mobile SIM Card"/>
    <x v="0"/>
    <n v="3"/>
    <s v="Good"/>
    <n v="9"/>
    <x v="3"/>
    <x v="7"/>
    <n v="3500"/>
    <n v="2"/>
    <n v="7000"/>
    <n v="3500"/>
    <n v="18.95"/>
    <x v="0"/>
    <n v="1"/>
    <n v="0"/>
    <n v="0"/>
    <n v="0"/>
  </r>
  <r>
    <s v="CUST0389"/>
    <s v="Bala Dunn"/>
    <d v="2025-01-25T00:00:00"/>
    <n v="44"/>
    <x v="2"/>
    <x v="29"/>
    <s v="Broadband MiFi"/>
    <x v="0"/>
    <n v="5"/>
    <s v="Excellent"/>
    <n v="2"/>
    <x v="0"/>
    <x v="2"/>
    <n v="20000"/>
    <n v="20"/>
    <n v="400000"/>
    <n v="20000"/>
    <n v="98.35"/>
    <x v="1"/>
    <n v="0"/>
    <n v="0"/>
    <n v="0"/>
    <n v="0"/>
  </r>
  <r>
    <s v="CUST0389"/>
    <s v="Bala Dunn"/>
    <d v="2025-01-25T00:00:00"/>
    <n v="44"/>
    <x v="2"/>
    <x v="29"/>
    <s v="5G Broadband Router"/>
    <x v="0"/>
    <n v="5"/>
    <s v="Excellent"/>
    <n v="2"/>
    <x v="0"/>
    <x v="4"/>
    <n v="9000"/>
    <n v="12"/>
    <n v="108000"/>
    <n v="9000"/>
    <n v="181.74"/>
    <x v="1"/>
    <n v="0"/>
    <n v="0"/>
    <n v="0"/>
    <n v="0"/>
  </r>
  <r>
    <s v="CUST0389"/>
    <s v="Bala Dunn"/>
    <d v="2025-01-25T00:00:00"/>
    <n v="44"/>
    <x v="2"/>
    <x v="29"/>
    <s v="4G Router"/>
    <x v="0"/>
    <n v="5"/>
    <s v="Excellent"/>
    <n v="2"/>
    <x v="0"/>
    <x v="0"/>
    <n v="35000"/>
    <n v="14"/>
    <n v="490000"/>
    <n v="35000"/>
    <n v="30.02"/>
    <x v="1"/>
    <n v="0"/>
    <n v="0"/>
    <n v="0"/>
    <n v="0"/>
  </r>
  <r>
    <s v="CUST0390"/>
    <s v="Ejiro Gonzalez"/>
    <d v="2025-03-25T00:00:00"/>
    <n v="65"/>
    <x v="3"/>
    <x v="3"/>
    <s v="Broadband MiFi"/>
    <x v="0"/>
    <n v="3"/>
    <s v="Good"/>
    <n v="19"/>
    <x v="1"/>
    <x v="12"/>
    <n v="14500"/>
    <n v="14"/>
    <n v="203000"/>
    <n v="14500"/>
    <n v="148.43"/>
    <x v="1"/>
    <n v="0"/>
    <n v="0"/>
    <n v="0"/>
    <n v="0"/>
  </r>
  <r>
    <s v="CUST0390"/>
    <s v="Ejiro Gonzalez"/>
    <d v="2025-03-25T00:00:00"/>
    <n v="65"/>
    <x v="3"/>
    <x v="3"/>
    <s v="Mobile SIM Card"/>
    <x v="0"/>
    <n v="3"/>
    <s v="Good"/>
    <n v="19"/>
    <x v="1"/>
    <x v="1"/>
    <n v="5500"/>
    <n v="14"/>
    <n v="77000"/>
    <n v="5500"/>
    <n v="58.08"/>
    <x v="1"/>
    <n v="0"/>
    <n v="0"/>
    <n v="0"/>
    <n v="0"/>
  </r>
  <r>
    <s v="CUST0391"/>
    <s v="Ibim Schwartz"/>
    <d v="2025-03-25T00:00:00"/>
    <n v="33"/>
    <x v="0"/>
    <x v="33"/>
    <s v="5G Broadband Router"/>
    <x v="0"/>
    <n v="4"/>
    <s v="Very Good"/>
    <n v="14"/>
    <x v="1"/>
    <x v="2"/>
    <n v="20000"/>
    <n v="9"/>
    <n v="180000"/>
    <n v="20000"/>
    <n v="1.82"/>
    <x v="1"/>
    <n v="0"/>
    <n v="0"/>
    <n v="0"/>
    <n v="0"/>
  </r>
  <r>
    <s v="CUST0391"/>
    <s v="Ibim Schwartz"/>
    <d v="2025-03-25T00:00:00"/>
    <n v="33"/>
    <x v="0"/>
    <x v="33"/>
    <s v="Broadband MiFi"/>
    <x v="0"/>
    <n v="4"/>
    <s v="Very Good"/>
    <n v="14"/>
    <x v="1"/>
    <x v="12"/>
    <n v="14500"/>
    <n v="15"/>
    <n v="217500"/>
    <n v="14500"/>
    <n v="35.39"/>
    <x v="1"/>
    <n v="0"/>
    <n v="0"/>
    <n v="0"/>
    <n v="0"/>
  </r>
  <r>
    <s v="CUST0391"/>
    <s v="Ibim Schwartz"/>
    <d v="2025-03-25T00:00:00"/>
    <n v="33"/>
    <x v="0"/>
    <x v="33"/>
    <s v="4G Router"/>
    <x v="0"/>
    <n v="4"/>
    <s v="Very Good"/>
    <n v="14"/>
    <x v="1"/>
    <x v="5"/>
    <n v="4500"/>
    <n v="13"/>
    <n v="58500"/>
    <n v="4500"/>
    <n v="40.25"/>
    <x v="1"/>
    <n v="0"/>
    <n v="0"/>
    <n v="0"/>
    <n v="0"/>
  </r>
  <r>
    <s v="CUST0392"/>
    <s v="Abubakar Hayes"/>
    <d v="2025-03-25T00:00:00"/>
    <n v="78"/>
    <x v="3"/>
    <x v="19"/>
    <s v="4G Router"/>
    <x v="1"/>
    <n v="4"/>
    <s v="Very Good"/>
    <n v="54"/>
    <x v="2"/>
    <x v="9"/>
    <n v="16000"/>
    <n v="10"/>
    <n v="160000"/>
    <n v="16000"/>
    <n v="31.23"/>
    <x v="1"/>
    <n v="0"/>
    <n v="0"/>
    <n v="0"/>
    <n v="0"/>
  </r>
  <r>
    <s v="CUST0392"/>
    <s v="Abubakar Hayes"/>
    <d v="2025-03-25T00:00:00"/>
    <n v="78"/>
    <x v="3"/>
    <x v="19"/>
    <s v="Broadband MiFi"/>
    <x v="1"/>
    <n v="4"/>
    <s v="Very Good"/>
    <n v="54"/>
    <x v="2"/>
    <x v="12"/>
    <n v="14500"/>
    <n v="10"/>
    <n v="145000"/>
    <n v="14500"/>
    <n v="25.27"/>
    <x v="1"/>
    <n v="0"/>
    <n v="0"/>
    <n v="0"/>
    <n v="0"/>
  </r>
  <r>
    <s v="CUST0393"/>
    <s v="Ibim Ballard"/>
    <d v="2025-01-25T00:00:00"/>
    <n v="38"/>
    <x v="2"/>
    <x v="12"/>
    <s v="5G Broadband Router"/>
    <x v="0"/>
    <n v="3"/>
    <s v="Good"/>
    <n v="2"/>
    <x v="0"/>
    <x v="8"/>
    <n v="150000"/>
    <n v="9"/>
    <n v="1350000"/>
    <n v="150000"/>
    <n v="113.33"/>
    <x v="1"/>
    <n v="0"/>
    <n v="0"/>
    <n v="0"/>
    <n v="0"/>
  </r>
  <r>
    <s v="CUST0394"/>
    <s v="John Nielsen"/>
    <d v="2025-03-25T00:00:00"/>
    <n v="31"/>
    <x v="0"/>
    <x v="3"/>
    <s v="5G Broadband Router"/>
    <x v="0"/>
    <n v="2"/>
    <s v="Fair"/>
    <n v="55"/>
    <x v="2"/>
    <x v="8"/>
    <n v="150000"/>
    <n v="5"/>
    <n v="750000"/>
    <n v="150000"/>
    <n v="175.72"/>
    <x v="1"/>
    <n v="0"/>
    <n v="0"/>
    <n v="0"/>
    <n v="0"/>
  </r>
  <r>
    <s v="CUST0395"/>
    <s v="Oghene Pacheco"/>
    <d v="2025-02-25T00:00:00"/>
    <n v="36"/>
    <x v="2"/>
    <x v="4"/>
    <s v="Broadband MiFi"/>
    <x v="1"/>
    <n v="3"/>
    <s v="Good"/>
    <n v="24"/>
    <x v="1"/>
    <x v="2"/>
    <n v="20000"/>
    <n v="20"/>
    <n v="400000"/>
    <n v="20000"/>
    <n v="153.06"/>
    <x v="0"/>
    <n v="1"/>
    <n v="0"/>
    <n v="0"/>
    <n v="0"/>
  </r>
  <r>
    <s v="CUST0395"/>
    <s v="Oghene Pacheco"/>
    <d v="2025-02-25T00:00:00"/>
    <n v="36"/>
    <x v="2"/>
    <x v="4"/>
    <s v="5G Broadband Router"/>
    <x v="1"/>
    <n v="3"/>
    <s v="Good"/>
    <n v="24"/>
    <x v="1"/>
    <x v="11"/>
    <n v="30000"/>
    <n v="11"/>
    <n v="330000"/>
    <n v="30000"/>
    <n v="108.97"/>
    <x v="0"/>
    <n v="1"/>
    <n v="0"/>
    <n v="0"/>
    <n v="0"/>
  </r>
  <r>
    <s v="CUST0395"/>
    <s v="Oghene Pacheco"/>
    <d v="2025-02-25T00:00:00"/>
    <n v="36"/>
    <x v="2"/>
    <x v="4"/>
    <s v="Mobile SIM Card"/>
    <x v="1"/>
    <n v="3"/>
    <s v="Good"/>
    <n v="24"/>
    <x v="1"/>
    <x v="3"/>
    <n v="500"/>
    <n v="12"/>
    <n v="6000"/>
    <n v="500"/>
    <n v="54.66"/>
    <x v="0"/>
    <n v="1"/>
    <n v="0"/>
    <n v="0"/>
    <n v="0"/>
  </r>
  <r>
    <s v="CUST0396"/>
    <s v="Ngozi Johnson"/>
    <d v="2025-03-25T00:00:00"/>
    <n v="61"/>
    <x v="3"/>
    <x v="5"/>
    <s v="5G Broadband Router"/>
    <x v="0"/>
    <n v="3"/>
    <s v="Good"/>
    <n v="9"/>
    <x v="3"/>
    <x v="2"/>
    <n v="20000"/>
    <n v="17"/>
    <n v="340000"/>
    <n v="20000"/>
    <n v="43.97"/>
    <x v="1"/>
    <n v="0"/>
    <n v="0"/>
    <n v="0"/>
    <n v="0"/>
  </r>
  <r>
    <s v="CUST0396"/>
    <s v="Ngozi Johnson"/>
    <d v="2025-03-25T00:00:00"/>
    <n v="61"/>
    <x v="3"/>
    <x v="5"/>
    <s v="Broadband MiFi"/>
    <x v="0"/>
    <n v="3"/>
    <s v="Good"/>
    <n v="9"/>
    <x v="3"/>
    <x v="2"/>
    <n v="20000"/>
    <n v="18"/>
    <n v="360000"/>
    <n v="20000"/>
    <n v="166.4"/>
    <x v="1"/>
    <n v="0"/>
    <n v="0"/>
    <n v="0"/>
    <n v="0"/>
  </r>
  <r>
    <s v="CUST0397"/>
    <s v="Sarah Perry"/>
    <d v="2025-01-25T00:00:00"/>
    <n v="30"/>
    <x v="0"/>
    <x v="15"/>
    <s v="Mobile SIM Card"/>
    <x v="1"/>
    <n v="1"/>
    <s v="Poor"/>
    <n v="59"/>
    <x v="2"/>
    <x v="7"/>
    <n v="3500"/>
    <n v="12"/>
    <n v="42000"/>
    <n v="3500"/>
    <n v="62.66"/>
    <x v="1"/>
    <n v="0"/>
    <n v="0"/>
    <n v="0"/>
    <n v="0"/>
  </r>
  <r>
    <s v="CUST0398"/>
    <s v="Amaka Shannon"/>
    <d v="2025-03-25T00:00:00"/>
    <n v="72"/>
    <x v="3"/>
    <x v="8"/>
    <s v="4G Router"/>
    <x v="1"/>
    <n v="1"/>
    <s v="Poor"/>
    <n v="12"/>
    <x v="3"/>
    <x v="5"/>
    <n v="4500"/>
    <n v="5"/>
    <n v="22500"/>
    <n v="4500"/>
    <n v="171.43"/>
    <x v="1"/>
    <n v="0"/>
    <n v="0"/>
    <n v="0"/>
    <n v="0"/>
  </r>
  <r>
    <s v="CUST0399"/>
    <s v="Nura Delgado"/>
    <d v="2025-01-25T00:00:00"/>
    <n v="55"/>
    <x v="3"/>
    <x v="21"/>
    <s v="Broadband MiFi"/>
    <x v="0"/>
    <n v="4"/>
    <s v="Very Good"/>
    <n v="9"/>
    <x v="3"/>
    <x v="4"/>
    <n v="9000"/>
    <n v="14"/>
    <n v="126000"/>
    <n v="9000"/>
    <n v="155.05000000000001"/>
    <x v="1"/>
    <n v="0"/>
    <n v="0"/>
    <n v="0"/>
    <n v="0"/>
  </r>
  <r>
    <s v="CUST0400"/>
    <s v="Bola Vincent"/>
    <d v="2025-01-25T00:00:00"/>
    <n v="41"/>
    <x v="2"/>
    <x v="13"/>
    <s v="Broadband MiFi"/>
    <x v="0"/>
    <n v="4"/>
    <s v="Very Good"/>
    <n v="51"/>
    <x v="2"/>
    <x v="11"/>
    <n v="30000"/>
    <n v="4"/>
    <n v="120000"/>
    <n v="30000"/>
    <n v="133.68"/>
    <x v="0"/>
    <n v="1"/>
    <n v="0"/>
    <n v="0"/>
    <n v="0"/>
  </r>
  <r>
    <s v="CUST0401"/>
    <s v="Ifeanyi Adkins"/>
    <d v="2025-03-25T00:00:00"/>
    <n v="42"/>
    <x v="2"/>
    <x v="18"/>
    <s v="5G Broadband Router"/>
    <x v="0"/>
    <n v="1"/>
    <s v="Poor"/>
    <n v="43"/>
    <x v="2"/>
    <x v="18"/>
    <n v="25000"/>
    <n v="17"/>
    <n v="425000"/>
    <n v="25000"/>
    <n v="32.53"/>
    <x v="0"/>
    <n v="1"/>
    <n v="0"/>
    <n v="0"/>
    <n v="0"/>
  </r>
  <r>
    <s v="CUST0401"/>
    <s v="Ifeanyi Adkins"/>
    <d v="2025-03-25T00:00:00"/>
    <n v="42"/>
    <x v="2"/>
    <x v="18"/>
    <s v="Mobile SIM Card"/>
    <x v="0"/>
    <n v="1"/>
    <s v="Poor"/>
    <n v="43"/>
    <x v="2"/>
    <x v="13"/>
    <n v="350"/>
    <n v="3"/>
    <n v="1050"/>
    <n v="350"/>
    <n v="101.23"/>
    <x v="0"/>
    <n v="1"/>
    <n v="0"/>
    <n v="0"/>
    <n v="0"/>
  </r>
  <r>
    <s v="CUST0401"/>
    <s v="Ifeanyi Adkins"/>
    <d v="2025-03-25T00:00:00"/>
    <n v="42"/>
    <x v="2"/>
    <x v="18"/>
    <s v="4G Router"/>
    <x v="0"/>
    <n v="1"/>
    <s v="Poor"/>
    <n v="43"/>
    <x v="2"/>
    <x v="9"/>
    <n v="16000"/>
    <n v="1"/>
    <n v="16000"/>
    <n v="16000"/>
    <n v="164.01"/>
    <x v="0"/>
    <n v="1"/>
    <n v="0"/>
    <n v="0"/>
    <n v="0"/>
  </r>
  <r>
    <s v="CUST0402"/>
    <s v="Sarah Oconnor"/>
    <d v="2025-01-25T00:00:00"/>
    <n v="43"/>
    <x v="2"/>
    <x v="18"/>
    <s v="Mobile SIM Card"/>
    <x v="1"/>
    <n v="1"/>
    <s v="Poor"/>
    <n v="11"/>
    <x v="3"/>
    <x v="1"/>
    <n v="5500"/>
    <n v="4"/>
    <n v="22000"/>
    <n v="5500"/>
    <n v="134.87"/>
    <x v="1"/>
    <n v="0"/>
    <n v="0"/>
    <n v="0"/>
    <n v="0"/>
  </r>
  <r>
    <s v="CUST0402"/>
    <s v="Sarah Oconnor"/>
    <d v="2025-01-25T00:00:00"/>
    <n v="43"/>
    <x v="2"/>
    <x v="18"/>
    <s v="4G Router"/>
    <x v="1"/>
    <n v="1"/>
    <s v="Poor"/>
    <n v="11"/>
    <x v="3"/>
    <x v="5"/>
    <n v="4500"/>
    <n v="13"/>
    <n v="58500"/>
    <n v="4500"/>
    <n v="167.03"/>
    <x v="1"/>
    <n v="0"/>
    <n v="0"/>
    <n v="0"/>
    <n v="0"/>
  </r>
  <r>
    <s v="CUST0402"/>
    <s v="Sarah Oconnor"/>
    <d v="2025-01-25T00:00:00"/>
    <n v="43"/>
    <x v="2"/>
    <x v="18"/>
    <s v="Broadband MiFi"/>
    <x v="1"/>
    <n v="1"/>
    <s v="Poor"/>
    <n v="11"/>
    <x v="3"/>
    <x v="12"/>
    <n v="14500"/>
    <n v="8"/>
    <n v="116000"/>
    <n v="14500"/>
    <n v="43.25"/>
    <x v="1"/>
    <n v="0"/>
    <n v="0"/>
    <n v="0"/>
    <n v="0"/>
  </r>
  <r>
    <s v="CUST0403"/>
    <s v="Ibim Soto"/>
    <d v="2025-01-25T00:00:00"/>
    <n v="30"/>
    <x v="0"/>
    <x v="32"/>
    <s v="5G Broadband Router"/>
    <x v="0"/>
    <n v="5"/>
    <s v="Excellent"/>
    <n v="30"/>
    <x v="2"/>
    <x v="4"/>
    <n v="9000"/>
    <n v="16"/>
    <n v="144000"/>
    <n v="9000"/>
    <n v="16.91"/>
    <x v="0"/>
    <n v="1"/>
    <n v="0"/>
    <n v="0"/>
    <n v="0"/>
  </r>
  <r>
    <s v="CUST0403"/>
    <s v="Ibim Soto"/>
    <d v="2025-01-25T00:00:00"/>
    <n v="30"/>
    <x v="0"/>
    <x v="32"/>
    <s v="Mobile SIM Card"/>
    <x v="0"/>
    <n v="5"/>
    <s v="Excellent"/>
    <n v="30"/>
    <x v="2"/>
    <x v="14"/>
    <n v="1000"/>
    <n v="15"/>
    <n v="15000"/>
    <n v="1000"/>
    <n v="77.260000000000005"/>
    <x v="0"/>
    <n v="1"/>
    <n v="0"/>
    <n v="0"/>
    <n v="0"/>
  </r>
  <r>
    <s v="CUST0404"/>
    <s v="Maryam Buck"/>
    <d v="2025-02-25T00:00:00"/>
    <n v="72"/>
    <x v="3"/>
    <x v="16"/>
    <s v="5G Broadband Router"/>
    <x v="1"/>
    <n v="2"/>
    <s v="Fair"/>
    <n v="19"/>
    <x v="1"/>
    <x v="4"/>
    <n v="9000"/>
    <n v="16"/>
    <n v="144000"/>
    <n v="9000"/>
    <n v="199.75"/>
    <x v="1"/>
    <n v="0"/>
    <n v="0"/>
    <n v="0"/>
    <n v="0"/>
  </r>
  <r>
    <s v="CUST0404"/>
    <s v="Maryam Buck"/>
    <d v="2025-02-25T00:00:00"/>
    <n v="72"/>
    <x v="3"/>
    <x v="16"/>
    <s v="Broadband MiFi"/>
    <x v="1"/>
    <n v="2"/>
    <s v="Fair"/>
    <n v="19"/>
    <x v="1"/>
    <x v="4"/>
    <n v="9000"/>
    <n v="17"/>
    <n v="153000"/>
    <n v="9000"/>
    <n v="79.58"/>
    <x v="1"/>
    <n v="0"/>
    <n v="0"/>
    <n v="0"/>
    <n v="0"/>
  </r>
  <r>
    <s v="CUST0405"/>
    <s v="Chinedu Brown"/>
    <d v="2025-01-25T00:00:00"/>
    <n v="31"/>
    <x v="0"/>
    <x v="5"/>
    <s v="4G Router"/>
    <x v="1"/>
    <n v="2"/>
    <s v="Fair"/>
    <n v="26"/>
    <x v="2"/>
    <x v="0"/>
    <n v="35000"/>
    <n v="14"/>
    <n v="490000"/>
    <n v="35000"/>
    <n v="24.99"/>
    <x v="0"/>
    <n v="1"/>
    <n v="0"/>
    <n v="0"/>
    <n v="0"/>
  </r>
  <r>
    <s v="CUST0405"/>
    <s v="Chinedu Brown"/>
    <d v="2025-01-25T00:00:00"/>
    <n v="31"/>
    <x v="0"/>
    <x v="5"/>
    <s v="5G Broadband Router"/>
    <x v="1"/>
    <n v="2"/>
    <s v="Fair"/>
    <n v="26"/>
    <x v="2"/>
    <x v="8"/>
    <n v="150000"/>
    <n v="19"/>
    <n v="2850000"/>
    <n v="150000"/>
    <n v="56.06"/>
    <x v="0"/>
    <n v="1"/>
    <n v="0"/>
    <n v="0"/>
    <n v="0"/>
  </r>
  <r>
    <s v="CUST0406"/>
    <s v="Zainab Soto"/>
    <d v="2025-02-25T00:00:00"/>
    <n v="67"/>
    <x v="3"/>
    <x v="25"/>
    <s v="Mobile SIM Card"/>
    <x v="1"/>
    <n v="4"/>
    <s v="Very Good"/>
    <n v="43"/>
    <x v="2"/>
    <x v="14"/>
    <n v="1000"/>
    <n v="16"/>
    <n v="16000"/>
    <n v="1000"/>
    <n v="24.88"/>
    <x v="1"/>
    <n v="0"/>
    <n v="0"/>
    <n v="0"/>
    <n v="0"/>
  </r>
  <r>
    <s v="CUST0407"/>
    <s v="Grace Thompson"/>
    <d v="2025-01-25T00:00:00"/>
    <n v="45"/>
    <x v="4"/>
    <x v="21"/>
    <s v="4G Router"/>
    <x v="0"/>
    <n v="1"/>
    <s v="Poor"/>
    <n v="7"/>
    <x v="3"/>
    <x v="0"/>
    <n v="35000"/>
    <n v="11"/>
    <n v="385000"/>
    <n v="35000"/>
    <n v="121.11"/>
    <x v="1"/>
    <n v="0"/>
    <n v="0"/>
    <n v="0"/>
    <n v="0"/>
  </r>
  <r>
    <s v="CUST0408"/>
    <s v="Obinna Daniels"/>
    <d v="2025-02-25T00:00:00"/>
    <n v="54"/>
    <x v="4"/>
    <x v="13"/>
    <s v="Mobile SIM Card"/>
    <x v="0"/>
    <n v="4"/>
    <s v="Very Good"/>
    <n v="43"/>
    <x v="2"/>
    <x v="3"/>
    <n v="500"/>
    <n v="18"/>
    <n v="9000"/>
    <n v="500"/>
    <n v="108.72"/>
    <x v="0"/>
    <n v="1"/>
    <n v="0"/>
    <n v="0"/>
    <n v="0"/>
  </r>
  <r>
    <s v="CUST0408"/>
    <s v="Obinna Daniels"/>
    <d v="2025-02-25T00:00:00"/>
    <n v="54"/>
    <x v="4"/>
    <x v="13"/>
    <s v="5G Broadband Router"/>
    <x v="0"/>
    <n v="4"/>
    <s v="Very Good"/>
    <n v="43"/>
    <x v="2"/>
    <x v="4"/>
    <n v="9000"/>
    <n v="2"/>
    <n v="18000"/>
    <n v="9000"/>
    <n v="190.54"/>
    <x v="0"/>
    <n v="1"/>
    <n v="0"/>
    <n v="0"/>
    <n v="0"/>
  </r>
  <r>
    <s v="CUST0409"/>
    <s v="Boma Burns"/>
    <d v="2025-02-25T00:00:00"/>
    <n v="31"/>
    <x v="0"/>
    <x v="6"/>
    <s v="4G Router"/>
    <x v="1"/>
    <n v="4"/>
    <s v="Very Good"/>
    <n v="21"/>
    <x v="1"/>
    <x v="6"/>
    <n v="9000"/>
    <n v="6"/>
    <n v="54000"/>
    <n v="9000"/>
    <n v="177"/>
    <x v="1"/>
    <n v="0"/>
    <n v="0"/>
    <n v="0"/>
    <n v="0"/>
  </r>
  <r>
    <s v="CUST0410"/>
    <s v="Grace Snyder"/>
    <d v="2025-02-25T00:00:00"/>
    <n v="71"/>
    <x v="3"/>
    <x v="21"/>
    <s v="Mobile SIM Card"/>
    <x v="1"/>
    <n v="4"/>
    <s v="Very Good"/>
    <n v="46"/>
    <x v="2"/>
    <x v="1"/>
    <n v="5500"/>
    <n v="6"/>
    <n v="33000"/>
    <n v="5500"/>
    <n v="112.67"/>
    <x v="1"/>
    <n v="0"/>
    <n v="0"/>
    <n v="0"/>
    <n v="0"/>
  </r>
  <r>
    <s v="CUST0410"/>
    <s v="Grace Snyder"/>
    <d v="2025-02-25T00:00:00"/>
    <n v="71"/>
    <x v="3"/>
    <x v="21"/>
    <s v="5G Broadband Router"/>
    <x v="1"/>
    <n v="4"/>
    <s v="Very Good"/>
    <n v="46"/>
    <x v="2"/>
    <x v="4"/>
    <n v="9000"/>
    <n v="16"/>
    <n v="144000"/>
    <n v="9000"/>
    <n v="78.58"/>
    <x v="1"/>
    <n v="0"/>
    <n v="0"/>
    <n v="0"/>
    <n v="0"/>
  </r>
  <r>
    <s v="CUST0410"/>
    <s v="Grace Snyder"/>
    <d v="2025-02-25T00:00:00"/>
    <n v="71"/>
    <x v="3"/>
    <x v="21"/>
    <s v="4G Router"/>
    <x v="1"/>
    <n v="4"/>
    <s v="Very Good"/>
    <n v="46"/>
    <x v="2"/>
    <x v="0"/>
    <n v="35000"/>
    <n v="12"/>
    <n v="420000"/>
    <n v="35000"/>
    <n v="123.58"/>
    <x v="1"/>
    <n v="0"/>
    <n v="0"/>
    <n v="0"/>
    <n v="0"/>
  </r>
  <r>
    <s v="CUST0411"/>
    <s v="Abubakar Lane"/>
    <d v="2025-01-25T00:00:00"/>
    <n v="57"/>
    <x v="3"/>
    <x v="4"/>
    <s v="Broadband MiFi"/>
    <x v="0"/>
    <n v="2"/>
    <s v="Fair"/>
    <n v="38"/>
    <x v="2"/>
    <x v="11"/>
    <n v="30000"/>
    <n v="14"/>
    <n v="420000"/>
    <n v="30000"/>
    <n v="76.42"/>
    <x v="1"/>
    <n v="0"/>
    <n v="0"/>
    <n v="0"/>
    <n v="0"/>
  </r>
  <r>
    <s v="CUST0411"/>
    <s v="Abubakar Lane"/>
    <d v="2025-01-25T00:00:00"/>
    <n v="57"/>
    <x v="3"/>
    <x v="4"/>
    <s v="5G Broadband Router"/>
    <x v="0"/>
    <n v="2"/>
    <s v="Fair"/>
    <n v="38"/>
    <x v="2"/>
    <x v="18"/>
    <n v="25000"/>
    <n v="14"/>
    <n v="350000"/>
    <n v="25000"/>
    <n v="198.39"/>
    <x v="1"/>
    <n v="0"/>
    <n v="0"/>
    <n v="0"/>
    <n v="0"/>
  </r>
  <r>
    <s v="CUST0412"/>
    <s v="Oghene Bartlett"/>
    <d v="2025-03-25T00:00:00"/>
    <n v="23"/>
    <x v="1"/>
    <x v="7"/>
    <s v="5G Broadband Router"/>
    <x v="0"/>
    <n v="5"/>
    <s v="Excellent"/>
    <n v="16"/>
    <x v="1"/>
    <x v="2"/>
    <n v="20000"/>
    <n v="1"/>
    <n v="20000"/>
    <n v="20000"/>
    <n v="67.849999999999994"/>
    <x v="0"/>
    <n v="1"/>
    <n v="0"/>
    <n v="0"/>
    <n v="0"/>
  </r>
  <r>
    <s v="CUST0413"/>
    <s v="David Giles"/>
    <d v="2025-02-25T00:00:00"/>
    <n v="57"/>
    <x v="3"/>
    <x v="19"/>
    <s v="5G Broadband Router"/>
    <x v="1"/>
    <n v="5"/>
    <s v="Excellent"/>
    <n v="43"/>
    <x v="2"/>
    <x v="8"/>
    <n v="150000"/>
    <n v="11"/>
    <n v="1650000"/>
    <n v="150000"/>
    <n v="117.8"/>
    <x v="1"/>
    <n v="0"/>
    <n v="0"/>
    <n v="0"/>
    <n v="0"/>
  </r>
  <r>
    <s v="CUST0413"/>
    <s v="David Giles"/>
    <d v="2025-02-25T00:00:00"/>
    <n v="57"/>
    <x v="3"/>
    <x v="19"/>
    <s v="Broadband MiFi"/>
    <x v="1"/>
    <n v="5"/>
    <s v="Excellent"/>
    <n v="43"/>
    <x v="2"/>
    <x v="12"/>
    <n v="14500"/>
    <n v="11"/>
    <n v="159500"/>
    <n v="14500"/>
    <n v="114.29"/>
    <x v="1"/>
    <n v="0"/>
    <n v="0"/>
    <n v="0"/>
    <n v="0"/>
  </r>
  <r>
    <s v="CUST0414"/>
    <s v="Ngozi Williams"/>
    <d v="2025-02-25T00:00:00"/>
    <n v="78"/>
    <x v="3"/>
    <x v="13"/>
    <s v="5G Broadband Router"/>
    <x v="0"/>
    <n v="5"/>
    <s v="Excellent"/>
    <n v="22"/>
    <x v="1"/>
    <x v="18"/>
    <n v="25000"/>
    <n v="7"/>
    <n v="175000"/>
    <n v="25000"/>
    <n v="193.9"/>
    <x v="1"/>
    <n v="0"/>
    <n v="0"/>
    <n v="0"/>
    <n v="0"/>
  </r>
  <r>
    <s v="CUST0414"/>
    <s v="Ngozi Williams"/>
    <d v="2025-02-25T00:00:00"/>
    <n v="78"/>
    <x v="3"/>
    <x v="13"/>
    <s v="Broadband MiFi"/>
    <x v="0"/>
    <n v="5"/>
    <s v="Excellent"/>
    <n v="22"/>
    <x v="1"/>
    <x v="12"/>
    <n v="14500"/>
    <n v="3"/>
    <n v="43500"/>
    <n v="14500"/>
    <n v="127.27"/>
    <x v="1"/>
    <n v="0"/>
    <n v="0"/>
    <n v="0"/>
    <n v="0"/>
  </r>
  <r>
    <s v="CUST0414"/>
    <s v="Ngozi Williams"/>
    <d v="2025-02-25T00:00:00"/>
    <n v="78"/>
    <x v="3"/>
    <x v="13"/>
    <s v="4G Router"/>
    <x v="0"/>
    <n v="5"/>
    <s v="Excellent"/>
    <n v="22"/>
    <x v="1"/>
    <x v="5"/>
    <n v="4500"/>
    <n v="2"/>
    <n v="9000"/>
    <n v="4500"/>
    <n v="57.83"/>
    <x v="1"/>
    <n v="0"/>
    <n v="0"/>
    <n v="0"/>
    <n v="0"/>
  </r>
  <r>
    <s v="CUST0415"/>
    <s v="Maryam Anthony"/>
    <d v="2025-01-25T00:00:00"/>
    <n v="67"/>
    <x v="3"/>
    <x v="16"/>
    <s v="Mobile SIM Card"/>
    <x v="0"/>
    <n v="5"/>
    <s v="Excellent"/>
    <n v="46"/>
    <x v="2"/>
    <x v="15"/>
    <n v="7500"/>
    <n v="3"/>
    <n v="22500"/>
    <n v="7500"/>
    <n v="42.34"/>
    <x v="1"/>
    <n v="0"/>
    <n v="0"/>
    <n v="0"/>
    <n v="0"/>
  </r>
  <r>
    <s v="CUST0416"/>
    <s v="Maryam Blankenship"/>
    <d v="2025-03-25T00:00:00"/>
    <n v="80"/>
    <x v="3"/>
    <x v="24"/>
    <s v="Mobile SIM Card"/>
    <x v="1"/>
    <n v="2"/>
    <s v="Fair"/>
    <n v="43"/>
    <x v="2"/>
    <x v="20"/>
    <n v="6500"/>
    <n v="1"/>
    <n v="6500"/>
    <n v="6500"/>
    <n v="36.53"/>
    <x v="1"/>
    <n v="0"/>
    <n v="0"/>
    <n v="0"/>
    <n v="0"/>
  </r>
  <r>
    <s v="CUST0416"/>
    <s v="Maryam Blankenship"/>
    <d v="2025-03-25T00:00:00"/>
    <n v="80"/>
    <x v="3"/>
    <x v="24"/>
    <s v="5G Broadband Router"/>
    <x v="1"/>
    <n v="2"/>
    <s v="Fair"/>
    <n v="43"/>
    <x v="2"/>
    <x v="11"/>
    <n v="30000"/>
    <n v="7"/>
    <n v="210000"/>
    <n v="30000"/>
    <n v="115.58"/>
    <x v="1"/>
    <n v="0"/>
    <n v="0"/>
    <n v="0"/>
    <n v="0"/>
  </r>
  <r>
    <s v="CUST0417"/>
    <s v="Zina Hernandez"/>
    <d v="2025-01-25T00:00:00"/>
    <n v="50"/>
    <x v="4"/>
    <x v="11"/>
    <s v="4G Router"/>
    <x v="1"/>
    <n v="5"/>
    <s v="Excellent"/>
    <n v="60"/>
    <x v="2"/>
    <x v="5"/>
    <n v="4500"/>
    <n v="10"/>
    <n v="45000"/>
    <n v="4500"/>
    <n v="149.41"/>
    <x v="0"/>
    <n v="1"/>
    <n v="0"/>
    <n v="0"/>
    <n v="0"/>
  </r>
  <r>
    <s v="CUST0418"/>
    <s v="Boma Johnson"/>
    <d v="2025-02-25T00:00:00"/>
    <n v="68"/>
    <x v="3"/>
    <x v="32"/>
    <s v="4G Router"/>
    <x v="0"/>
    <n v="4"/>
    <s v="Very Good"/>
    <n v="41"/>
    <x v="2"/>
    <x v="0"/>
    <n v="35000"/>
    <n v="5"/>
    <n v="175000"/>
    <n v="35000"/>
    <n v="48.08"/>
    <x v="0"/>
    <n v="1"/>
    <n v="0"/>
    <n v="0"/>
    <n v="0"/>
  </r>
  <r>
    <s v="CUST0418"/>
    <s v="Boma Johnson"/>
    <d v="2025-02-25T00:00:00"/>
    <n v="68"/>
    <x v="3"/>
    <x v="32"/>
    <s v="Mobile SIM Card"/>
    <x v="0"/>
    <n v="4"/>
    <s v="Very Good"/>
    <n v="41"/>
    <x v="2"/>
    <x v="13"/>
    <n v="350"/>
    <n v="10"/>
    <n v="3500"/>
    <n v="350"/>
    <n v="6.03"/>
    <x v="0"/>
    <n v="1"/>
    <n v="0"/>
    <n v="0"/>
    <n v="0"/>
  </r>
  <r>
    <s v="CUST0418"/>
    <s v="Boma Johnson"/>
    <d v="2025-02-25T00:00:00"/>
    <n v="68"/>
    <x v="3"/>
    <x v="32"/>
    <s v="Broadband MiFi"/>
    <x v="0"/>
    <n v="4"/>
    <s v="Very Good"/>
    <n v="41"/>
    <x v="2"/>
    <x v="12"/>
    <n v="14500"/>
    <n v="14"/>
    <n v="203000"/>
    <n v="14500"/>
    <n v="97.33"/>
    <x v="0"/>
    <n v="1"/>
    <n v="0"/>
    <n v="0"/>
    <n v="0"/>
  </r>
  <r>
    <s v="CUST0419"/>
    <s v="Boma Sanchez"/>
    <d v="2025-02-25T00:00:00"/>
    <n v="20"/>
    <x v="1"/>
    <x v="18"/>
    <s v="4G Router"/>
    <x v="0"/>
    <n v="1"/>
    <s v="Poor"/>
    <n v="18"/>
    <x v="1"/>
    <x v="9"/>
    <n v="16000"/>
    <n v="16"/>
    <n v="256000"/>
    <n v="16000"/>
    <n v="192.78"/>
    <x v="0"/>
    <n v="1"/>
    <n v="0"/>
    <n v="0"/>
    <n v="0"/>
  </r>
  <r>
    <s v="CUST0419"/>
    <s v="Boma Sanchez"/>
    <d v="2025-02-25T00:00:00"/>
    <n v="20"/>
    <x v="1"/>
    <x v="18"/>
    <s v="5G Broadband Router"/>
    <x v="0"/>
    <n v="1"/>
    <s v="Poor"/>
    <n v="18"/>
    <x v="1"/>
    <x v="4"/>
    <n v="9000"/>
    <n v="3"/>
    <n v="27000"/>
    <n v="9000"/>
    <n v="11.54"/>
    <x v="0"/>
    <n v="1"/>
    <n v="0"/>
    <n v="0"/>
    <n v="0"/>
  </r>
  <r>
    <s v="CUST0420"/>
    <s v="Ese Miller"/>
    <d v="2025-03-25T00:00:00"/>
    <n v="54"/>
    <x v="4"/>
    <x v="23"/>
    <s v="4G Router"/>
    <x v="1"/>
    <n v="1"/>
    <s v="Poor"/>
    <n v="58"/>
    <x v="2"/>
    <x v="9"/>
    <n v="16000"/>
    <n v="19"/>
    <n v="304000"/>
    <n v="16000"/>
    <n v="104.63"/>
    <x v="1"/>
    <n v="0"/>
    <n v="0"/>
    <n v="0"/>
    <n v="0"/>
  </r>
  <r>
    <s v="CUST0420"/>
    <s v="Ese Miller"/>
    <d v="2025-03-25T00:00:00"/>
    <n v="54"/>
    <x v="4"/>
    <x v="23"/>
    <s v="Broadband MiFi"/>
    <x v="1"/>
    <n v="1"/>
    <s v="Poor"/>
    <n v="58"/>
    <x v="2"/>
    <x v="10"/>
    <n v="24000"/>
    <n v="3"/>
    <n v="72000"/>
    <n v="24000"/>
    <n v="50.74"/>
    <x v="1"/>
    <n v="0"/>
    <n v="0"/>
    <n v="0"/>
    <n v="0"/>
  </r>
  <r>
    <s v="CUST0420"/>
    <s v="Ese Miller"/>
    <d v="2025-03-25T00:00:00"/>
    <n v="54"/>
    <x v="4"/>
    <x v="23"/>
    <s v="5G Broadband Router"/>
    <x v="1"/>
    <n v="1"/>
    <s v="Poor"/>
    <n v="58"/>
    <x v="2"/>
    <x v="12"/>
    <n v="14500"/>
    <n v="11"/>
    <n v="159500"/>
    <n v="14500"/>
    <n v="120.16"/>
    <x v="1"/>
    <n v="0"/>
    <n v="0"/>
    <n v="0"/>
    <n v="0"/>
  </r>
  <r>
    <s v="CUST0421"/>
    <s v="Tega Stokes"/>
    <d v="2025-02-25T00:00:00"/>
    <n v="65"/>
    <x v="3"/>
    <x v="7"/>
    <s v="Mobile SIM Card"/>
    <x v="1"/>
    <n v="1"/>
    <s v="Poor"/>
    <n v="14"/>
    <x v="1"/>
    <x v="16"/>
    <n v="900"/>
    <n v="12"/>
    <n v="10800"/>
    <n v="900"/>
    <n v="98.33"/>
    <x v="0"/>
    <n v="1"/>
    <n v="0"/>
    <n v="0"/>
    <n v="0"/>
  </r>
  <r>
    <s v="CUST0421"/>
    <s v="Tega Stokes"/>
    <d v="2025-02-25T00:00:00"/>
    <n v="65"/>
    <x v="3"/>
    <x v="7"/>
    <s v="4G Router"/>
    <x v="1"/>
    <n v="1"/>
    <s v="Poor"/>
    <n v="14"/>
    <x v="1"/>
    <x v="9"/>
    <n v="16000"/>
    <n v="14"/>
    <n v="224000"/>
    <n v="16000"/>
    <n v="63.64"/>
    <x v="0"/>
    <n v="1"/>
    <n v="0"/>
    <n v="0"/>
    <n v="0"/>
  </r>
  <r>
    <s v="CUST0422"/>
    <s v="John Smith"/>
    <d v="2025-02-25T00:00:00"/>
    <n v="47"/>
    <x v="4"/>
    <x v="29"/>
    <s v="Broadband MiFi"/>
    <x v="0"/>
    <n v="3"/>
    <s v="Good"/>
    <n v="24"/>
    <x v="1"/>
    <x v="4"/>
    <n v="9000"/>
    <n v="8"/>
    <n v="72000"/>
    <n v="9000"/>
    <n v="138.29"/>
    <x v="1"/>
    <n v="0"/>
    <n v="0"/>
    <n v="0"/>
    <n v="0"/>
  </r>
  <r>
    <s v="CUST0423"/>
    <s v="Saidu Smith"/>
    <d v="2025-01-25T00:00:00"/>
    <n v="65"/>
    <x v="3"/>
    <x v="24"/>
    <s v="Mobile SIM Card"/>
    <x v="1"/>
    <n v="5"/>
    <s v="Excellent"/>
    <n v="58"/>
    <x v="2"/>
    <x v="15"/>
    <n v="7500"/>
    <n v="9"/>
    <n v="67500"/>
    <n v="7500"/>
    <n v="185.54"/>
    <x v="1"/>
    <n v="0"/>
    <n v="0"/>
    <n v="0"/>
    <n v="0"/>
  </r>
  <r>
    <s v="CUST0423"/>
    <s v="Saidu Smith"/>
    <d v="2025-01-25T00:00:00"/>
    <n v="65"/>
    <x v="3"/>
    <x v="24"/>
    <s v="Broadband MiFi"/>
    <x v="1"/>
    <n v="5"/>
    <s v="Excellent"/>
    <n v="58"/>
    <x v="2"/>
    <x v="11"/>
    <n v="30000"/>
    <n v="8"/>
    <n v="240000"/>
    <n v="30000"/>
    <n v="18.5"/>
    <x v="1"/>
    <n v="0"/>
    <n v="0"/>
    <n v="0"/>
    <n v="0"/>
  </r>
  <r>
    <s v="CUST0424"/>
    <s v="Maryam Becker"/>
    <d v="2025-03-25T00:00:00"/>
    <n v="42"/>
    <x v="2"/>
    <x v="1"/>
    <s v="Broadband MiFi"/>
    <x v="1"/>
    <n v="4"/>
    <s v="Very Good"/>
    <n v="41"/>
    <x v="2"/>
    <x v="12"/>
    <n v="14500"/>
    <n v="11"/>
    <n v="159500"/>
    <n v="14500"/>
    <n v="147.52000000000001"/>
    <x v="1"/>
    <n v="0"/>
    <n v="0"/>
    <n v="0"/>
    <n v="0"/>
  </r>
  <r>
    <s v="CUST0424"/>
    <s v="Maryam Becker"/>
    <d v="2025-03-25T00:00:00"/>
    <n v="42"/>
    <x v="2"/>
    <x v="1"/>
    <s v="4G Router"/>
    <x v="1"/>
    <n v="4"/>
    <s v="Very Good"/>
    <n v="41"/>
    <x v="2"/>
    <x v="0"/>
    <n v="35000"/>
    <n v="4"/>
    <n v="140000"/>
    <n v="35000"/>
    <n v="175.41"/>
    <x v="1"/>
    <n v="0"/>
    <n v="0"/>
    <n v="0"/>
    <n v="0"/>
  </r>
  <r>
    <s v="CUST0425"/>
    <s v="Amina Ortega"/>
    <d v="2025-02-25T00:00:00"/>
    <n v="49"/>
    <x v="4"/>
    <x v="28"/>
    <s v="5G Broadband Router"/>
    <x v="0"/>
    <n v="5"/>
    <s v="Excellent"/>
    <n v="23"/>
    <x v="1"/>
    <x v="4"/>
    <n v="9000"/>
    <n v="6"/>
    <n v="54000"/>
    <n v="9000"/>
    <n v="128.44999999999999"/>
    <x v="1"/>
    <n v="0"/>
    <n v="0"/>
    <n v="0"/>
    <n v="0"/>
  </r>
  <r>
    <s v="CUST0425"/>
    <s v="Amina Ortega"/>
    <d v="2025-02-25T00:00:00"/>
    <n v="49"/>
    <x v="4"/>
    <x v="28"/>
    <s v="4G Router"/>
    <x v="0"/>
    <n v="5"/>
    <s v="Excellent"/>
    <n v="23"/>
    <x v="1"/>
    <x v="0"/>
    <n v="35000"/>
    <n v="5"/>
    <n v="175000"/>
    <n v="35000"/>
    <n v="158.31"/>
    <x v="1"/>
    <n v="0"/>
    <n v="0"/>
    <n v="0"/>
    <n v="0"/>
  </r>
  <r>
    <s v="CUST0425"/>
    <s v="Amina Ortega"/>
    <d v="2025-02-25T00:00:00"/>
    <n v="49"/>
    <x v="4"/>
    <x v="28"/>
    <s v="Broadband MiFi"/>
    <x v="0"/>
    <n v="5"/>
    <s v="Excellent"/>
    <n v="23"/>
    <x v="1"/>
    <x v="4"/>
    <n v="9000"/>
    <n v="10"/>
    <n v="90000"/>
    <n v="9000"/>
    <n v="80.430000000000007"/>
    <x v="1"/>
    <n v="0"/>
    <n v="0"/>
    <n v="0"/>
    <n v="0"/>
  </r>
  <r>
    <s v="CUST0426"/>
    <s v="Ese Mathis"/>
    <d v="2025-02-25T00:00:00"/>
    <n v="26"/>
    <x v="0"/>
    <x v="27"/>
    <s v="Mobile SIM Card"/>
    <x v="0"/>
    <n v="5"/>
    <s v="Excellent"/>
    <n v="16"/>
    <x v="1"/>
    <x v="19"/>
    <n v="600"/>
    <n v="19"/>
    <n v="11400"/>
    <n v="600"/>
    <n v="52.51"/>
    <x v="1"/>
    <n v="0"/>
    <n v="0"/>
    <n v="0"/>
    <n v="0"/>
  </r>
  <r>
    <s v="CUST0426"/>
    <s v="Ese Mathis"/>
    <d v="2025-02-25T00:00:00"/>
    <n v="26"/>
    <x v="0"/>
    <x v="27"/>
    <s v="4G Router"/>
    <x v="0"/>
    <n v="5"/>
    <s v="Excellent"/>
    <n v="16"/>
    <x v="1"/>
    <x v="6"/>
    <n v="9000"/>
    <n v="7"/>
    <n v="63000"/>
    <n v="9000"/>
    <n v="160.01"/>
    <x v="1"/>
    <n v="0"/>
    <n v="0"/>
    <n v="0"/>
    <n v="0"/>
  </r>
  <r>
    <s v="CUST0427"/>
    <s v="Chinedu West"/>
    <d v="2025-02-25T00:00:00"/>
    <n v="69"/>
    <x v="3"/>
    <x v="3"/>
    <s v="4G Router"/>
    <x v="0"/>
    <n v="5"/>
    <s v="Excellent"/>
    <n v="26"/>
    <x v="2"/>
    <x v="5"/>
    <n v="4500"/>
    <n v="6"/>
    <n v="27000"/>
    <n v="4500"/>
    <n v="52.73"/>
    <x v="0"/>
    <n v="1"/>
    <n v="0"/>
    <n v="0"/>
    <n v="0"/>
  </r>
  <r>
    <s v="CUST0427"/>
    <s v="Chinedu West"/>
    <d v="2025-02-25T00:00:00"/>
    <n v="69"/>
    <x v="3"/>
    <x v="3"/>
    <s v="Broadband MiFi"/>
    <x v="0"/>
    <n v="5"/>
    <s v="Excellent"/>
    <n v="26"/>
    <x v="2"/>
    <x v="4"/>
    <n v="9000"/>
    <n v="14"/>
    <n v="126000"/>
    <n v="9000"/>
    <n v="80.510000000000005"/>
    <x v="0"/>
    <n v="1"/>
    <n v="0"/>
    <n v="0"/>
    <n v="0"/>
  </r>
  <r>
    <s v="CUST0427"/>
    <s v="Chinedu West"/>
    <d v="2025-02-25T00:00:00"/>
    <n v="69"/>
    <x v="3"/>
    <x v="3"/>
    <s v="Mobile SIM Card"/>
    <x v="0"/>
    <n v="5"/>
    <s v="Excellent"/>
    <n v="26"/>
    <x v="2"/>
    <x v="3"/>
    <n v="500"/>
    <n v="12"/>
    <n v="6000"/>
    <n v="500"/>
    <n v="30.28"/>
    <x v="0"/>
    <n v="1"/>
    <n v="0"/>
    <n v="0"/>
    <n v="0"/>
  </r>
  <r>
    <s v="CUST0428"/>
    <s v="Amina Skinner"/>
    <d v="2025-02-25T00:00:00"/>
    <n v="31"/>
    <x v="0"/>
    <x v="34"/>
    <s v="4G Router"/>
    <x v="1"/>
    <n v="4"/>
    <s v="Very Good"/>
    <n v="50"/>
    <x v="2"/>
    <x v="6"/>
    <n v="9000"/>
    <n v="16"/>
    <n v="144000"/>
    <n v="9000"/>
    <n v="57.95"/>
    <x v="0"/>
    <n v="1"/>
    <n v="0"/>
    <n v="0"/>
    <n v="0"/>
  </r>
  <r>
    <s v="CUST0429"/>
    <s v="Omamuzo Smith"/>
    <d v="2025-02-25T00:00:00"/>
    <n v="32"/>
    <x v="0"/>
    <x v="0"/>
    <s v="Mobile SIM Card"/>
    <x v="0"/>
    <n v="3"/>
    <s v="Good"/>
    <n v="39"/>
    <x v="2"/>
    <x v="19"/>
    <n v="600"/>
    <n v="5"/>
    <n v="3000"/>
    <n v="600"/>
    <n v="82"/>
    <x v="1"/>
    <n v="0"/>
    <n v="0"/>
    <n v="0"/>
    <n v="0"/>
  </r>
  <r>
    <s v="CUST0430"/>
    <s v="Funke Lawson"/>
    <d v="2025-02-25T00:00:00"/>
    <n v="53"/>
    <x v="4"/>
    <x v="22"/>
    <s v="Mobile SIM Card"/>
    <x v="0"/>
    <n v="2"/>
    <s v="Fair"/>
    <n v="40"/>
    <x v="2"/>
    <x v="1"/>
    <n v="5500"/>
    <n v="11"/>
    <n v="60500"/>
    <n v="5500"/>
    <n v="27.07"/>
    <x v="1"/>
    <n v="0"/>
    <n v="0"/>
    <n v="0"/>
    <n v="0"/>
  </r>
  <r>
    <s v="CUST0430"/>
    <s v="Funke Lawson"/>
    <d v="2025-02-25T00:00:00"/>
    <n v="53"/>
    <x v="4"/>
    <x v="22"/>
    <s v="Broadband MiFi"/>
    <x v="0"/>
    <n v="2"/>
    <s v="Fair"/>
    <n v="40"/>
    <x v="2"/>
    <x v="12"/>
    <n v="14500"/>
    <n v="13"/>
    <n v="188500"/>
    <n v="14500"/>
    <n v="137.53"/>
    <x v="1"/>
    <n v="0"/>
    <n v="0"/>
    <n v="0"/>
    <n v="0"/>
  </r>
  <r>
    <s v="CUST0430"/>
    <s v="Funke Lawson"/>
    <d v="2025-02-25T00:00:00"/>
    <n v="53"/>
    <x v="4"/>
    <x v="22"/>
    <s v="5G Broadband Router"/>
    <x v="0"/>
    <n v="2"/>
    <s v="Fair"/>
    <n v="40"/>
    <x v="2"/>
    <x v="17"/>
    <n v="75000"/>
    <n v="9"/>
    <n v="675000"/>
    <n v="75000"/>
    <n v="147.35"/>
    <x v="1"/>
    <n v="0"/>
    <n v="0"/>
    <n v="0"/>
    <n v="0"/>
  </r>
  <r>
    <s v="CUST0431"/>
    <s v="Kunle Cooper"/>
    <d v="2025-02-25T00:00:00"/>
    <n v="28"/>
    <x v="0"/>
    <x v="4"/>
    <s v="Broadband MiFi"/>
    <x v="0"/>
    <n v="4"/>
    <s v="Very Good"/>
    <n v="22"/>
    <x v="1"/>
    <x v="10"/>
    <n v="24000"/>
    <n v="10"/>
    <n v="240000"/>
    <n v="24000"/>
    <n v="124.12"/>
    <x v="1"/>
    <n v="0"/>
    <n v="0"/>
    <n v="0"/>
    <n v="0"/>
  </r>
  <r>
    <s v="CUST0431"/>
    <s v="Kunle Cooper"/>
    <d v="2025-02-25T00:00:00"/>
    <n v="28"/>
    <x v="0"/>
    <x v="4"/>
    <s v="Mobile SIM Card"/>
    <x v="0"/>
    <n v="4"/>
    <s v="Very Good"/>
    <n v="22"/>
    <x v="1"/>
    <x v="15"/>
    <n v="7500"/>
    <n v="5"/>
    <n v="37500"/>
    <n v="7500"/>
    <n v="134.41999999999999"/>
    <x v="1"/>
    <n v="0"/>
    <n v="0"/>
    <n v="0"/>
    <n v="0"/>
  </r>
  <r>
    <s v="CUST0431"/>
    <s v="Kunle Cooper"/>
    <d v="2025-02-25T00:00:00"/>
    <n v="28"/>
    <x v="0"/>
    <x v="4"/>
    <s v="4G Router"/>
    <x v="0"/>
    <n v="4"/>
    <s v="Very Good"/>
    <n v="22"/>
    <x v="1"/>
    <x v="9"/>
    <n v="16000"/>
    <n v="9"/>
    <n v="144000"/>
    <n v="16000"/>
    <n v="116.31"/>
    <x v="1"/>
    <n v="0"/>
    <n v="0"/>
    <n v="0"/>
    <n v="0"/>
  </r>
  <r>
    <s v="CUST0432"/>
    <s v="Amina Espinoza"/>
    <d v="2025-01-25T00:00:00"/>
    <n v="80"/>
    <x v="3"/>
    <x v="12"/>
    <s v="Mobile SIM Card"/>
    <x v="1"/>
    <n v="2"/>
    <s v="Fair"/>
    <n v="57"/>
    <x v="2"/>
    <x v="14"/>
    <n v="1000"/>
    <n v="5"/>
    <n v="5000"/>
    <n v="1000"/>
    <n v="63"/>
    <x v="0"/>
    <n v="1"/>
    <n v="0"/>
    <n v="0"/>
    <n v="0"/>
  </r>
  <r>
    <s v="CUST0432"/>
    <s v="Amina Espinoza"/>
    <d v="2025-01-25T00:00:00"/>
    <n v="80"/>
    <x v="3"/>
    <x v="12"/>
    <s v="Broadband MiFi"/>
    <x v="1"/>
    <n v="2"/>
    <s v="Fair"/>
    <n v="57"/>
    <x v="2"/>
    <x v="12"/>
    <n v="14500"/>
    <n v="9"/>
    <n v="130500"/>
    <n v="14500"/>
    <n v="174.4"/>
    <x v="0"/>
    <n v="1"/>
    <n v="0"/>
    <n v="0"/>
    <n v="0"/>
  </r>
  <r>
    <s v="CUST0432"/>
    <s v="Amina Espinoza"/>
    <d v="2025-01-25T00:00:00"/>
    <n v="80"/>
    <x v="3"/>
    <x v="12"/>
    <s v="4G Router"/>
    <x v="1"/>
    <n v="2"/>
    <s v="Fair"/>
    <n v="57"/>
    <x v="2"/>
    <x v="6"/>
    <n v="9000"/>
    <n v="10"/>
    <n v="90000"/>
    <n v="9000"/>
    <n v="185.28"/>
    <x v="0"/>
    <n v="1"/>
    <n v="0"/>
    <n v="0"/>
    <n v="0"/>
  </r>
  <r>
    <s v="CUST0433"/>
    <s v="Saidu Whitehead"/>
    <d v="2025-02-25T00:00:00"/>
    <n v="49"/>
    <x v="4"/>
    <x v="8"/>
    <s v="4G Router"/>
    <x v="1"/>
    <n v="3"/>
    <s v="Good"/>
    <n v="28"/>
    <x v="2"/>
    <x v="0"/>
    <n v="35000"/>
    <n v="5"/>
    <n v="175000"/>
    <n v="35000"/>
    <n v="11.12"/>
    <x v="1"/>
    <n v="0"/>
    <n v="0"/>
    <n v="0"/>
    <n v="0"/>
  </r>
  <r>
    <s v="CUST0433"/>
    <s v="Saidu Whitehead"/>
    <d v="2025-02-25T00:00:00"/>
    <n v="49"/>
    <x v="4"/>
    <x v="8"/>
    <s v="5G Broadband Router"/>
    <x v="1"/>
    <n v="3"/>
    <s v="Good"/>
    <n v="28"/>
    <x v="2"/>
    <x v="4"/>
    <n v="9000"/>
    <n v="2"/>
    <n v="18000"/>
    <n v="9000"/>
    <n v="46.36"/>
    <x v="1"/>
    <n v="0"/>
    <n v="0"/>
    <n v="0"/>
    <n v="0"/>
  </r>
  <r>
    <s v="CUST0434"/>
    <s v="John Williams"/>
    <d v="2025-01-25T00:00:00"/>
    <n v="49"/>
    <x v="4"/>
    <x v="1"/>
    <s v="Mobile SIM Card"/>
    <x v="1"/>
    <n v="4"/>
    <s v="Very Good"/>
    <n v="28"/>
    <x v="2"/>
    <x v="14"/>
    <n v="1000"/>
    <n v="5"/>
    <n v="5000"/>
    <n v="1000"/>
    <n v="169.24"/>
    <x v="0"/>
    <n v="1"/>
    <n v="0"/>
    <n v="0"/>
    <n v="0"/>
  </r>
  <r>
    <s v="CUST0434"/>
    <s v="John Williams"/>
    <d v="2025-01-25T00:00:00"/>
    <n v="49"/>
    <x v="4"/>
    <x v="1"/>
    <s v="4G Router"/>
    <x v="1"/>
    <n v="4"/>
    <s v="Very Good"/>
    <n v="28"/>
    <x v="2"/>
    <x v="9"/>
    <n v="16000"/>
    <n v="7"/>
    <n v="112000"/>
    <n v="16000"/>
    <n v="70.25"/>
    <x v="0"/>
    <n v="1"/>
    <n v="0"/>
    <n v="0"/>
    <n v="0"/>
  </r>
  <r>
    <s v="CUST0434"/>
    <s v="John Williams"/>
    <d v="2025-01-25T00:00:00"/>
    <n v="49"/>
    <x v="4"/>
    <x v="1"/>
    <s v="5G Broadband Router"/>
    <x v="1"/>
    <n v="4"/>
    <s v="Very Good"/>
    <n v="28"/>
    <x v="2"/>
    <x v="10"/>
    <n v="24000"/>
    <n v="6"/>
    <n v="144000"/>
    <n v="24000"/>
    <n v="36.54"/>
    <x v="0"/>
    <n v="1"/>
    <n v="0"/>
    <n v="0"/>
    <n v="0"/>
  </r>
  <r>
    <s v="CUST0435"/>
    <s v="Michael Santana"/>
    <d v="2025-02-25T00:00:00"/>
    <n v="50"/>
    <x v="4"/>
    <x v="9"/>
    <s v="Mobile SIM Card"/>
    <x v="0"/>
    <n v="4"/>
    <s v="Very Good"/>
    <n v="34"/>
    <x v="2"/>
    <x v="14"/>
    <n v="1000"/>
    <n v="1"/>
    <n v="1000"/>
    <n v="1000"/>
    <n v="177.53"/>
    <x v="1"/>
    <n v="0"/>
    <n v="0"/>
    <n v="0"/>
    <n v="0"/>
  </r>
  <r>
    <s v="CUST0436"/>
    <s v="Abubakar Bullock"/>
    <d v="2025-01-25T00:00:00"/>
    <n v="31"/>
    <x v="0"/>
    <x v="10"/>
    <s v="Mobile SIM Card"/>
    <x v="1"/>
    <n v="3"/>
    <s v="Good"/>
    <n v="38"/>
    <x v="2"/>
    <x v="3"/>
    <n v="500"/>
    <n v="1"/>
    <n v="500"/>
    <n v="500"/>
    <n v="119.04"/>
    <x v="0"/>
    <n v="1"/>
    <n v="0"/>
    <n v="0"/>
    <n v="0"/>
  </r>
  <r>
    <s v="CUST0436"/>
    <s v="Abubakar Bullock"/>
    <d v="2025-01-25T00:00:00"/>
    <n v="31"/>
    <x v="0"/>
    <x v="10"/>
    <s v="4G Router"/>
    <x v="1"/>
    <n v="3"/>
    <s v="Good"/>
    <n v="38"/>
    <x v="2"/>
    <x v="6"/>
    <n v="9000"/>
    <n v="20"/>
    <n v="180000"/>
    <n v="9000"/>
    <n v="193.97"/>
    <x v="0"/>
    <n v="1"/>
    <n v="0"/>
    <n v="0"/>
    <n v="0"/>
  </r>
  <r>
    <s v="CUST0437"/>
    <s v="Alabo Young"/>
    <d v="2025-01-25T00:00:00"/>
    <n v="57"/>
    <x v="3"/>
    <x v="21"/>
    <s v="Broadband MiFi"/>
    <x v="0"/>
    <n v="3"/>
    <s v="Good"/>
    <n v="56"/>
    <x v="2"/>
    <x v="10"/>
    <n v="24000"/>
    <n v="13"/>
    <n v="312000"/>
    <n v="24000"/>
    <n v="190.4"/>
    <x v="1"/>
    <n v="0"/>
    <n v="0"/>
    <n v="0"/>
    <n v="0"/>
  </r>
  <r>
    <s v="CUST0438"/>
    <s v="Chinedu Ramos"/>
    <d v="2025-01-25T00:00:00"/>
    <n v="67"/>
    <x v="3"/>
    <x v="22"/>
    <s v="Mobile SIM Card"/>
    <x v="0"/>
    <n v="1"/>
    <s v="Poor"/>
    <n v="16"/>
    <x v="1"/>
    <x v="15"/>
    <n v="7500"/>
    <n v="5"/>
    <n v="37500"/>
    <n v="7500"/>
    <n v="57.34"/>
    <x v="0"/>
    <n v="1"/>
    <n v="0"/>
    <n v="0"/>
    <n v="0"/>
  </r>
  <r>
    <s v="CUST0439"/>
    <s v="Ifeanyi Zimmerman"/>
    <d v="2025-03-25T00:00:00"/>
    <n v="54"/>
    <x v="4"/>
    <x v="12"/>
    <s v="5G Broadband Router"/>
    <x v="1"/>
    <n v="5"/>
    <s v="Excellent"/>
    <n v="48"/>
    <x v="2"/>
    <x v="12"/>
    <n v="14500"/>
    <n v="13"/>
    <n v="188500"/>
    <n v="14500"/>
    <n v="98.18"/>
    <x v="0"/>
    <n v="1"/>
    <n v="0"/>
    <n v="0"/>
    <n v="0"/>
  </r>
  <r>
    <s v="CUST0440"/>
    <s v="John Carter"/>
    <d v="2025-01-25T00:00:00"/>
    <n v="50"/>
    <x v="4"/>
    <x v="0"/>
    <s v="Mobile SIM Card"/>
    <x v="0"/>
    <n v="3"/>
    <s v="Good"/>
    <n v="49"/>
    <x v="2"/>
    <x v="16"/>
    <n v="900"/>
    <n v="15"/>
    <n v="13500"/>
    <n v="900"/>
    <n v="102.91"/>
    <x v="1"/>
    <n v="0"/>
    <n v="0"/>
    <n v="0"/>
    <n v="0"/>
  </r>
  <r>
    <s v="CUST0440"/>
    <s v="John Carter"/>
    <d v="2025-01-25T00:00:00"/>
    <n v="50"/>
    <x v="4"/>
    <x v="0"/>
    <s v="Broadband MiFi"/>
    <x v="0"/>
    <n v="3"/>
    <s v="Good"/>
    <n v="49"/>
    <x v="2"/>
    <x v="2"/>
    <n v="20000"/>
    <n v="5"/>
    <n v="100000"/>
    <n v="20000"/>
    <n v="129.69999999999999"/>
    <x v="1"/>
    <n v="0"/>
    <n v="0"/>
    <n v="0"/>
    <n v="0"/>
  </r>
  <r>
    <s v="CUST0441"/>
    <s v="Grace Williams"/>
    <d v="2025-01-25T00:00:00"/>
    <n v="26"/>
    <x v="0"/>
    <x v="14"/>
    <s v="5G Broadband Router"/>
    <x v="1"/>
    <n v="4"/>
    <s v="Very Good"/>
    <n v="28"/>
    <x v="2"/>
    <x v="12"/>
    <n v="14500"/>
    <n v="10"/>
    <n v="145000"/>
    <n v="14500"/>
    <n v="104.86"/>
    <x v="1"/>
    <n v="0"/>
    <n v="0"/>
    <n v="0"/>
    <n v="0"/>
  </r>
  <r>
    <s v="CUST0442"/>
    <s v="Sade Johnson"/>
    <d v="2025-01-25T00:00:00"/>
    <n v="25"/>
    <x v="0"/>
    <x v="19"/>
    <s v="5G Broadband Router"/>
    <x v="0"/>
    <n v="4"/>
    <s v="Very Good"/>
    <n v="33"/>
    <x v="2"/>
    <x v="2"/>
    <n v="20000"/>
    <n v="1"/>
    <n v="20000"/>
    <n v="20000"/>
    <n v="153.85"/>
    <x v="0"/>
    <n v="1"/>
    <n v="0"/>
    <n v="0"/>
    <n v="0"/>
  </r>
  <r>
    <s v="CUST0442"/>
    <s v="Sade Johnson"/>
    <d v="2025-01-25T00:00:00"/>
    <n v="25"/>
    <x v="0"/>
    <x v="19"/>
    <s v="4G Router"/>
    <x v="0"/>
    <n v="4"/>
    <s v="Very Good"/>
    <n v="33"/>
    <x v="2"/>
    <x v="9"/>
    <n v="16000"/>
    <n v="15"/>
    <n v="240000"/>
    <n v="16000"/>
    <n v="148.22999999999999"/>
    <x v="0"/>
    <n v="1"/>
    <n v="0"/>
    <n v="0"/>
    <n v="0"/>
  </r>
  <r>
    <s v="CUST0442"/>
    <s v="Sade Johnson"/>
    <d v="2025-01-25T00:00:00"/>
    <n v="25"/>
    <x v="0"/>
    <x v="19"/>
    <s v="Mobile SIM Card"/>
    <x v="0"/>
    <n v="4"/>
    <s v="Very Good"/>
    <n v="33"/>
    <x v="2"/>
    <x v="19"/>
    <n v="600"/>
    <n v="13"/>
    <n v="7800"/>
    <n v="600"/>
    <n v="157.34"/>
    <x v="0"/>
    <n v="1"/>
    <n v="0"/>
    <n v="0"/>
    <n v="0"/>
  </r>
  <r>
    <s v="CUST0443"/>
    <s v="Bola Wright"/>
    <d v="2025-01-25T00:00:00"/>
    <n v="26"/>
    <x v="0"/>
    <x v="15"/>
    <s v="5G Broadband Router"/>
    <x v="1"/>
    <n v="4"/>
    <s v="Very Good"/>
    <n v="21"/>
    <x v="1"/>
    <x v="12"/>
    <n v="14500"/>
    <n v="20"/>
    <n v="290000"/>
    <n v="14500"/>
    <n v="37.42"/>
    <x v="1"/>
    <n v="0"/>
    <n v="0"/>
    <n v="0"/>
    <n v="0"/>
  </r>
  <r>
    <s v="CUST0443"/>
    <s v="Bola Wright"/>
    <d v="2025-01-25T00:00:00"/>
    <n v="26"/>
    <x v="0"/>
    <x v="15"/>
    <s v="Broadband MiFi"/>
    <x v="1"/>
    <n v="4"/>
    <s v="Very Good"/>
    <n v="21"/>
    <x v="1"/>
    <x v="11"/>
    <n v="30000"/>
    <n v="4"/>
    <n v="120000"/>
    <n v="30000"/>
    <n v="174.39"/>
    <x v="1"/>
    <n v="0"/>
    <n v="0"/>
    <n v="0"/>
    <n v="0"/>
  </r>
  <r>
    <s v="CUST0444"/>
    <s v="Boma Shah"/>
    <d v="2025-01-25T00:00:00"/>
    <n v="18"/>
    <x v="1"/>
    <x v="34"/>
    <s v="Mobile SIM Card"/>
    <x v="1"/>
    <n v="2"/>
    <s v="Fair"/>
    <n v="8"/>
    <x v="3"/>
    <x v="20"/>
    <n v="6500"/>
    <n v="20"/>
    <n v="130000"/>
    <n v="6500"/>
    <n v="60.91"/>
    <x v="1"/>
    <n v="0"/>
    <n v="0"/>
    <n v="0"/>
    <n v="0"/>
  </r>
  <r>
    <s v="CUST0445"/>
    <s v="Ejiro Wagner"/>
    <d v="2025-02-25T00:00:00"/>
    <n v="66"/>
    <x v="3"/>
    <x v="24"/>
    <s v="4G Router"/>
    <x v="0"/>
    <n v="1"/>
    <s v="Poor"/>
    <n v="9"/>
    <x v="3"/>
    <x v="9"/>
    <n v="16000"/>
    <n v="5"/>
    <n v="80000"/>
    <n v="16000"/>
    <n v="42.24"/>
    <x v="0"/>
    <n v="1"/>
    <n v="0"/>
    <n v="0"/>
    <n v="0"/>
  </r>
  <r>
    <s v="CUST0446"/>
    <s v="Halima Lambert"/>
    <d v="2025-03-25T00:00:00"/>
    <n v="71"/>
    <x v="3"/>
    <x v="11"/>
    <s v="Broadband MiFi"/>
    <x v="0"/>
    <n v="4"/>
    <s v="Very Good"/>
    <n v="6"/>
    <x v="3"/>
    <x v="2"/>
    <n v="20000"/>
    <n v="15"/>
    <n v="300000"/>
    <n v="20000"/>
    <n v="180.53"/>
    <x v="0"/>
    <n v="1"/>
    <n v="0"/>
    <n v="0"/>
    <n v="0"/>
  </r>
  <r>
    <s v="CUST0447"/>
    <s v="Grace Hudson"/>
    <d v="2025-02-25T00:00:00"/>
    <n v="76"/>
    <x v="3"/>
    <x v="17"/>
    <s v="Broadband MiFi"/>
    <x v="1"/>
    <n v="2"/>
    <s v="Fair"/>
    <n v="38"/>
    <x v="2"/>
    <x v="4"/>
    <n v="9000"/>
    <n v="14"/>
    <n v="126000"/>
    <n v="9000"/>
    <n v="20.98"/>
    <x v="0"/>
    <n v="1"/>
    <n v="0"/>
    <n v="0"/>
    <n v="0"/>
  </r>
  <r>
    <s v="CUST0447"/>
    <s v="Grace Hudson"/>
    <d v="2025-02-25T00:00:00"/>
    <n v="76"/>
    <x v="3"/>
    <x v="17"/>
    <s v="4G Router"/>
    <x v="1"/>
    <n v="2"/>
    <s v="Fair"/>
    <n v="38"/>
    <x v="2"/>
    <x v="0"/>
    <n v="35000"/>
    <n v="19"/>
    <n v="665000"/>
    <n v="35000"/>
    <n v="169.8"/>
    <x v="0"/>
    <n v="1"/>
    <n v="0"/>
    <n v="0"/>
    <n v="0"/>
  </r>
  <r>
    <s v="CUST0448"/>
    <s v="Abubakar Ryan"/>
    <d v="2025-01-25T00:00:00"/>
    <n v="20"/>
    <x v="1"/>
    <x v="12"/>
    <s v="Broadband MiFi"/>
    <x v="1"/>
    <n v="2"/>
    <s v="Fair"/>
    <n v="32"/>
    <x v="2"/>
    <x v="10"/>
    <n v="24000"/>
    <n v="14"/>
    <n v="336000"/>
    <n v="24000"/>
    <n v="13.17"/>
    <x v="1"/>
    <n v="0"/>
    <n v="0"/>
    <n v="0"/>
    <n v="0"/>
  </r>
  <r>
    <s v="CUST0448"/>
    <s v="Abubakar Ryan"/>
    <d v="2025-01-25T00:00:00"/>
    <n v="20"/>
    <x v="1"/>
    <x v="12"/>
    <s v="4G Router"/>
    <x v="1"/>
    <n v="2"/>
    <s v="Fair"/>
    <n v="32"/>
    <x v="2"/>
    <x v="0"/>
    <n v="35000"/>
    <n v="20"/>
    <n v="700000"/>
    <n v="35000"/>
    <n v="23.83"/>
    <x v="1"/>
    <n v="0"/>
    <n v="0"/>
    <n v="0"/>
    <n v="0"/>
  </r>
  <r>
    <s v="CUST0448"/>
    <s v="Abubakar Ryan"/>
    <d v="2025-01-25T00:00:00"/>
    <n v="20"/>
    <x v="1"/>
    <x v="12"/>
    <s v="5G Broadband Router"/>
    <x v="1"/>
    <n v="2"/>
    <s v="Fair"/>
    <n v="32"/>
    <x v="2"/>
    <x v="18"/>
    <n v="25000"/>
    <n v="14"/>
    <n v="350000"/>
    <n v="25000"/>
    <n v="89.94"/>
    <x v="1"/>
    <n v="0"/>
    <n v="0"/>
    <n v="0"/>
    <n v="0"/>
  </r>
  <r>
    <s v="CUST0449"/>
    <s v="Funke Chung"/>
    <d v="2025-03-25T00:00:00"/>
    <n v="36"/>
    <x v="2"/>
    <x v="14"/>
    <s v="5G Broadband Router"/>
    <x v="0"/>
    <n v="4"/>
    <s v="Very Good"/>
    <n v="31"/>
    <x v="2"/>
    <x v="11"/>
    <n v="30000"/>
    <n v="13"/>
    <n v="390000"/>
    <n v="30000"/>
    <n v="176.69"/>
    <x v="0"/>
    <n v="1"/>
    <n v="0"/>
    <n v="0"/>
    <n v="0"/>
  </r>
  <r>
    <s v="CUST0449"/>
    <s v="Funke Chung"/>
    <d v="2025-03-25T00:00:00"/>
    <n v="36"/>
    <x v="2"/>
    <x v="14"/>
    <s v="Mobile SIM Card"/>
    <x v="0"/>
    <n v="4"/>
    <s v="Very Good"/>
    <n v="31"/>
    <x v="2"/>
    <x v="15"/>
    <n v="7500"/>
    <n v="12"/>
    <n v="90000"/>
    <n v="7500"/>
    <n v="166.7"/>
    <x v="0"/>
    <n v="1"/>
    <n v="0"/>
    <n v="0"/>
    <n v="0"/>
  </r>
  <r>
    <s v="CUST0449"/>
    <s v="Funke Chung"/>
    <d v="2025-03-25T00:00:00"/>
    <n v="36"/>
    <x v="2"/>
    <x v="14"/>
    <s v="4G Router"/>
    <x v="0"/>
    <n v="4"/>
    <s v="Very Good"/>
    <n v="31"/>
    <x v="2"/>
    <x v="0"/>
    <n v="35000"/>
    <n v="6"/>
    <n v="210000"/>
    <n v="35000"/>
    <n v="160.05000000000001"/>
    <x v="0"/>
    <n v="1"/>
    <n v="0"/>
    <n v="0"/>
    <n v="0"/>
  </r>
  <r>
    <s v="CUST0450"/>
    <s v="Fatima Curtis"/>
    <d v="2025-02-25T00:00:00"/>
    <n v="52"/>
    <x v="4"/>
    <x v="33"/>
    <s v="Mobile SIM Card"/>
    <x v="1"/>
    <n v="2"/>
    <s v="Fair"/>
    <n v="9"/>
    <x v="3"/>
    <x v="1"/>
    <n v="5500"/>
    <n v="7"/>
    <n v="38500"/>
    <n v="5500"/>
    <n v="61.08"/>
    <x v="0"/>
    <n v="1"/>
    <n v="0"/>
    <n v="0"/>
    <n v="0"/>
  </r>
  <r>
    <s v="CUST0451"/>
    <s v="Sade Baker"/>
    <d v="2025-02-25T00:00:00"/>
    <n v="18"/>
    <x v="1"/>
    <x v="25"/>
    <s v="Mobile SIM Card"/>
    <x v="1"/>
    <n v="2"/>
    <s v="Fair"/>
    <n v="23"/>
    <x v="1"/>
    <x v="1"/>
    <n v="5500"/>
    <n v="8"/>
    <n v="44000"/>
    <n v="5500"/>
    <n v="23.24"/>
    <x v="1"/>
    <n v="0"/>
    <n v="0"/>
    <n v="0"/>
    <n v="0"/>
  </r>
  <r>
    <s v="CUST0451"/>
    <s v="Sade Baker"/>
    <d v="2025-02-25T00:00:00"/>
    <n v="18"/>
    <x v="1"/>
    <x v="25"/>
    <s v="4G Router"/>
    <x v="1"/>
    <n v="2"/>
    <s v="Fair"/>
    <n v="23"/>
    <x v="1"/>
    <x v="5"/>
    <n v="4500"/>
    <n v="16"/>
    <n v="72000"/>
    <n v="4500"/>
    <n v="112.62"/>
    <x v="1"/>
    <n v="0"/>
    <n v="0"/>
    <n v="0"/>
    <n v="0"/>
  </r>
  <r>
    <s v="CUST0452"/>
    <s v="Saidu Jackson"/>
    <d v="2025-03-25T00:00:00"/>
    <n v="59"/>
    <x v="3"/>
    <x v="25"/>
    <s v="Broadband MiFi"/>
    <x v="0"/>
    <n v="2"/>
    <s v="Fair"/>
    <n v="50"/>
    <x v="2"/>
    <x v="12"/>
    <n v="14500"/>
    <n v="4"/>
    <n v="58000"/>
    <n v="14500"/>
    <n v="159.9"/>
    <x v="1"/>
    <n v="0"/>
    <n v="0"/>
    <n v="0"/>
    <n v="0"/>
  </r>
  <r>
    <s v="CUST0452"/>
    <s v="Saidu Jackson"/>
    <d v="2025-03-25T00:00:00"/>
    <n v="59"/>
    <x v="3"/>
    <x v="25"/>
    <s v="5G Broadband Router"/>
    <x v="0"/>
    <n v="2"/>
    <s v="Fair"/>
    <n v="50"/>
    <x v="2"/>
    <x v="2"/>
    <n v="20000"/>
    <n v="20"/>
    <n v="400000"/>
    <n v="20000"/>
    <n v="156.44"/>
    <x v="1"/>
    <n v="0"/>
    <n v="0"/>
    <n v="0"/>
    <n v="0"/>
  </r>
  <r>
    <s v="CUST0452"/>
    <s v="Saidu Jackson"/>
    <d v="2025-03-25T00:00:00"/>
    <n v="59"/>
    <x v="3"/>
    <x v="25"/>
    <s v="Mobile SIM Card"/>
    <x v="0"/>
    <n v="2"/>
    <s v="Fair"/>
    <n v="50"/>
    <x v="2"/>
    <x v="14"/>
    <n v="1000"/>
    <n v="2"/>
    <n v="2000"/>
    <n v="1000"/>
    <n v="164.81"/>
    <x v="1"/>
    <n v="0"/>
    <n v="0"/>
    <n v="0"/>
    <n v="0"/>
  </r>
  <r>
    <s v="CUST0453"/>
    <s v="Michael Madden"/>
    <d v="2025-02-25T00:00:00"/>
    <n v="29"/>
    <x v="0"/>
    <x v="1"/>
    <s v="Mobile SIM Card"/>
    <x v="0"/>
    <n v="3"/>
    <s v="Good"/>
    <n v="56"/>
    <x v="2"/>
    <x v="14"/>
    <n v="1000"/>
    <n v="12"/>
    <n v="12000"/>
    <n v="1000"/>
    <n v="31.28"/>
    <x v="0"/>
    <n v="1"/>
    <n v="0"/>
    <n v="0"/>
    <n v="0"/>
  </r>
  <r>
    <s v="CUST0453"/>
    <s v="Michael Madden"/>
    <d v="2025-02-25T00:00:00"/>
    <n v="29"/>
    <x v="0"/>
    <x v="1"/>
    <s v="5G Broadband Router"/>
    <x v="0"/>
    <n v="3"/>
    <s v="Good"/>
    <n v="56"/>
    <x v="2"/>
    <x v="18"/>
    <n v="25000"/>
    <n v="4"/>
    <n v="100000"/>
    <n v="25000"/>
    <n v="163.92"/>
    <x v="0"/>
    <n v="1"/>
    <n v="0"/>
    <n v="0"/>
    <n v="0"/>
  </r>
  <r>
    <s v="CUST0453"/>
    <s v="Michael Madden"/>
    <d v="2025-02-25T00:00:00"/>
    <n v="29"/>
    <x v="0"/>
    <x v="1"/>
    <s v="4G Router"/>
    <x v="0"/>
    <n v="3"/>
    <s v="Good"/>
    <n v="56"/>
    <x v="2"/>
    <x v="5"/>
    <n v="4500"/>
    <n v="14"/>
    <n v="63000"/>
    <n v="4500"/>
    <n v="88.1"/>
    <x v="0"/>
    <n v="1"/>
    <n v="0"/>
    <n v="0"/>
    <n v="0"/>
  </r>
  <r>
    <s v="CUST0454"/>
    <s v="Tunde Fuller"/>
    <d v="2025-02-25T00:00:00"/>
    <n v="47"/>
    <x v="4"/>
    <x v="31"/>
    <s v="5G Broadband Router"/>
    <x v="1"/>
    <n v="1"/>
    <s v="Poor"/>
    <n v="19"/>
    <x v="1"/>
    <x v="12"/>
    <n v="14500"/>
    <n v="17"/>
    <n v="246500"/>
    <n v="14500"/>
    <n v="30.75"/>
    <x v="0"/>
    <n v="1"/>
    <n v="0"/>
    <n v="0"/>
    <n v="0"/>
  </r>
  <r>
    <s v="CUST0454"/>
    <s v="Tunde Fuller"/>
    <d v="2025-02-25T00:00:00"/>
    <n v="47"/>
    <x v="4"/>
    <x v="31"/>
    <s v="Mobile SIM Card"/>
    <x v="1"/>
    <n v="1"/>
    <s v="Poor"/>
    <n v="19"/>
    <x v="1"/>
    <x v="15"/>
    <n v="7500"/>
    <n v="5"/>
    <n v="37500"/>
    <n v="7500"/>
    <n v="157.55000000000001"/>
    <x v="0"/>
    <n v="1"/>
    <n v="0"/>
    <n v="0"/>
    <n v="0"/>
  </r>
  <r>
    <s v="CUST0455"/>
    <s v="Boma Baker"/>
    <d v="2025-03-25T00:00:00"/>
    <n v="68"/>
    <x v="3"/>
    <x v="15"/>
    <s v="Broadband MiFi"/>
    <x v="1"/>
    <n v="1"/>
    <s v="Poor"/>
    <n v="55"/>
    <x v="2"/>
    <x v="4"/>
    <n v="9000"/>
    <n v="13"/>
    <n v="117000"/>
    <n v="9000"/>
    <n v="67.989999999999995"/>
    <x v="1"/>
    <n v="0"/>
    <n v="0"/>
    <n v="0"/>
    <n v="0"/>
  </r>
  <r>
    <s v="CUST0456"/>
    <s v="Amina Diaz"/>
    <d v="2025-01-25T00:00:00"/>
    <n v="71"/>
    <x v="3"/>
    <x v="4"/>
    <s v="5G Broadband Router"/>
    <x v="1"/>
    <n v="2"/>
    <s v="Fair"/>
    <n v="49"/>
    <x v="2"/>
    <x v="17"/>
    <n v="75000"/>
    <n v="18"/>
    <n v="1350000"/>
    <n v="75000"/>
    <n v="80.7"/>
    <x v="1"/>
    <n v="0"/>
    <n v="0"/>
    <n v="0"/>
    <n v="0"/>
  </r>
  <r>
    <s v="CUST0457"/>
    <s v="Maryam Martin"/>
    <d v="2025-03-25T00:00:00"/>
    <n v="56"/>
    <x v="3"/>
    <x v="25"/>
    <s v="Mobile SIM Card"/>
    <x v="0"/>
    <n v="5"/>
    <s v="Excellent"/>
    <n v="53"/>
    <x v="2"/>
    <x v="1"/>
    <n v="5500"/>
    <n v="18"/>
    <n v="99000"/>
    <n v="5500"/>
    <n v="128.94999999999999"/>
    <x v="1"/>
    <n v="0"/>
    <n v="0"/>
    <n v="0"/>
    <n v="0"/>
  </r>
  <r>
    <s v="CUST0458"/>
    <s v="Alabo Bradley"/>
    <d v="2025-03-25T00:00:00"/>
    <n v="60"/>
    <x v="3"/>
    <x v="10"/>
    <s v="4G Router"/>
    <x v="0"/>
    <n v="1"/>
    <s v="Poor"/>
    <n v="57"/>
    <x v="2"/>
    <x v="6"/>
    <n v="9000"/>
    <n v="17"/>
    <n v="153000"/>
    <n v="9000"/>
    <n v="43.14"/>
    <x v="0"/>
    <n v="1"/>
    <n v="0"/>
    <n v="0"/>
    <n v="0"/>
  </r>
  <r>
    <s v="CUST0458"/>
    <s v="Alabo Bradley"/>
    <d v="2025-03-25T00:00:00"/>
    <n v="60"/>
    <x v="3"/>
    <x v="10"/>
    <s v="5G Broadband Router"/>
    <x v="0"/>
    <n v="1"/>
    <s v="Poor"/>
    <n v="57"/>
    <x v="2"/>
    <x v="10"/>
    <n v="24000"/>
    <n v="6"/>
    <n v="144000"/>
    <n v="24000"/>
    <n v="104.51"/>
    <x v="0"/>
    <n v="1"/>
    <n v="0"/>
    <n v="0"/>
    <n v="0"/>
  </r>
  <r>
    <s v="CUST0460"/>
    <s v="Ejiro Martin"/>
    <d v="2025-01-25T00:00:00"/>
    <n v="49"/>
    <x v="4"/>
    <x v="28"/>
    <s v="Broadband MiFi"/>
    <x v="1"/>
    <n v="1"/>
    <s v="Poor"/>
    <n v="8"/>
    <x v="3"/>
    <x v="2"/>
    <n v="20000"/>
    <n v="19"/>
    <n v="380000"/>
    <n v="20000"/>
    <n v="161.16999999999999"/>
    <x v="1"/>
    <n v="0"/>
    <n v="0"/>
    <n v="0"/>
    <n v="0"/>
  </r>
  <r>
    <s v="CUST0460"/>
    <s v="Ejiro Martin"/>
    <d v="2025-01-25T00:00:00"/>
    <n v="49"/>
    <x v="4"/>
    <x v="28"/>
    <s v="4G Router"/>
    <x v="1"/>
    <n v="1"/>
    <s v="Poor"/>
    <n v="8"/>
    <x v="3"/>
    <x v="5"/>
    <n v="4500"/>
    <n v="10"/>
    <n v="45000"/>
    <n v="4500"/>
    <n v="70.39"/>
    <x v="1"/>
    <n v="0"/>
    <n v="0"/>
    <n v="0"/>
    <n v="0"/>
  </r>
  <r>
    <s v="CUST0460"/>
    <s v="Ejiro Martin"/>
    <d v="2025-01-25T00:00:00"/>
    <n v="49"/>
    <x v="4"/>
    <x v="28"/>
    <s v="5G Broadband Router"/>
    <x v="1"/>
    <n v="1"/>
    <s v="Poor"/>
    <n v="8"/>
    <x v="3"/>
    <x v="11"/>
    <n v="30000"/>
    <n v="17"/>
    <n v="510000"/>
    <n v="30000"/>
    <n v="143.01"/>
    <x v="1"/>
    <n v="0"/>
    <n v="0"/>
    <n v="0"/>
    <n v="0"/>
  </r>
  <r>
    <s v="CUST0461"/>
    <s v="Halima Walker"/>
    <d v="2025-03-25T00:00:00"/>
    <n v="29"/>
    <x v="0"/>
    <x v="32"/>
    <s v="Mobile SIM Card"/>
    <x v="0"/>
    <n v="4"/>
    <s v="Very Good"/>
    <n v="53"/>
    <x v="2"/>
    <x v="14"/>
    <n v="1000"/>
    <n v="5"/>
    <n v="5000"/>
    <n v="1000"/>
    <n v="12.91"/>
    <x v="0"/>
    <n v="1"/>
    <n v="0"/>
    <n v="0"/>
    <n v="0"/>
  </r>
  <r>
    <s v="CUST0461"/>
    <s v="Halima Walker"/>
    <d v="2025-03-25T00:00:00"/>
    <n v="29"/>
    <x v="0"/>
    <x v="32"/>
    <s v="Broadband MiFi"/>
    <x v="0"/>
    <n v="4"/>
    <s v="Very Good"/>
    <n v="53"/>
    <x v="2"/>
    <x v="12"/>
    <n v="14500"/>
    <n v="3"/>
    <n v="43500"/>
    <n v="14500"/>
    <n v="43.35"/>
    <x v="0"/>
    <n v="1"/>
    <n v="0"/>
    <n v="0"/>
    <n v="0"/>
  </r>
  <r>
    <s v="CUST0462"/>
    <s v="Ejiro Brown"/>
    <d v="2025-03-25T00:00:00"/>
    <n v="67"/>
    <x v="3"/>
    <x v="8"/>
    <s v="Mobile SIM Card"/>
    <x v="1"/>
    <n v="5"/>
    <s v="Excellent"/>
    <n v="56"/>
    <x v="2"/>
    <x v="1"/>
    <n v="5500"/>
    <n v="14"/>
    <n v="77000"/>
    <n v="5500"/>
    <n v="146.47999999999999"/>
    <x v="1"/>
    <n v="0"/>
    <n v="0"/>
    <n v="0"/>
    <n v="0"/>
  </r>
  <r>
    <s v="CUST0462"/>
    <s v="Ejiro Brown"/>
    <d v="2025-03-25T00:00:00"/>
    <n v="67"/>
    <x v="3"/>
    <x v="8"/>
    <s v="5G Broadband Router"/>
    <x v="1"/>
    <n v="5"/>
    <s v="Excellent"/>
    <n v="56"/>
    <x v="2"/>
    <x v="11"/>
    <n v="30000"/>
    <n v="5"/>
    <n v="150000"/>
    <n v="30000"/>
    <n v="29.3"/>
    <x v="1"/>
    <n v="0"/>
    <n v="0"/>
    <n v="0"/>
    <n v="0"/>
  </r>
  <r>
    <s v="CUST0463"/>
    <s v="Grace Bell"/>
    <d v="2025-02-25T00:00:00"/>
    <n v="74"/>
    <x v="3"/>
    <x v="21"/>
    <s v="4G Router"/>
    <x v="0"/>
    <n v="4"/>
    <s v="Very Good"/>
    <n v="45"/>
    <x v="2"/>
    <x v="9"/>
    <n v="16000"/>
    <n v="14"/>
    <n v="224000"/>
    <n v="16000"/>
    <n v="120.52"/>
    <x v="1"/>
    <n v="0"/>
    <n v="0"/>
    <n v="0"/>
    <n v="0"/>
  </r>
  <r>
    <s v="CUST0463"/>
    <s v="Grace Bell"/>
    <d v="2025-02-25T00:00:00"/>
    <n v="74"/>
    <x v="3"/>
    <x v="21"/>
    <s v="5G Broadband Router"/>
    <x v="0"/>
    <n v="4"/>
    <s v="Very Good"/>
    <n v="45"/>
    <x v="2"/>
    <x v="2"/>
    <n v="20000"/>
    <n v="19"/>
    <n v="380000"/>
    <n v="20000"/>
    <n v="24.61"/>
    <x v="1"/>
    <n v="0"/>
    <n v="0"/>
    <n v="0"/>
    <n v="0"/>
  </r>
  <r>
    <s v="CUST0463"/>
    <s v="Grace Bell"/>
    <d v="2025-02-25T00:00:00"/>
    <n v="74"/>
    <x v="3"/>
    <x v="21"/>
    <s v="Mobile SIM Card"/>
    <x v="0"/>
    <n v="4"/>
    <s v="Very Good"/>
    <n v="45"/>
    <x v="2"/>
    <x v="3"/>
    <n v="500"/>
    <n v="5"/>
    <n v="2500"/>
    <n v="500"/>
    <n v="8.5399999999999991"/>
    <x v="1"/>
    <n v="0"/>
    <n v="0"/>
    <n v="0"/>
    <n v="0"/>
  </r>
  <r>
    <s v="CUST0464"/>
    <s v="Ifeanyi Smith"/>
    <d v="2025-03-25T00:00:00"/>
    <n v="63"/>
    <x v="3"/>
    <x v="24"/>
    <s v="Mobile SIM Card"/>
    <x v="1"/>
    <n v="4"/>
    <s v="Very Good"/>
    <n v="20"/>
    <x v="1"/>
    <x v="16"/>
    <n v="900"/>
    <n v="10"/>
    <n v="9000"/>
    <n v="900"/>
    <n v="187.4"/>
    <x v="0"/>
    <n v="1"/>
    <n v="0"/>
    <n v="0"/>
    <n v="0"/>
  </r>
  <r>
    <s v="CUST0465"/>
    <s v="Abubakar Ross"/>
    <d v="2025-01-25T00:00:00"/>
    <n v="43"/>
    <x v="2"/>
    <x v="20"/>
    <s v="Mobile SIM Card"/>
    <x v="1"/>
    <n v="5"/>
    <s v="Excellent"/>
    <n v="1"/>
    <x v="0"/>
    <x v="1"/>
    <n v="5500"/>
    <n v="19"/>
    <n v="104500"/>
    <n v="5500"/>
    <n v="114.83"/>
    <x v="1"/>
    <n v="0"/>
    <n v="0"/>
    <n v="0"/>
    <n v="0"/>
  </r>
  <r>
    <s v="CUST0466"/>
    <s v="Alabo Escobar"/>
    <d v="2025-02-25T00:00:00"/>
    <n v="59"/>
    <x v="3"/>
    <x v="6"/>
    <s v="Mobile SIM Card"/>
    <x v="1"/>
    <n v="2"/>
    <s v="Fair"/>
    <n v="54"/>
    <x v="2"/>
    <x v="1"/>
    <n v="5500"/>
    <n v="11"/>
    <n v="60500"/>
    <n v="5500"/>
    <n v="30.22"/>
    <x v="1"/>
    <n v="0"/>
    <n v="0"/>
    <n v="0"/>
    <n v="0"/>
  </r>
  <r>
    <s v="CUST0466"/>
    <s v="Alabo Escobar"/>
    <d v="2025-02-25T00:00:00"/>
    <n v="59"/>
    <x v="3"/>
    <x v="6"/>
    <s v="5G Broadband Router"/>
    <x v="1"/>
    <n v="2"/>
    <s v="Fair"/>
    <n v="54"/>
    <x v="2"/>
    <x v="2"/>
    <n v="20000"/>
    <n v="20"/>
    <n v="400000"/>
    <n v="20000"/>
    <n v="160.06"/>
    <x v="1"/>
    <n v="0"/>
    <n v="0"/>
    <n v="0"/>
    <n v="0"/>
  </r>
  <r>
    <s v="CUST0467"/>
    <s v="Ibim Hunter"/>
    <d v="2025-01-25T00:00:00"/>
    <n v="65"/>
    <x v="3"/>
    <x v="16"/>
    <s v="Broadband MiFi"/>
    <x v="1"/>
    <n v="4"/>
    <s v="Very Good"/>
    <n v="22"/>
    <x v="1"/>
    <x v="10"/>
    <n v="24000"/>
    <n v="10"/>
    <n v="240000"/>
    <n v="24000"/>
    <n v="126.21"/>
    <x v="1"/>
    <n v="0"/>
    <n v="0"/>
    <n v="0"/>
    <n v="0"/>
  </r>
  <r>
    <s v="CUST0467"/>
    <s v="Ibim Hunter"/>
    <d v="2025-01-25T00:00:00"/>
    <n v="65"/>
    <x v="3"/>
    <x v="16"/>
    <s v="Mobile SIM Card"/>
    <x v="1"/>
    <n v="4"/>
    <s v="Very Good"/>
    <n v="22"/>
    <x v="1"/>
    <x v="20"/>
    <n v="6500"/>
    <n v="18"/>
    <n v="117000"/>
    <n v="6500"/>
    <n v="129.21"/>
    <x v="1"/>
    <n v="0"/>
    <n v="0"/>
    <n v="0"/>
    <n v="0"/>
  </r>
  <r>
    <s v="CUST0467"/>
    <s v="Ibim Hunter"/>
    <d v="2025-01-25T00:00:00"/>
    <n v="65"/>
    <x v="3"/>
    <x v="16"/>
    <s v="5G Broadband Router"/>
    <x v="1"/>
    <n v="4"/>
    <s v="Very Good"/>
    <n v="22"/>
    <x v="1"/>
    <x v="2"/>
    <n v="20000"/>
    <n v="20"/>
    <n v="400000"/>
    <n v="20000"/>
    <n v="38.89"/>
    <x v="1"/>
    <n v="0"/>
    <n v="0"/>
    <n v="0"/>
    <n v="0"/>
  </r>
  <r>
    <s v="CUST0468"/>
    <s v="David Boone"/>
    <d v="2025-01-25T00:00:00"/>
    <n v="22"/>
    <x v="1"/>
    <x v="8"/>
    <s v="4G Router"/>
    <x v="0"/>
    <n v="5"/>
    <s v="Excellent"/>
    <n v="49"/>
    <x v="2"/>
    <x v="9"/>
    <n v="16000"/>
    <n v="7"/>
    <n v="112000"/>
    <n v="16000"/>
    <n v="55.36"/>
    <x v="1"/>
    <n v="0"/>
    <n v="0"/>
    <n v="0"/>
    <n v="0"/>
  </r>
  <r>
    <s v="CUST0469"/>
    <s v="Halima Matthews"/>
    <d v="2025-01-25T00:00:00"/>
    <n v="72"/>
    <x v="3"/>
    <x v="33"/>
    <s v="5G Broadband Router"/>
    <x v="1"/>
    <n v="4"/>
    <s v="Very Good"/>
    <n v="26"/>
    <x v="2"/>
    <x v="17"/>
    <n v="75000"/>
    <n v="1"/>
    <n v="75000"/>
    <n v="75000"/>
    <n v="36.51"/>
    <x v="1"/>
    <n v="0"/>
    <n v="0"/>
    <n v="0"/>
    <n v="0"/>
  </r>
  <r>
    <s v="CUST0470"/>
    <s v="Sarah Gordon"/>
    <d v="2025-01-25T00:00:00"/>
    <n v="56"/>
    <x v="3"/>
    <x v="6"/>
    <s v="4G Router"/>
    <x v="1"/>
    <n v="1"/>
    <s v="Poor"/>
    <n v="6"/>
    <x v="3"/>
    <x v="6"/>
    <n v="9000"/>
    <n v="5"/>
    <n v="45000"/>
    <n v="9000"/>
    <n v="153.78"/>
    <x v="1"/>
    <n v="0"/>
    <n v="0"/>
    <n v="0"/>
    <n v="0"/>
  </r>
  <r>
    <s v="CUST0470"/>
    <s v="Sarah Gordon"/>
    <d v="2025-01-25T00:00:00"/>
    <n v="56"/>
    <x v="3"/>
    <x v="6"/>
    <s v="Broadband MiFi"/>
    <x v="1"/>
    <n v="1"/>
    <s v="Poor"/>
    <n v="6"/>
    <x v="3"/>
    <x v="11"/>
    <n v="30000"/>
    <n v="6"/>
    <n v="180000"/>
    <n v="30000"/>
    <n v="190.46"/>
    <x v="1"/>
    <n v="0"/>
    <n v="0"/>
    <n v="0"/>
    <n v="0"/>
  </r>
  <r>
    <s v="CUST0471"/>
    <s v="Sade Wagner"/>
    <d v="2025-01-25T00:00:00"/>
    <n v="57"/>
    <x v="3"/>
    <x v="20"/>
    <s v="4G Router"/>
    <x v="0"/>
    <n v="3"/>
    <s v="Good"/>
    <n v="46"/>
    <x v="2"/>
    <x v="6"/>
    <n v="9000"/>
    <n v="4"/>
    <n v="36000"/>
    <n v="9000"/>
    <n v="51.96"/>
    <x v="1"/>
    <n v="0"/>
    <n v="0"/>
    <n v="0"/>
    <n v="0"/>
  </r>
  <r>
    <s v="CUST0471"/>
    <s v="Sade Wagner"/>
    <d v="2025-01-25T00:00:00"/>
    <n v="57"/>
    <x v="3"/>
    <x v="20"/>
    <s v="Mobile SIM Card"/>
    <x v="0"/>
    <n v="3"/>
    <s v="Good"/>
    <n v="46"/>
    <x v="2"/>
    <x v="16"/>
    <n v="900"/>
    <n v="20"/>
    <n v="18000"/>
    <n v="900"/>
    <n v="40.909999999999997"/>
    <x v="1"/>
    <n v="0"/>
    <n v="0"/>
    <n v="0"/>
    <n v="0"/>
  </r>
  <r>
    <s v="CUST0472"/>
    <s v="Halima Adams"/>
    <d v="2025-03-25T00:00:00"/>
    <n v="79"/>
    <x v="3"/>
    <x v="28"/>
    <s v="Mobile SIM Card"/>
    <x v="1"/>
    <n v="1"/>
    <s v="Poor"/>
    <n v="8"/>
    <x v="3"/>
    <x v="16"/>
    <n v="900"/>
    <n v="8"/>
    <n v="7200"/>
    <n v="900"/>
    <n v="81.8"/>
    <x v="1"/>
    <n v="0"/>
    <n v="0"/>
    <n v="0"/>
    <n v="0"/>
  </r>
  <r>
    <s v="CUST0472"/>
    <s v="Halima Adams"/>
    <d v="2025-03-25T00:00:00"/>
    <n v="79"/>
    <x v="3"/>
    <x v="28"/>
    <s v="Broadband MiFi"/>
    <x v="1"/>
    <n v="1"/>
    <s v="Poor"/>
    <n v="8"/>
    <x v="3"/>
    <x v="4"/>
    <n v="9000"/>
    <n v="19"/>
    <n v="171000"/>
    <n v="9000"/>
    <n v="54.2"/>
    <x v="1"/>
    <n v="0"/>
    <n v="0"/>
    <n v="0"/>
    <n v="0"/>
  </r>
  <r>
    <s v="CUST0472"/>
    <s v="Halima Adams"/>
    <d v="2025-03-25T00:00:00"/>
    <n v="79"/>
    <x v="3"/>
    <x v="28"/>
    <s v="4G Router"/>
    <x v="1"/>
    <n v="1"/>
    <s v="Poor"/>
    <n v="8"/>
    <x v="3"/>
    <x v="9"/>
    <n v="16000"/>
    <n v="18"/>
    <n v="288000"/>
    <n v="16000"/>
    <n v="49.64"/>
    <x v="1"/>
    <n v="0"/>
    <n v="0"/>
    <n v="0"/>
    <n v="0"/>
  </r>
  <r>
    <s v="CUST0473"/>
    <s v="Amaka Jackson"/>
    <d v="2025-02-25T00:00:00"/>
    <n v="54"/>
    <x v="4"/>
    <x v="15"/>
    <s v="4G Router"/>
    <x v="1"/>
    <n v="2"/>
    <s v="Fair"/>
    <n v="6"/>
    <x v="3"/>
    <x v="0"/>
    <n v="35000"/>
    <n v="18"/>
    <n v="630000"/>
    <n v="35000"/>
    <n v="192.29"/>
    <x v="1"/>
    <n v="0"/>
    <n v="0"/>
    <n v="0"/>
    <n v="0"/>
  </r>
  <r>
    <s v="CUST0474"/>
    <s v="Alabo Moreno"/>
    <d v="2025-03-25T00:00:00"/>
    <n v="21"/>
    <x v="1"/>
    <x v="34"/>
    <s v="5G Broadband Router"/>
    <x v="1"/>
    <n v="2"/>
    <s v="Fair"/>
    <n v="54"/>
    <x v="2"/>
    <x v="17"/>
    <n v="75000"/>
    <n v="7"/>
    <n v="525000"/>
    <n v="75000"/>
    <n v="199.85"/>
    <x v="0"/>
    <n v="1"/>
    <n v="0"/>
    <n v="0"/>
    <n v="0"/>
  </r>
  <r>
    <s v="CUST0474"/>
    <s v="Alabo Moreno"/>
    <d v="2025-03-25T00:00:00"/>
    <n v="21"/>
    <x v="1"/>
    <x v="34"/>
    <s v="Mobile SIM Card"/>
    <x v="1"/>
    <n v="2"/>
    <s v="Fair"/>
    <n v="54"/>
    <x v="2"/>
    <x v="20"/>
    <n v="6500"/>
    <n v="6"/>
    <n v="39000"/>
    <n v="6500"/>
    <n v="56.62"/>
    <x v="0"/>
    <n v="1"/>
    <n v="0"/>
    <n v="0"/>
    <n v="0"/>
  </r>
  <r>
    <s v="CUST0475"/>
    <s v="David Park"/>
    <d v="2025-01-25T00:00:00"/>
    <n v="24"/>
    <x v="1"/>
    <x v="24"/>
    <s v="Mobile SIM Card"/>
    <x v="0"/>
    <n v="2"/>
    <s v="Fair"/>
    <n v="26"/>
    <x v="2"/>
    <x v="20"/>
    <n v="6500"/>
    <n v="11"/>
    <n v="71500"/>
    <n v="6500"/>
    <n v="191.5"/>
    <x v="1"/>
    <n v="0"/>
    <n v="0"/>
    <n v="0"/>
    <n v="0"/>
  </r>
  <r>
    <s v="CUST0475"/>
    <s v="David Park"/>
    <d v="2025-01-25T00:00:00"/>
    <n v="24"/>
    <x v="1"/>
    <x v="24"/>
    <s v="Broadband MiFi"/>
    <x v="0"/>
    <n v="2"/>
    <s v="Fair"/>
    <n v="26"/>
    <x v="2"/>
    <x v="11"/>
    <n v="30000"/>
    <n v="15"/>
    <n v="450000"/>
    <n v="30000"/>
    <n v="127.22"/>
    <x v="1"/>
    <n v="0"/>
    <n v="0"/>
    <n v="0"/>
    <n v="0"/>
  </r>
  <r>
    <s v="CUST0476"/>
    <s v="Zainab Lam"/>
    <d v="2025-01-25T00:00:00"/>
    <n v="47"/>
    <x v="4"/>
    <x v="32"/>
    <s v="4G Router"/>
    <x v="1"/>
    <n v="5"/>
    <s v="Excellent"/>
    <n v="14"/>
    <x v="1"/>
    <x v="0"/>
    <n v="35000"/>
    <n v="1"/>
    <n v="35000"/>
    <n v="35000"/>
    <n v="1.35"/>
    <x v="1"/>
    <n v="0"/>
    <n v="0"/>
    <n v="0"/>
    <n v="0"/>
  </r>
  <r>
    <s v="CUST0476"/>
    <s v="Zainab Lam"/>
    <d v="2025-01-25T00:00:00"/>
    <n v="47"/>
    <x v="4"/>
    <x v="32"/>
    <s v="5G Broadband Router"/>
    <x v="1"/>
    <n v="5"/>
    <s v="Excellent"/>
    <n v="14"/>
    <x v="1"/>
    <x v="11"/>
    <n v="30000"/>
    <n v="16"/>
    <n v="480000"/>
    <n v="30000"/>
    <n v="82.93"/>
    <x v="1"/>
    <n v="0"/>
    <n v="0"/>
    <n v="0"/>
    <n v="0"/>
  </r>
  <r>
    <s v="CUST0476"/>
    <s v="Zainab Lam"/>
    <d v="2025-01-25T00:00:00"/>
    <n v="47"/>
    <x v="4"/>
    <x v="32"/>
    <s v="Broadband MiFi"/>
    <x v="1"/>
    <n v="5"/>
    <s v="Excellent"/>
    <n v="14"/>
    <x v="1"/>
    <x v="12"/>
    <n v="14500"/>
    <n v="3"/>
    <n v="43500"/>
    <n v="14500"/>
    <n v="107.86"/>
    <x v="1"/>
    <n v="0"/>
    <n v="0"/>
    <n v="0"/>
    <n v="0"/>
  </r>
  <r>
    <s v="CUST0478"/>
    <s v="Ifeanyi Ballard"/>
    <d v="2025-01-25T00:00:00"/>
    <n v="75"/>
    <x v="3"/>
    <x v="3"/>
    <s v="5G Broadband Router"/>
    <x v="0"/>
    <n v="2"/>
    <s v="Fair"/>
    <n v="29"/>
    <x v="2"/>
    <x v="2"/>
    <n v="20000"/>
    <n v="10"/>
    <n v="200000"/>
    <n v="20000"/>
    <n v="163.35"/>
    <x v="1"/>
    <n v="0"/>
    <n v="0"/>
    <n v="0"/>
    <n v="0"/>
  </r>
  <r>
    <s v="CUST0478"/>
    <s v="Ifeanyi Ballard"/>
    <d v="2025-01-25T00:00:00"/>
    <n v="75"/>
    <x v="3"/>
    <x v="3"/>
    <s v="Broadband MiFi"/>
    <x v="0"/>
    <n v="2"/>
    <s v="Fair"/>
    <n v="29"/>
    <x v="2"/>
    <x v="2"/>
    <n v="20000"/>
    <n v="16"/>
    <n v="320000"/>
    <n v="20000"/>
    <n v="47.23"/>
    <x v="1"/>
    <n v="0"/>
    <n v="0"/>
    <n v="0"/>
    <n v="0"/>
  </r>
  <r>
    <s v="CUST0479"/>
    <s v="Ejiro Stewart"/>
    <d v="2025-02-25T00:00:00"/>
    <n v="20"/>
    <x v="1"/>
    <x v="29"/>
    <s v="Mobile SIM Card"/>
    <x v="1"/>
    <n v="1"/>
    <s v="Poor"/>
    <n v="58"/>
    <x v="2"/>
    <x v="20"/>
    <n v="6500"/>
    <n v="18"/>
    <n v="117000"/>
    <n v="6500"/>
    <n v="99.06"/>
    <x v="0"/>
    <n v="1"/>
    <n v="0"/>
    <n v="0"/>
    <n v="0"/>
  </r>
  <r>
    <s v="CUST0479"/>
    <s v="Ejiro Stewart"/>
    <d v="2025-02-25T00:00:00"/>
    <n v="20"/>
    <x v="1"/>
    <x v="29"/>
    <s v="Broadband MiFi"/>
    <x v="1"/>
    <n v="1"/>
    <s v="Poor"/>
    <n v="58"/>
    <x v="2"/>
    <x v="2"/>
    <n v="20000"/>
    <n v="19"/>
    <n v="380000"/>
    <n v="20000"/>
    <n v="132.13999999999999"/>
    <x v="0"/>
    <n v="1"/>
    <n v="0"/>
    <n v="0"/>
    <n v="0"/>
  </r>
  <r>
    <s v="CUST0479"/>
    <s v="Ejiro Stewart"/>
    <d v="2025-02-25T00:00:00"/>
    <n v="20"/>
    <x v="1"/>
    <x v="29"/>
    <s v="4G Router"/>
    <x v="1"/>
    <n v="1"/>
    <s v="Poor"/>
    <n v="58"/>
    <x v="2"/>
    <x v="5"/>
    <n v="4500"/>
    <n v="5"/>
    <n v="22500"/>
    <n v="4500"/>
    <n v="13.54"/>
    <x v="0"/>
    <n v="1"/>
    <n v="0"/>
    <n v="0"/>
    <n v="0"/>
  </r>
  <r>
    <s v="CUST0480"/>
    <s v="Kunle Goodwin"/>
    <d v="2025-03-25T00:00:00"/>
    <n v="32"/>
    <x v="0"/>
    <x v="22"/>
    <s v="5G Broadband Router"/>
    <x v="0"/>
    <n v="2"/>
    <s v="Fair"/>
    <n v="57"/>
    <x v="2"/>
    <x v="8"/>
    <n v="150000"/>
    <n v="14"/>
    <n v="2100000"/>
    <n v="150000"/>
    <n v="0.89"/>
    <x v="1"/>
    <n v="0"/>
    <n v="0"/>
    <n v="0"/>
    <n v="0"/>
  </r>
  <r>
    <s v="CUST0481"/>
    <s v="Sade Reed"/>
    <d v="2025-01-25T00:00:00"/>
    <n v="57"/>
    <x v="3"/>
    <x v="0"/>
    <s v="Broadband MiFi"/>
    <x v="1"/>
    <n v="5"/>
    <s v="Excellent"/>
    <n v="18"/>
    <x v="1"/>
    <x v="2"/>
    <n v="20000"/>
    <n v="14"/>
    <n v="280000"/>
    <n v="20000"/>
    <n v="9.8699999999999992"/>
    <x v="1"/>
    <n v="0"/>
    <n v="0"/>
    <n v="0"/>
    <n v="0"/>
  </r>
  <r>
    <s v="CUST0481"/>
    <s v="Sade Reed"/>
    <d v="2025-01-25T00:00:00"/>
    <n v="57"/>
    <x v="3"/>
    <x v="0"/>
    <s v="5G Broadband Router"/>
    <x v="1"/>
    <n v="5"/>
    <s v="Excellent"/>
    <n v="18"/>
    <x v="1"/>
    <x v="8"/>
    <n v="150000"/>
    <n v="13"/>
    <n v="1950000"/>
    <n v="150000"/>
    <n v="63.59"/>
    <x v="1"/>
    <n v="0"/>
    <n v="0"/>
    <n v="0"/>
    <n v="0"/>
  </r>
  <r>
    <s v="CUST0482"/>
    <s v="Bala Gibson"/>
    <d v="2025-02-25T00:00:00"/>
    <n v="58"/>
    <x v="3"/>
    <x v="33"/>
    <s v="4G Router"/>
    <x v="0"/>
    <n v="4"/>
    <s v="Very Good"/>
    <n v="48"/>
    <x v="2"/>
    <x v="5"/>
    <n v="4500"/>
    <n v="3"/>
    <n v="13500"/>
    <n v="4500"/>
    <n v="66.180000000000007"/>
    <x v="1"/>
    <n v="0"/>
    <n v="0"/>
    <n v="0"/>
    <n v="0"/>
  </r>
  <r>
    <s v="CUST0484"/>
    <s v="Ngozi Chan"/>
    <d v="2025-01-25T00:00:00"/>
    <n v="76"/>
    <x v="3"/>
    <x v="7"/>
    <s v="Broadband MiFi"/>
    <x v="1"/>
    <n v="3"/>
    <s v="Good"/>
    <n v="54"/>
    <x v="2"/>
    <x v="10"/>
    <n v="24000"/>
    <n v="4"/>
    <n v="96000"/>
    <n v="24000"/>
    <n v="124.1"/>
    <x v="1"/>
    <n v="0"/>
    <n v="0"/>
    <n v="0"/>
    <n v="0"/>
  </r>
  <r>
    <s v="CUST0485"/>
    <s v="Alabo Anderson"/>
    <d v="2025-01-25T00:00:00"/>
    <n v="31"/>
    <x v="0"/>
    <x v="33"/>
    <s v="Broadband MiFi"/>
    <x v="0"/>
    <n v="4"/>
    <s v="Very Good"/>
    <n v="59"/>
    <x v="2"/>
    <x v="12"/>
    <n v="14500"/>
    <n v="20"/>
    <n v="290000"/>
    <n v="14500"/>
    <n v="11.43"/>
    <x v="1"/>
    <n v="0"/>
    <n v="0"/>
    <n v="0"/>
    <n v="0"/>
  </r>
  <r>
    <s v="CUST0485"/>
    <s v="Alabo Anderson"/>
    <d v="2025-01-25T00:00:00"/>
    <n v="31"/>
    <x v="0"/>
    <x v="33"/>
    <s v="Mobile SIM Card"/>
    <x v="0"/>
    <n v="4"/>
    <s v="Very Good"/>
    <n v="59"/>
    <x v="2"/>
    <x v="15"/>
    <n v="7500"/>
    <n v="2"/>
    <n v="15000"/>
    <n v="7500"/>
    <n v="13.63"/>
    <x v="1"/>
    <n v="0"/>
    <n v="0"/>
    <n v="0"/>
    <n v="0"/>
  </r>
  <r>
    <s v="CUST0485"/>
    <s v="Alabo Anderson"/>
    <d v="2025-01-25T00:00:00"/>
    <n v="31"/>
    <x v="0"/>
    <x v="33"/>
    <s v="5G Broadband Router"/>
    <x v="0"/>
    <n v="4"/>
    <s v="Very Good"/>
    <n v="59"/>
    <x v="2"/>
    <x v="4"/>
    <n v="9000"/>
    <n v="13"/>
    <n v="117000"/>
    <n v="9000"/>
    <n v="59.34"/>
    <x v="1"/>
    <n v="0"/>
    <n v="0"/>
    <n v="0"/>
    <n v="0"/>
  </r>
  <r>
    <s v="CUST0486"/>
    <s v="Tamuno Hudson"/>
    <d v="2025-01-25T00:00:00"/>
    <n v="28"/>
    <x v="0"/>
    <x v="15"/>
    <s v="Broadband MiFi"/>
    <x v="0"/>
    <n v="4"/>
    <s v="Very Good"/>
    <n v="56"/>
    <x v="2"/>
    <x v="4"/>
    <n v="9000"/>
    <n v="11"/>
    <n v="99000"/>
    <n v="9000"/>
    <n v="91.09"/>
    <x v="1"/>
    <n v="0"/>
    <n v="0"/>
    <n v="0"/>
    <n v="0"/>
  </r>
  <r>
    <s v="CUST0486"/>
    <s v="Tamuno Hudson"/>
    <d v="2025-01-25T00:00:00"/>
    <n v="28"/>
    <x v="0"/>
    <x v="15"/>
    <s v="4G Router"/>
    <x v="0"/>
    <n v="4"/>
    <s v="Very Good"/>
    <n v="56"/>
    <x v="2"/>
    <x v="5"/>
    <n v="4500"/>
    <n v="1"/>
    <n v="4500"/>
    <n v="4500"/>
    <n v="22.05"/>
    <x v="1"/>
    <n v="0"/>
    <n v="0"/>
    <n v="0"/>
    <n v="0"/>
  </r>
  <r>
    <s v="CUST0487"/>
    <s v="Kunle Gilmore"/>
    <d v="2025-01-25T00:00:00"/>
    <n v="40"/>
    <x v="2"/>
    <x v="21"/>
    <s v="4G Router"/>
    <x v="1"/>
    <n v="4"/>
    <s v="Very Good"/>
    <n v="23"/>
    <x v="1"/>
    <x v="5"/>
    <n v="4500"/>
    <n v="2"/>
    <n v="9000"/>
    <n v="4500"/>
    <n v="159.51"/>
    <x v="1"/>
    <n v="0"/>
    <n v="0"/>
    <n v="0"/>
    <n v="0"/>
  </r>
  <r>
    <s v="CUST0487"/>
    <s v="Kunle Gilmore"/>
    <d v="2025-01-25T00:00:00"/>
    <n v="40"/>
    <x v="2"/>
    <x v="21"/>
    <s v="Broadband MiFi"/>
    <x v="1"/>
    <n v="4"/>
    <s v="Very Good"/>
    <n v="23"/>
    <x v="1"/>
    <x v="2"/>
    <n v="20000"/>
    <n v="14"/>
    <n v="280000"/>
    <n v="20000"/>
    <n v="62.68"/>
    <x v="1"/>
    <n v="0"/>
    <n v="0"/>
    <n v="0"/>
    <n v="0"/>
  </r>
  <r>
    <s v="CUST0488"/>
    <s v="Michael Jones"/>
    <d v="2025-01-25T00:00:00"/>
    <n v="61"/>
    <x v="3"/>
    <x v="24"/>
    <s v="5G Broadband Router"/>
    <x v="0"/>
    <n v="3"/>
    <s v="Good"/>
    <n v="10"/>
    <x v="3"/>
    <x v="11"/>
    <n v="30000"/>
    <n v="17"/>
    <n v="510000"/>
    <n v="30000"/>
    <n v="11.93"/>
    <x v="1"/>
    <n v="0"/>
    <n v="0"/>
    <n v="0"/>
    <n v="0"/>
  </r>
  <r>
    <s v="CUST0488"/>
    <s v="Michael Jones"/>
    <d v="2025-01-25T00:00:00"/>
    <n v="61"/>
    <x v="3"/>
    <x v="24"/>
    <s v="Broadband MiFi"/>
    <x v="0"/>
    <n v="3"/>
    <s v="Good"/>
    <n v="10"/>
    <x v="3"/>
    <x v="10"/>
    <n v="24000"/>
    <n v="14"/>
    <n v="336000"/>
    <n v="24000"/>
    <n v="171.81"/>
    <x v="1"/>
    <n v="0"/>
    <n v="0"/>
    <n v="0"/>
    <n v="0"/>
  </r>
  <r>
    <s v="CUST0489"/>
    <s v="Oghene Wilson"/>
    <d v="2025-01-25T00:00:00"/>
    <n v="41"/>
    <x v="2"/>
    <x v="18"/>
    <s v="Mobile SIM Card"/>
    <x v="0"/>
    <n v="3"/>
    <s v="Good"/>
    <n v="51"/>
    <x v="2"/>
    <x v="7"/>
    <n v="3500"/>
    <n v="14"/>
    <n v="49000"/>
    <n v="3500"/>
    <n v="123.41"/>
    <x v="0"/>
    <n v="1"/>
    <n v="0"/>
    <n v="0"/>
    <n v="0"/>
  </r>
  <r>
    <s v="CUST0489"/>
    <s v="Oghene Wilson"/>
    <d v="2025-01-25T00:00:00"/>
    <n v="41"/>
    <x v="2"/>
    <x v="18"/>
    <s v="5G Broadband Router"/>
    <x v="0"/>
    <n v="3"/>
    <s v="Good"/>
    <n v="51"/>
    <x v="2"/>
    <x v="18"/>
    <n v="25000"/>
    <n v="15"/>
    <n v="375000"/>
    <n v="25000"/>
    <n v="32.869999999999997"/>
    <x v="0"/>
    <n v="1"/>
    <n v="0"/>
    <n v="0"/>
    <n v="0"/>
  </r>
  <r>
    <s v="CUST0489"/>
    <s v="Oghene Wilson"/>
    <d v="2025-01-25T00:00:00"/>
    <n v="41"/>
    <x v="2"/>
    <x v="18"/>
    <s v="4G Router"/>
    <x v="0"/>
    <n v="3"/>
    <s v="Good"/>
    <n v="51"/>
    <x v="2"/>
    <x v="9"/>
    <n v="16000"/>
    <n v="1"/>
    <n v="16000"/>
    <n v="16000"/>
    <n v="99.44"/>
    <x v="0"/>
    <n v="1"/>
    <n v="0"/>
    <n v="0"/>
    <n v="0"/>
  </r>
  <r>
    <s v="CUST0490"/>
    <s v="Nura Cox"/>
    <d v="2025-01-25T00:00:00"/>
    <n v="45"/>
    <x v="4"/>
    <x v="2"/>
    <s v="4G Router"/>
    <x v="0"/>
    <n v="3"/>
    <s v="Good"/>
    <n v="16"/>
    <x v="1"/>
    <x v="5"/>
    <n v="4500"/>
    <n v="1"/>
    <n v="4500"/>
    <n v="4500"/>
    <n v="165.3"/>
    <x v="1"/>
    <n v="0"/>
    <n v="0"/>
    <n v="0"/>
    <n v="0"/>
  </r>
  <r>
    <s v="CUST0490"/>
    <s v="Nura Cox"/>
    <d v="2025-01-25T00:00:00"/>
    <n v="45"/>
    <x v="4"/>
    <x v="2"/>
    <s v="Mobile SIM Card"/>
    <x v="0"/>
    <n v="3"/>
    <s v="Good"/>
    <n v="16"/>
    <x v="1"/>
    <x v="7"/>
    <n v="3500"/>
    <n v="12"/>
    <n v="42000"/>
    <n v="3500"/>
    <n v="2.4700000000000002"/>
    <x v="1"/>
    <n v="0"/>
    <n v="0"/>
    <n v="0"/>
    <n v="0"/>
  </r>
  <r>
    <s v="CUST0491"/>
    <s v="Funke Smith"/>
    <d v="2025-02-25T00:00:00"/>
    <n v="30"/>
    <x v="0"/>
    <x v="5"/>
    <s v="Broadband MiFi"/>
    <x v="1"/>
    <n v="5"/>
    <s v="Excellent"/>
    <n v="29"/>
    <x v="2"/>
    <x v="2"/>
    <n v="20000"/>
    <n v="6"/>
    <n v="120000"/>
    <n v="20000"/>
    <n v="39.97"/>
    <x v="1"/>
    <n v="0"/>
    <n v="0"/>
    <n v="0"/>
    <n v="0"/>
  </r>
  <r>
    <s v="CUST0491"/>
    <s v="Funke Smith"/>
    <d v="2025-02-25T00:00:00"/>
    <n v="30"/>
    <x v="0"/>
    <x v="5"/>
    <s v="Mobile SIM Card"/>
    <x v="1"/>
    <n v="5"/>
    <s v="Excellent"/>
    <n v="29"/>
    <x v="2"/>
    <x v="13"/>
    <n v="350"/>
    <n v="6"/>
    <n v="2100"/>
    <n v="350"/>
    <n v="177.13"/>
    <x v="1"/>
    <n v="0"/>
    <n v="0"/>
    <n v="0"/>
    <n v="0"/>
  </r>
  <r>
    <s v="CUST0492"/>
    <s v="Tega Kim"/>
    <d v="2025-02-25T00:00:00"/>
    <n v="47"/>
    <x v="4"/>
    <x v="20"/>
    <s v="4G Router"/>
    <x v="0"/>
    <n v="3"/>
    <s v="Good"/>
    <n v="2"/>
    <x v="0"/>
    <x v="0"/>
    <n v="35000"/>
    <n v="4"/>
    <n v="140000"/>
    <n v="35000"/>
    <n v="131.15"/>
    <x v="1"/>
    <n v="0"/>
    <n v="0"/>
    <n v="0"/>
    <n v="0"/>
  </r>
  <r>
    <s v="CUST0493"/>
    <s v="Tega Fischer"/>
    <d v="2025-03-25T00:00:00"/>
    <n v="42"/>
    <x v="2"/>
    <x v="24"/>
    <s v="Mobile SIM Card"/>
    <x v="1"/>
    <n v="3"/>
    <s v="Good"/>
    <n v="16"/>
    <x v="1"/>
    <x v="14"/>
    <n v="1000"/>
    <n v="5"/>
    <n v="5000"/>
    <n v="1000"/>
    <n v="29.31"/>
    <x v="1"/>
    <n v="0"/>
    <n v="0"/>
    <n v="0"/>
    <n v="0"/>
  </r>
  <r>
    <s v="CUST0493"/>
    <s v="Tega Fischer"/>
    <d v="2025-03-25T00:00:00"/>
    <n v="42"/>
    <x v="2"/>
    <x v="24"/>
    <s v="5G Broadband Router"/>
    <x v="1"/>
    <n v="3"/>
    <s v="Good"/>
    <n v="16"/>
    <x v="1"/>
    <x v="12"/>
    <n v="14500"/>
    <n v="13"/>
    <n v="188500"/>
    <n v="14500"/>
    <n v="38.74"/>
    <x v="1"/>
    <n v="0"/>
    <n v="0"/>
    <n v="0"/>
    <n v="0"/>
  </r>
  <r>
    <s v="CUST0493"/>
    <s v="Tega Fischer"/>
    <d v="2025-03-25T00:00:00"/>
    <n v="42"/>
    <x v="2"/>
    <x v="24"/>
    <s v="Broadband MiFi"/>
    <x v="1"/>
    <n v="3"/>
    <s v="Good"/>
    <n v="16"/>
    <x v="1"/>
    <x v="11"/>
    <n v="30000"/>
    <n v="14"/>
    <n v="420000"/>
    <n v="30000"/>
    <n v="63.93"/>
    <x v="1"/>
    <n v="0"/>
    <n v="0"/>
    <n v="0"/>
    <n v="0"/>
  </r>
  <r>
    <s v="CUST0494"/>
    <s v="Halima Martin"/>
    <d v="2025-02-25T00:00:00"/>
    <n v="21"/>
    <x v="1"/>
    <x v="18"/>
    <s v="4G Router"/>
    <x v="1"/>
    <n v="3"/>
    <s v="Good"/>
    <n v="51"/>
    <x v="2"/>
    <x v="0"/>
    <n v="35000"/>
    <n v="3"/>
    <n v="105000"/>
    <n v="35000"/>
    <n v="42.24"/>
    <x v="0"/>
    <n v="1"/>
    <n v="0"/>
    <n v="0"/>
    <n v="0"/>
  </r>
  <r>
    <s v="CUST0494"/>
    <s v="Halima Martin"/>
    <d v="2025-02-25T00:00:00"/>
    <n v="21"/>
    <x v="1"/>
    <x v="18"/>
    <s v="5G Broadband Router"/>
    <x v="1"/>
    <n v="3"/>
    <s v="Good"/>
    <n v="51"/>
    <x v="2"/>
    <x v="8"/>
    <n v="150000"/>
    <n v="20"/>
    <n v="3000000"/>
    <n v="150000"/>
    <n v="158.30000000000001"/>
    <x v="0"/>
    <n v="1"/>
    <n v="0"/>
    <n v="0"/>
    <n v="0"/>
  </r>
  <r>
    <s v="CUST0495"/>
    <s v="Kunle Brown"/>
    <d v="2025-03-25T00:00:00"/>
    <n v="37"/>
    <x v="2"/>
    <x v="28"/>
    <s v="5G Broadband Router"/>
    <x v="1"/>
    <n v="4"/>
    <s v="Very Good"/>
    <n v="49"/>
    <x v="2"/>
    <x v="18"/>
    <n v="25000"/>
    <n v="16"/>
    <n v="400000"/>
    <n v="25000"/>
    <n v="105.33"/>
    <x v="1"/>
    <n v="0"/>
    <n v="0"/>
    <n v="0"/>
    <n v="0"/>
  </r>
  <r>
    <s v="CUST0496"/>
    <s v="Grace Matthews"/>
    <d v="2025-01-25T00:00:00"/>
    <n v="76"/>
    <x v="3"/>
    <x v="29"/>
    <s v="4G Router"/>
    <x v="1"/>
    <n v="2"/>
    <s v="Fair"/>
    <n v="41"/>
    <x v="2"/>
    <x v="5"/>
    <n v="4500"/>
    <n v="13"/>
    <n v="58500"/>
    <n v="4500"/>
    <n v="61.55"/>
    <x v="0"/>
    <n v="1"/>
    <n v="0"/>
    <n v="0"/>
    <n v="0"/>
  </r>
  <r>
    <s v="CUST0496"/>
    <s v="Grace Matthews"/>
    <d v="2025-01-25T00:00:00"/>
    <n v="76"/>
    <x v="3"/>
    <x v="29"/>
    <s v="Mobile SIM Card"/>
    <x v="1"/>
    <n v="2"/>
    <s v="Fair"/>
    <n v="41"/>
    <x v="2"/>
    <x v="19"/>
    <n v="600"/>
    <n v="12"/>
    <n v="7200"/>
    <n v="600"/>
    <n v="187.13"/>
    <x v="0"/>
    <n v="1"/>
    <n v="0"/>
    <n v="0"/>
    <n v="0"/>
  </r>
  <r>
    <s v="CUST0497"/>
    <s v="Saidu Baker"/>
    <d v="2025-01-25T00:00:00"/>
    <n v="26"/>
    <x v="0"/>
    <x v="21"/>
    <s v="Broadband MiFi"/>
    <x v="0"/>
    <n v="5"/>
    <s v="Excellent"/>
    <n v="19"/>
    <x v="1"/>
    <x v="12"/>
    <n v="14500"/>
    <n v="14"/>
    <n v="203000"/>
    <n v="14500"/>
    <n v="90.5"/>
    <x v="1"/>
    <n v="0"/>
    <n v="0"/>
    <n v="0"/>
    <n v="0"/>
  </r>
  <r>
    <s v="CUST0497"/>
    <s v="Saidu Baker"/>
    <d v="2025-01-25T00:00:00"/>
    <n v="26"/>
    <x v="0"/>
    <x v="21"/>
    <s v="4G Router"/>
    <x v="0"/>
    <n v="5"/>
    <s v="Excellent"/>
    <n v="19"/>
    <x v="1"/>
    <x v="0"/>
    <n v="35000"/>
    <n v="16"/>
    <n v="560000"/>
    <n v="35000"/>
    <n v="73.819999999999993"/>
    <x v="1"/>
    <n v="0"/>
    <n v="0"/>
    <n v="0"/>
    <n v="0"/>
  </r>
  <r>
    <s v="CUST0497"/>
    <s v="Saidu Baker"/>
    <d v="2025-01-25T00:00:00"/>
    <n v="26"/>
    <x v="0"/>
    <x v="21"/>
    <s v="5G Broadband Router"/>
    <x v="0"/>
    <n v="5"/>
    <s v="Excellent"/>
    <n v="19"/>
    <x v="1"/>
    <x v="18"/>
    <n v="25000"/>
    <n v="1"/>
    <n v="25000"/>
    <n v="25000"/>
    <n v="54.97"/>
    <x v="1"/>
    <n v="0"/>
    <n v="0"/>
    <n v="0"/>
    <n v="0"/>
  </r>
  <r>
    <s v="CUST0498"/>
    <s v="Shehu Harris"/>
    <d v="2025-01-25T00:00:00"/>
    <n v="72"/>
    <x v="3"/>
    <x v="16"/>
    <s v="Broadband MiFi"/>
    <x v="1"/>
    <n v="3"/>
    <s v="Good"/>
    <n v="42"/>
    <x v="2"/>
    <x v="2"/>
    <n v="20000"/>
    <n v="3"/>
    <n v="60000"/>
    <n v="20000"/>
    <n v="20.13"/>
    <x v="1"/>
    <n v="0"/>
    <n v="0"/>
    <n v="0"/>
    <n v="0"/>
  </r>
  <r>
    <s v="CUST0498"/>
    <s v="Shehu Harris"/>
    <d v="2025-01-25T00:00:00"/>
    <n v="72"/>
    <x v="3"/>
    <x v="16"/>
    <s v="4G Router"/>
    <x v="1"/>
    <n v="3"/>
    <s v="Good"/>
    <n v="42"/>
    <x v="2"/>
    <x v="6"/>
    <n v="9000"/>
    <n v="7"/>
    <n v="63000"/>
    <n v="9000"/>
    <n v="8.14"/>
    <x v="1"/>
    <n v="0"/>
    <n v="0"/>
    <n v="0"/>
    <n v="0"/>
  </r>
  <r>
    <s v="CUST0499"/>
    <s v="Tega Hood"/>
    <d v="2025-03-25T00:00:00"/>
    <n v="41"/>
    <x v="2"/>
    <x v="26"/>
    <s v="5G Broadband Router"/>
    <x v="1"/>
    <n v="2"/>
    <s v="Fair"/>
    <n v="20"/>
    <x v="1"/>
    <x v="4"/>
    <n v="9000"/>
    <n v="10"/>
    <n v="90000"/>
    <n v="9000"/>
    <n v="154.13"/>
    <x v="1"/>
    <n v="0"/>
    <n v="0"/>
    <n v="0"/>
    <n v="0"/>
  </r>
  <r>
    <s v="CUST0500"/>
    <s v="Oghene Hamilton"/>
    <d v="2025-02-25T00:00:00"/>
    <n v="67"/>
    <x v="3"/>
    <x v="10"/>
    <s v="4G Router"/>
    <x v="0"/>
    <n v="4"/>
    <s v="Very Good"/>
    <n v="31"/>
    <x v="2"/>
    <x v="0"/>
    <n v="35000"/>
    <n v="15"/>
    <n v="525000"/>
    <n v="35000"/>
    <n v="144.63999999999999"/>
    <x v="0"/>
    <n v="1"/>
    <n v="0"/>
    <n v="0"/>
    <n v="0"/>
  </r>
  <r>
    <s v="CUST0500"/>
    <s v="Oghene Hamilton"/>
    <d v="2025-02-25T00:00:00"/>
    <n v="67"/>
    <x v="3"/>
    <x v="10"/>
    <s v="Mobile SIM Card"/>
    <x v="0"/>
    <n v="4"/>
    <s v="Very Good"/>
    <n v="31"/>
    <x v="2"/>
    <x v="7"/>
    <n v="3500"/>
    <n v="11"/>
    <n v="38500"/>
    <n v="3500"/>
    <n v="158.49"/>
    <x v="0"/>
    <n v="1"/>
    <n v="0"/>
    <n v="0"/>
    <n v="0"/>
  </r>
  <r>
    <s v="CUST0500"/>
    <s v="Oghene Hamilton"/>
    <d v="2025-02-25T00:00:00"/>
    <n v="67"/>
    <x v="3"/>
    <x v="10"/>
    <s v="Broadband MiFi"/>
    <x v="0"/>
    <n v="4"/>
    <s v="Very Good"/>
    <n v="31"/>
    <x v="2"/>
    <x v="2"/>
    <n v="20000"/>
    <n v="14"/>
    <n v="280000"/>
    <n v="20000"/>
    <n v="86.04"/>
    <x v="0"/>
    <n v="1"/>
    <n v="0"/>
    <n v="0"/>
    <n v="0"/>
  </r>
  <r>
    <m/>
    <m/>
    <m/>
    <m/>
    <x v="5"/>
    <x v="35"/>
    <m/>
    <x v="2"/>
    <m/>
    <m/>
    <m/>
    <x v="4"/>
    <x v="21"/>
    <m/>
    <m/>
    <m/>
    <m/>
    <m/>
    <x v="2"/>
    <m/>
    <m/>
    <m/>
    <m/>
  </r>
</pivotCacheRecords>
</file>

<file path=xl/pivotCache/pivotCacheRecords2.xml><?xml version="1.0" encoding="utf-8"?>
<pivotCacheRecords xmlns="http://schemas.openxmlformats.org/spreadsheetml/2006/main" xmlns:r="http://schemas.openxmlformats.org/officeDocument/2006/relationships" count="974">
  <r>
    <s v="CUST0001"/>
    <s v="Ngozi Berry"/>
    <d v="2025-01-25T00:00:00"/>
    <n v="27"/>
    <x v="0"/>
    <x v="0"/>
    <s v="4G Router"/>
    <x v="0"/>
    <n v="2"/>
    <s v="Fair"/>
    <n v="2"/>
    <x v="0"/>
    <x v="0"/>
    <n v="35000"/>
    <n v="19"/>
    <n v="665000"/>
    <n v="35000"/>
    <n v="44.48"/>
    <x v="0"/>
    <n v="1"/>
    <n v="284"/>
    <n v="690"/>
    <n v="974"/>
  </r>
  <r>
    <s v="CUST0002"/>
    <s v="Zainab Baker"/>
    <d v="2025-03-25T00:00:00"/>
    <n v="16"/>
    <x v="1"/>
    <x v="1"/>
    <s v="Mobile SIM Card"/>
    <x v="1"/>
    <n v="2"/>
    <s v="Fair"/>
    <n v="22"/>
    <x v="1"/>
    <x v="1"/>
    <n v="5500"/>
    <n v="12"/>
    <n v="66000"/>
    <n v="5500"/>
    <n v="19.79"/>
    <x v="0"/>
    <n v="1"/>
    <n v="0"/>
    <n v="0"/>
    <n v="0"/>
  </r>
  <r>
    <s v="CUST0003"/>
    <s v="Saidu Evans"/>
    <d v="2025-03-25T00:00:00"/>
    <n v="21"/>
    <x v="1"/>
    <x v="2"/>
    <s v="5G Broadband Router"/>
    <x v="0"/>
    <n v="1"/>
    <s v="Poor"/>
    <n v="60"/>
    <x v="2"/>
    <x v="2"/>
    <n v="20000"/>
    <n v="8"/>
    <n v="160000"/>
    <n v="20000"/>
    <n v="9.64"/>
    <x v="1"/>
    <n v="0"/>
    <n v="0"/>
    <n v="0"/>
    <n v="0"/>
  </r>
  <r>
    <s v="CUST0003"/>
    <s v="Saidu Evans"/>
    <d v="2025-03-25T00:00:00"/>
    <n v="21"/>
    <x v="1"/>
    <x v="2"/>
    <s v="Mobile SIM Card"/>
    <x v="0"/>
    <n v="1"/>
    <s v="Poor"/>
    <n v="60"/>
    <x v="2"/>
    <x v="3"/>
    <n v="500"/>
    <n v="8"/>
    <n v="4000"/>
    <n v="500"/>
    <n v="197.05"/>
    <x v="1"/>
    <n v="0"/>
    <n v="0"/>
    <n v="0"/>
    <n v="0"/>
  </r>
  <r>
    <s v="CUST0003"/>
    <s v="Saidu Evans"/>
    <d v="2025-03-25T00:00:00"/>
    <n v="21"/>
    <x v="1"/>
    <x v="2"/>
    <s v="Broadband MiFi"/>
    <x v="0"/>
    <n v="1"/>
    <s v="Poor"/>
    <n v="60"/>
    <x v="2"/>
    <x v="4"/>
    <n v="9000"/>
    <n v="15"/>
    <n v="135000"/>
    <n v="9000"/>
    <n v="76.34"/>
    <x v="1"/>
    <n v="0"/>
    <n v="0"/>
    <n v="0"/>
    <n v="0"/>
  </r>
  <r>
    <s v="CUST0004"/>
    <s v="Ejiro Walker"/>
    <d v="2025-03-25T00:00:00"/>
    <n v="36"/>
    <x v="2"/>
    <x v="3"/>
    <s v="4G Router"/>
    <x v="1"/>
    <n v="1"/>
    <s v="Poor"/>
    <n v="14"/>
    <x v="1"/>
    <x v="5"/>
    <n v="4500"/>
    <n v="9"/>
    <n v="40500"/>
    <n v="4500"/>
    <n v="92.72"/>
    <x v="1"/>
    <n v="0"/>
    <n v="0"/>
    <n v="0"/>
    <n v="0"/>
  </r>
  <r>
    <s v="CUST0005"/>
    <s v="Nura Mann"/>
    <d v="2025-01-25T00:00:00"/>
    <n v="57"/>
    <x v="3"/>
    <x v="4"/>
    <s v="4G Router"/>
    <x v="0"/>
    <n v="3"/>
    <s v="Good"/>
    <n v="53"/>
    <x v="2"/>
    <x v="6"/>
    <n v="9000"/>
    <n v="16"/>
    <n v="144000"/>
    <n v="9000"/>
    <n v="42.92"/>
    <x v="1"/>
    <n v="0"/>
    <n v="0"/>
    <n v="0"/>
    <n v="0"/>
  </r>
  <r>
    <s v="CUST0006"/>
    <s v="Tamuno Lewis"/>
    <d v="2025-02-25T00:00:00"/>
    <n v="74"/>
    <x v="3"/>
    <x v="5"/>
    <s v="Mobile SIM Card"/>
    <x v="1"/>
    <n v="5"/>
    <s v="Excellent"/>
    <n v="9"/>
    <x v="3"/>
    <x v="7"/>
    <n v="3500"/>
    <n v="5"/>
    <n v="17500"/>
    <n v="3500"/>
    <n v="44.25"/>
    <x v="1"/>
    <n v="0"/>
    <n v="0"/>
    <n v="0"/>
    <n v="0"/>
  </r>
  <r>
    <s v="CUST0006"/>
    <s v="Tamuno Lewis"/>
    <d v="2025-02-25T00:00:00"/>
    <n v="74"/>
    <x v="3"/>
    <x v="5"/>
    <s v="5G Broadband Router"/>
    <x v="1"/>
    <n v="5"/>
    <s v="Excellent"/>
    <n v="9"/>
    <x v="3"/>
    <x v="8"/>
    <n v="150000"/>
    <n v="2"/>
    <n v="300000"/>
    <n v="150000"/>
    <n v="18.64"/>
    <x v="1"/>
    <n v="0"/>
    <n v="0"/>
    <n v="0"/>
    <n v="0"/>
  </r>
  <r>
    <s v="CUST0006"/>
    <s v="Tamuno Lewis"/>
    <d v="2025-02-25T00:00:00"/>
    <n v="74"/>
    <x v="3"/>
    <x v="5"/>
    <s v="4G Router"/>
    <x v="1"/>
    <n v="5"/>
    <s v="Excellent"/>
    <n v="9"/>
    <x v="3"/>
    <x v="9"/>
    <n v="16000"/>
    <n v="6"/>
    <n v="96000"/>
    <n v="16000"/>
    <n v="30.99"/>
    <x v="1"/>
    <n v="0"/>
    <n v="0"/>
    <n v="0"/>
    <n v="0"/>
  </r>
  <r>
    <s v="CUST0007"/>
    <s v="Boma Stewart"/>
    <d v="2025-03-25T00:00:00"/>
    <n v="24"/>
    <x v="1"/>
    <x v="6"/>
    <s v="Broadband MiFi"/>
    <x v="1"/>
    <n v="5"/>
    <s v="Excellent"/>
    <n v="39"/>
    <x v="2"/>
    <x v="10"/>
    <n v="24000"/>
    <n v="11"/>
    <n v="264000"/>
    <n v="24000"/>
    <n v="150.30000000000001"/>
    <x v="0"/>
    <n v="1"/>
    <n v="0"/>
    <n v="0"/>
    <n v="0"/>
  </r>
  <r>
    <s v="CUST0008"/>
    <s v="Ifeanyi Park"/>
    <d v="2025-01-25T00:00:00"/>
    <n v="53"/>
    <x v="4"/>
    <x v="0"/>
    <s v="Broadband MiFi"/>
    <x v="0"/>
    <n v="3"/>
    <s v="Good"/>
    <n v="30"/>
    <x v="2"/>
    <x v="11"/>
    <n v="30000"/>
    <n v="17"/>
    <n v="510000"/>
    <n v="30000"/>
    <n v="168.41"/>
    <x v="1"/>
    <n v="0"/>
    <n v="0"/>
    <n v="0"/>
    <n v="0"/>
  </r>
  <r>
    <s v="CUST0009"/>
    <s v="Bala Robbins"/>
    <d v="2025-01-25T00:00:00"/>
    <n v="35"/>
    <x v="2"/>
    <x v="3"/>
    <s v="Broadband MiFi"/>
    <x v="0"/>
    <n v="5"/>
    <s v="Excellent"/>
    <n v="35"/>
    <x v="2"/>
    <x v="11"/>
    <n v="30000"/>
    <n v="10"/>
    <n v="300000"/>
    <n v="30000"/>
    <n v="175.81"/>
    <x v="1"/>
    <n v="0"/>
    <n v="0"/>
    <n v="0"/>
    <n v="0"/>
  </r>
  <r>
    <s v="CUST0010"/>
    <s v="Halima Ochoa"/>
    <d v="2025-03-25T00:00:00"/>
    <n v="23"/>
    <x v="1"/>
    <x v="7"/>
    <s v="4G Router"/>
    <x v="0"/>
    <n v="1"/>
    <s v="Poor"/>
    <n v="6"/>
    <x v="3"/>
    <x v="5"/>
    <n v="4500"/>
    <n v="20"/>
    <n v="90000"/>
    <n v="4500"/>
    <n v="53.38"/>
    <x v="1"/>
    <n v="0"/>
    <n v="0"/>
    <n v="0"/>
    <n v="0"/>
  </r>
  <r>
    <s v="CUST0010"/>
    <s v="Halima Ochoa"/>
    <d v="2025-03-25T00:00:00"/>
    <n v="23"/>
    <x v="1"/>
    <x v="7"/>
    <s v="Broadband MiFi"/>
    <x v="0"/>
    <n v="1"/>
    <s v="Poor"/>
    <n v="6"/>
    <x v="3"/>
    <x v="12"/>
    <n v="14500"/>
    <n v="18"/>
    <n v="261000"/>
    <n v="14500"/>
    <n v="192.89"/>
    <x v="1"/>
    <n v="0"/>
    <n v="0"/>
    <n v="0"/>
    <n v="0"/>
  </r>
  <r>
    <s v="CUST0010"/>
    <s v="Halima Ochoa"/>
    <d v="2025-03-25T00:00:00"/>
    <n v="23"/>
    <x v="1"/>
    <x v="7"/>
    <s v="Mobile SIM Card"/>
    <x v="0"/>
    <n v="1"/>
    <s v="Poor"/>
    <n v="6"/>
    <x v="3"/>
    <x v="13"/>
    <n v="350"/>
    <n v="13"/>
    <n v="4550"/>
    <n v="350"/>
    <n v="142.72999999999999"/>
    <x v="1"/>
    <n v="0"/>
    <n v="0"/>
    <n v="0"/>
    <n v="0"/>
  </r>
  <r>
    <s v="CUST0011"/>
    <s v="Ejiro Griffith"/>
    <d v="2025-02-25T00:00:00"/>
    <n v="72"/>
    <x v="3"/>
    <x v="8"/>
    <s v="4G Router"/>
    <x v="1"/>
    <n v="2"/>
    <s v="Fair"/>
    <n v="8"/>
    <x v="3"/>
    <x v="9"/>
    <n v="16000"/>
    <n v="2"/>
    <n v="32000"/>
    <n v="16000"/>
    <n v="14.66"/>
    <x v="0"/>
    <n v="1"/>
    <n v="0"/>
    <n v="0"/>
    <n v="0"/>
  </r>
  <r>
    <s v="CUST0011"/>
    <s v="Ejiro Griffith"/>
    <d v="2025-02-25T00:00:00"/>
    <n v="72"/>
    <x v="3"/>
    <x v="8"/>
    <s v="5G Broadband Router"/>
    <x v="1"/>
    <n v="2"/>
    <s v="Fair"/>
    <n v="8"/>
    <x v="3"/>
    <x v="12"/>
    <n v="14500"/>
    <n v="2"/>
    <n v="29000"/>
    <n v="14500"/>
    <n v="13.95"/>
    <x v="0"/>
    <n v="1"/>
    <n v="0"/>
    <n v="0"/>
    <n v="0"/>
  </r>
  <r>
    <s v="CUST0011"/>
    <s v="Ejiro Griffith"/>
    <d v="2025-02-25T00:00:00"/>
    <n v="72"/>
    <x v="3"/>
    <x v="8"/>
    <s v="Broadband MiFi"/>
    <x v="1"/>
    <n v="2"/>
    <s v="Fair"/>
    <n v="8"/>
    <x v="3"/>
    <x v="11"/>
    <n v="30000"/>
    <n v="8"/>
    <n v="240000"/>
    <n v="30000"/>
    <n v="14.64"/>
    <x v="0"/>
    <n v="1"/>
    <n v="0"/>
    <n v="0"/>
    <n v="0"/>
  </r>
  <r>
    <s v="CUST0012"/>
    <s v="Zainab Morton"/>
    <d v="2025-03-25T00:00:00"/>
    <n v="78"/>
    <x v="3"/>
    <x v="9"/>
    <s v="4G Router"/>
    <x v="0"/>
    <n v="2"/>
    <s v="Fair"/>
    <n v="47"/>
    <x v="2"/>
    <x v="9"/>
    <n v="16000"/>
    <n v="12"/>
    <n v="192000"/>
    <n v="16000"/>
    <n v="131.97"/>
    <x v="1"/>
    <n v="0"/>
    <n v="0"/>
    <n v="0"/>
    <n v="0"/>
  </r>
  <r>
    <s v="CUST0012"/>
    <s v="Zainab Morton"/>
    <d v="2025-03-25T00:00:00"/>
    <n v="78"/>
    <x v="3"/>
    <x v="9"/>
    <s v="Broadband MiFi"/>
    <x v="0"/>
    <n v="2"/>
    <s v="Fair"/>
    <n v="47"/>
    <x v="2"/>
    <x v="12"/>
    <n v="14500"/>
    <n v="2"/>
    <n v="29000"/>
    <n v="14500"/>
    <n v="82.51"/>
    <x v="1"/>
    <n v="0"/>
    <n v="0"/>
    <n v="0"/>
    <n v="0"/>
  </r>
  <r>
    <s v="CUST0013"/>
    <s v="Ngozi Moreno"/>
    <d v="2025-01-25T00:00:00"/>
    <n v="23"/>
    <x v="1"/>
    <x v="10"/>
    <s v="4G Router"/>
    <x v="1"/>
    <n v="2"/>
    <s v="Fair"/>
    <n v="52"/>
    <x v="2"/>
    <x v="5"/>
    <n v="4500"/>
    <n v="8"/>
    <n v="36000"/>
    <n v="4500"/>
    <n v="56.07"/>
    <x v="0"/>
    <n v="1"/>
    <n v="0"/>
    <n v="0"/>
    <n v="0"/>
  </r>
  <r>
    <s v="CUST0013"/>
    <s v="Ngozi Moreno"/>
    <d v="2025-01-25T00:00:00"/>
    <n v="23"/>
    <x v="1"/>
    <x v="10"/>
    <s v="Mobile SIM Card"/>
    <x v="1"/>
    <n v="2"/>
    <s v="Fair"/>
    <n v="52"/>
    <x v="2"/>
    <x v="14"/>
    <n v="1000"/>
    <n v="18"/>
    <n v="18000"/>
    <n v="1000"/>
    <n v="88.9"/>
    <x v="0"/>
    <n v="1"/>
    <n v="0"/>
    <n v="0"/>
    <n v="0"/>
  </r>
  <r>
    <s v="CUST0014"/>
    <s v="Ngozi Crawford"/>
    <d v="2025-02-25T00:00:00"/>
    <n v="22"/>
    <x v="1"/>
    <x v="11"/>
    <s v="4G Router"/>
    <x v="0"/>
    <n v="2"/>
    <s v="Fair"/>
    <n v="6"/>
    <x v="3"/>
    <x v="9"/>
    <n v="16000"/>
    <n v="1"/>
    <n v="16000"/>
    <n v="16000"/>
    <n v="33.35"/>
    <x v="1"/>
    <n v="0"/>
    <n v="0"/>
    <n v="0"/>
    <n v="0"/>
  </r>
  <r>
    <s v="CUST0014"/>
    <s v="Ngozi Crawford"/>
    <d v="2025-02-25T00:00:00"/>
    <n v="22"/>
    <x v="1"/>
    <x v="11"/>
    <s v="Mobile SIM Card"/>
    <x v="0"/>
    <n v="2"/>
    <s v="Fair"/>
    <n v="6"/>
    <x v="3"/>
    <x v="15"/>
    <n v="7500"/>
    <n v="15"/>
    <n v="112500"/>
    <n v="7500"/>
    <n v="53.41"/>
    <x v="1"/>
    <n v="0"/>
    <n v="0"/>
    <n v="0"/>
    <n v="0"/>
  </r>
  <r>
    <s v="CUST0015"/>
    <s v="Abubakar Garner"/>
    <d v="2025-03-25T00:00:00"/>
    <n v="70"/>
    <x v="3"/>
    <x v="12"/>
    <s v="Broadband MiFi"/>
    <x v="0"/>
    <n v="2"/>
    <s v="Fair"/>
    <n v="13"/>
    <x v="1"/>
    <x v="4"/>
    <n v="9000"/>
    <n v="16"/>
    <n v="144000"/>
    <n v="9000"/>
    <n v="10.5"/>
    <x v="1"/>
    <n v="0"/>
    <n v="0"/>
    <n v="0"/>
    <n v="0"/>
  </r>
  <r>
    <s v="CUST0015"/>
    <s v="Abubakar Garner"/>
    <d v="2025-03-25T00:00:00"/>
    <n v="70"/>
    <x v="3"/>
    <x v="12"/>
    <s v="5G Broadband Router"/>
    <x v="0"/>
    <n v="2"/>
    <s v="Fair"/>
    <n v="13"/>
    <x v="1"/>
    <x v="11"/>
    <n v="30000"/>
    <n v="17"/>
    <n v="510000"/>
    <n v="30000"/>
    <n v="11.85"/>
    <x v="1"/>
    <n v="0"/>
    <n v="0"/>
    <n v="0"/>
    <n v="0"/>
  </r>
  <r>
    <s v="CUST0015"/>
    <s v="Abubakar Garner"/>
    <d v="2025-03-25T00:00:00"/>
    <n v="70"/>
    <x v="3"/>
    <x v="12"/>
    <s v="4G Router"/>
    <x v="0"/>
    <n v="2"/>
    <s v="Fair"/>
    <n v="13"/>
    <x v="1"/>
    <x v="9"/>
    <n v="16000"/>
    <n v="3"/>
    <n v="48000"/>
    <n v="16000"/>
    <n v="170.34"/>
    <x v="1"/>
    <n v="0"/>
    <n v="0"/>
    <n v="0"/>
    <n v="0"/>
  </r>
  <r>
    <s v="CUST0016"/>
    <s v="Kunle Ford"/>
    <d v="2025-02-25T00:00:00"/>
    <n v="46"/>
    <x v="4"/>
    <x v="10"/>
    <s v="Broadband MiFi"/>
    <x v="0"/>
    <n v="5"/>
    <s v="Excellent"/>
    <n v="57"/>
    <x v="2"/>
    <x v="11"/>
    <n v="30000"/>
    <n v="11"/>
    <n v="330000"/>
    <n v="30000"/>
    <n v="41.25"/>
    <x v="1"/>
    <n v="0"/>
    <n v="0"/>
    <n v="0"/>
    <n v="0"/>
  </r>
  <r>
    <s v="CUST0016"/>
    <s v="Kunle Ford"/>
    <d v="2025-02-25T00:00:00"/>
    <n v="46"/>
    <x v="4"/>
    <x v="10"/>
    <s v="4G Router"/>
    <x v="0"/>
    <n v="5"/>
    <s v="Excellent"/>
    <n v="57"/>
    <x v="2"/>
    <x v="5"/>
    <n v="4500"/>
    <n v="5"/>
    <n v="22500"/>
    <n v="4500"/>
    <n v="53.49"/>
    <x v="1"/>
    <n v="0"/>
    <n v="0"/>
    <n v="0"/>
    <n v="0"/>
  </r>
  <r>
    <s v="CUST0016"/>
    <s v="Kunle Ford"/>
    <d v="2025-02-25T00:00:00"/>
    <n v="46"/>
    <x v="4"/>
    <x v="10"/>
    <s v="5G Broadband Router"/>
    <x v="0"/>
    <n v="5"/>
    <s v="Excellent"/>
    <n v="57"/>
    <x v="2"/>
    <x v="10"/>
    <n v="24000"/>
    <n v="3"/>
    <n v="72000"/>
    <n v="24000"/>
    <n v="91.72"/>
    <x v="1"/>
    <n v="0"/>
    <n v="0"/>
    <n v="0"/>
    <n v="0"/>
  </r>
  <r>
    <s v="CUST0017"/>
    <s v="Tunde Hayes"/>
    <d v="2025-02-25T00:00:00"/>
    <n v="74"/>
    <x v="3"/>
    <x v="13"/>
    <s v="4G Router"/>
    <x v="0"/>
    <n v="5"/>
    <s v="Excellent"/>
    <n v="35"/>
    <x v="2"/>
    <x v="6"/>
    <n v="9000"/>
    <n v="15"/>
    <n v="135000"/>
    <n v="9000"/>
    <n v="57.35"/>
    <x v="0"/>
    <n v="1"/>
    <n v="0"/>
    <n v="0"/>
    <n v="0"/>
  </r>
  <r>
    <s v="CUST0018"/>
    <s v="David Fletcher"/>
    <d v="2025-03-25T00:00:00"/>
    <n v="54"/>
    <x v="4"/>
    <x v="8"/>
    <s v="5G Broadband Router"/>
    <x v="0"/>
    <n v="1"/>
    <s v="Poor"/>
    <n v="43"/>
    <x v="2"/>
    <x v="2"/>
    <n v="20000"/>
    <n v="18"/>
    <n v="360000"/>
    <n v="20000"/>
    <n v="178"/>
    <x v="1"/>
    <n v="0"/>
    <n v="0"/>
    <n v="0"/>
    <n v="0"/>
  </r>
  <r>
    <s v="CUST0019"/>
    <s v="Obinna Wright"/>
    <d v="2025-03-25T00:00:00"/>
    <n v="50"/>
    <x v="4"/>
    <x v="14"/>
    <s v="Mobile SIM Card"/>
    <x v="0"/>
    <n v="2"/>
    <s v="Fair"/>
    <n v="46"/>
    <x v="2"/>
    <x v="16"/>
    <n v="900"/>
    <n v="14"/>
    <n v="12600"/>
    <n v="900"/>
    <n v="18.91"/>
    <x v="1"/>
    <n v="0"/>
    <n v="0"/>
    <n v="0"/>
    <n v="0"/>
  </r>
  <r>
    <s v="CUST0019"/>
    <s v="Obinna Wright"/>
    <d v="2025-03-25T00:00:00"/>
    <n v="50"/>
    <x v="4"/>
    <x v="14"/>
    <s v="4G Router"/>
    <x v="0"/>
    <n v="2"/>
    <s v="Fair"/>
    <n v="46"/>
    <x v="2"/>
    <x v="6"/>
    <n v="9000"/>
    <n v="11"/>
    <n v="99000"/>
    <n v="9000"/>
    <n v="9.3000000000000007"/>
    <x v="1"/>
    <n v="0"/>
    <n v="0"/>
    <n v="0"/>
    <n v="0"/>
  </r>
  <r>
    <s v="CUST0020"/>
    <s v="Amaka Reed"/>
    <d v="2025-03-25T00:00:00"/>
    <n v="49"/>
    <x v="4"/>
    <x v="1"/>
    <s v="4G Router"/>
    <x v="1"/>
    <n v="5"/>
    <s v="Excellent"/>
    <n v="36"/>
    <x v="2"/>
    <x v="6"/>
    <n v="9000"/>
    <n v="5"/>
    <n v="45000"/>
    <n v="9000"/>
    <n v="116.71"/>
    <x v="0"/>
    <n v="1"/>
    <n v="0"/>
    <n v="0"/>
    <n v="0"/>
  </r>
  <r>
    <s v="CUST0020"/>
    <s v="Amaka Reed"/>
    <d v="2025-03-25T00:00:00"/>
    <n v="49"/>
    <x v="4"/>
    <x v="1"/>
    <s v="5G Broadband Router"/>
    <x v="1"/>
    <n v="5"/>
    <s v="Excellent"/>
    <n v="36"/>
    <x v="2"/>
    <x v="17"/>
    <n v="75000"/>
    <n v="10"/>
    <n v="750000"/>
    <n v="75000"/>
    <n v="25.93"/>
    <x v="0"/>
    <n v="1"/>
    <n v="0"/>
    <n v="0"/>
    <n v="0"/>
  </r>
  <r>
    <s v="CUST0020"/>
    <s v="Amaka Reed"/>
    <d v="2025-03-25T00:00:00"/>
    <n v="49"/>
    <x v="4"/>
    <x v="1"/>
    <s v="Broadband MiFi"/>
    <x v="1"/>
    <n v="5"/>
    <s v="Excellent"/>
    <n v="36"/>
    <x v="2"/>
    <x v="11"/>
    <n v="30000"/>
    <n v="2"/>
    <n v="60000"/>
    <n v="30000"/>
    <n v="179.85"/>
    <x v="0"/>
    <n v="1"/>
    <n v="0"/>
    <n v="0"/>
    <n v="0"/>
  </r>
  <r>
    <s v="CUST0021"/>
    <s v="Oghene Brown"/>
    <d v="2025-03-25T00:00:00"/>
    <n v="42"/>
    <x v="2"/>
    <x v="7"/>
    <s v="Mobile SIM Card"/>
    <x v="0"/>
    <n v="5"/>
    <s v="Excellent"/>
    <n v="23"/>
    <x v="1"/>
    <x v="5"/>
    <n v="4500"/>
    <n v="1"/>
    <n v="4500"/>
    <n v="4500"/>
    <n v="176.34"/>
    <x v="1"/>
    <n v="0"/>
    <n v="0"/>
    <n v="0"/>
    <n v="0"/>
  </r>
  <r>
    <s v="CUST0022"/>
    <s v="Shehu Ferguson"/>
    <d v="2025-02-25T00:00:00"/>
    <n v="58"/>
    <x v="3"/>
    <x v="15"/>
    <s v="Mobile SIM Card"/>
    <x v="0"/>
    <n v="1"/>
    <s v="Poor"/>
    <n v="18"/>
    <x v="1"/>
    <x v="13"/>
    <n v="350"/>
    <n v="15"/>
    <n v="5250"/>
    <n v="350"/>
    <n v="40.31"/>
    <x v="1"/>
    <n v="0"/>
    <n v="0"/>
    <n v="0"/>
    <n v="0"/>
  </r>
  <r>
    <s v="CUST0023"/>
    <s v="Oghene Vazquez"/>
    <d v="2025-02-25T00:00:00"/>
    <n v="55"/>
    <x v="3"/>
    <x v="16"/>
    <s v="5G Broadband Router"/>
    <x v="0"/>
    <n v="4"/>
    <s v="Very Good"/>
    <n v="2"/>
    <x v="0"/>
    <x v="18"/>
    <n v="25000"/>
    <n v="13"/>
    <n v="325000"/>
    <n v="25000"/>
    <n v="128.47999999999999"/>
    <x v="1"/>
    <n v="0"/>
    <n v="0"/>
    <n v="0"/>
    <n v="0"/>
  </r>
  <r>
    <s v="CUST0024"/>
    <s v="David Johnson"/>
    <d v="2025-03-25T00:00:00"/>
    <n v="58"/>
    <x v="3"/>
    <x v="17"/>
    <s v="Broadband MiFi"/>
    <x v="0"/>
    <n v="2"/>
    <s v="Fair"/>
    <n v="57"/>
    <x v="2"/>
    <x v="10"/>
    <n v="24000"/>
    <n v="11"/>
    <n v="264000"/>
    <n v="24000"/>
    <n v="87.2"/>
    <x v="1"/>
    <n v="0"/>
    <n v="0"/>
    <n v="0"/>
    <n v="0"/>
  </r>
  <r>
    <s v="CUST0024"/>
    <s v="David Johnson"/>
    <d v="2025-03-25T00:00:00"/>
    <n v="58"/>
    <x v="3"/>
    <x v="17"/>
    <s v="Mobile SIM Card"/>
    <x v="0"/>
    <n v="2"/>
    <s v="Fair"/>
    <n v="57"/>
    <x v="2"/>
    <x v="15"/>
    <n v="7500"/>
    <n v="17"/>
    <n v="127500"/>
    <n v="7500"/>
    <n v="121.44"/>
    <x v="1"/>
    <n v="0"/>
    <n v="0"/>
    <n v="0"/>
    <n v="0"/>
  </r>
  <r>
    <s v="CUST0025"/>
    <s v="Ifeanyi Brown"/>
    <d v="2025-03-25T00:00:00"/>
    <n v="65"/>
    <x v="3"/>
    <x v="18"/>
    <s v="4G Router"/>
    <x v="1"/>
    <n v="1"/>
    <s v="Poor"/>
    <n v="3"/>
    <x v="0"/>
    <x v="9"/>
    <n v="16000"/>
    <n v="11"/>
    <n v="176000"/>
    <n v="16000"/>
    <n v="189.8"/>
    <x v="1"/>
    <n v="0"/>
    <n v="0"/>
    <n v="0"/>
    <n v="0"/>
  </r>
  <r>
    <s v="CUST0025"/>
    <s v="Ifeanyi Brown"/>
    <d v="2025-03-25T00:00:00"/>
    <n v="65"/>
    <x v="3"/>
    <x v="18"/>
    <s v="Mobile SIM Card"/>
    <x v="1"/>
    <n v="1"/>
    <s v="Poor"/>
    <n v="3"/>
    <x v="0"/>
    <x v="7"/>
    <n v="3500"/>
    <n v="4"/>
    <n v="14000"/>
    <n v="3500"/>
    <n v="132.85"/>
    <x v="1"/>
    <n v="0"/>
    <n v="0"/>
    <n v="0"/>
    <n v="0"/>
  </r>
  <r>
    <s v="CUST0025"/>
    <s v="Ifeanyi Brown"/>
    <d v="2025-03-25T00:00:00"/>
    <n v="65"/>
    <x v="3"/>
    <x v="18"/>
    <s v="5G Broadband Router"/>
    <x v="1"/>
    <n v="1"/>
    <s v="Poor"/>
    <n v="3"/>
    <x v="0"/>
    <x v="10"/>
    <n v="24000"/>
    <n v="14"/>
    <n v="336000"/>
    <n v="24000"/>
    <n v="101.67"/>
    <x v="1"/>
    <n v="0"/>
    <n v="0"/>
    <n v="0"/>
    <n v="0"/>
  </r>
  <r>
    <s v="CUST0026"/>
    <s v="Ese Simmons"/>
    <d v="2025-03-25T00:00:00"/>
    <n v="67"/>
    <x v="3"/>
    <x v="14"/>
    <s v="5G Broadband Router"/>
    <x v="0"/>
    <n v="4"/>
    <s v="Very Good"/>
    <n v="13"/>
    <x v="1"/>
    <x v="17"/>
    <n v="75000"/>
    <n v="1"/>
    <n v="75000"/>
    <n v="75000"/>
    <n v="109.81"/>
    <x v="1"/>
    <n v="0"/>
    <n v="0"/>
    <n v="0"/>
    <n v="0"/>
  </r>
  <r>
    <s v="CUST0027"/>
    <s v="Maryam Reyes"/>
    <d v="2025-03-25T00:00:00"/>
    <n v="52"/>
    <x v="4"/>
    <x v="9"/>
    <s v="4G Router"/>
    <x v="1"/>
    <n v="4"/>
    <s v="Very Good"/>
    <n v="51"/>
    <x v="2"/>
    <x v="5"/>
    <n v="4500"/>
    <n v="10"/>
    <n v="45000"/>
    <n v="4500"/>
    <n v="131.94"/>
    <x v="1"/>
    <n v="0"/>
    <n v="0"/>
    <n v="0"/>
    <n v="0"/>
  </r>
  <r>
    <s v="CUST0027"/>
    <s v="Maryam Reyes"/>
    <d v="2025-03-25T00:00:00"/>
    <n v="52"/>
    <x v="4"/>
    <x v="9"/>
    <s v="5G Broadband Router"/>
    <x v="1"/>
    <n v="4"/>
    <s v="Very Good"/>
    <n v="51"/>
    <x v="2"/>
    <x v="18"/>
    <n v="25000"/>
    <n v="8"/>
    <n v="200000"/>
    <n v="25000"/>
    <n v="19.13"/>
    <x v="1"/>
    <n v="0"/>
    <n v="0"/>
    <n v="0"/>
    <n v="0"/>
  </r>
  <r>
    <s v="CUST0027"/>
    <s v="Maryam Reyes"/>
    <d v="2025-03-25T00:00:00"/>
    <n v="52"/>
    <x v="4"/>
    <x v="9"/>
    <s v="Mobile SIM Card"/>
    <x v="1"/>
    <n v="4"/>
    <s v="Very Good"/>
    <n v="51"/>
    <x v="2"/>
    <x v="3"/>
    <n v="500"/>
    <n v="7"/>
    <n v="3500"/>
    <n v="500"/>
    <n v="45.32"/>
    <x v="1"/>
    <n v="0"/>
    <n v="0"/>
    <n v="0"/>
    <n v="0"/>
  </r>
  <r>
    <s v="CUST0028"/>
    <s v="Obinna Sanchez"/>
    <d v="2025-01-25T00:00:00"/>
    <n v="19"/>
    <x v="1"/>
    <x v="19"/>
    <s v="Mobile SIM Card"/>
    <x v="0"/>
    <n v="4"/>
    <s v="Very Good"/>
    <n v="31"/>
    <x v="2"/>
    <x v="5"/>
    <n v="4500"/>
    <n v="5"/>
    <n v="22500"/>
    <n v="4500"/>
    <n v="80.23"/>
    <x v="1"/>
    <n v="0"/>
    <n v="0"/>
    <n v="0"/>
    <n v="0"/>
  </r>
  <r>
    <s v="CUST0028"/>
    <s v="Obinna Sanchez"/>
    <d v="2025-01-25T00:00:00"/>
    <n v="19"/>
    <x v="1"/>
    <x v="19"/>
    <s v="Mobile SIM Card"/>
    <x v="0"/>
    <n v="4"/>
    <s v="Very Good"/>
    <n v="31"/>
    <x v="2"/>
    <x v="16"/>
    <n v="900"/>
    <n v="4"/>
    <n v="3600"/>
    <n v="900"/>
    <n v="178.59"/>
    <x v="1"/>
    <n v="0"/>
    <n v="0"/>
    <n v="0"/>
    <n v="0"/>
  </r>
  <r>
    <s v="CUST0029"/>
    <s v="Boma Franco"/>
    <d v="2025-02-25T00:00:00"/>
    <n v="44"/>
    <x v="2"/>
    <x v="20"/>
    <s v="5G Broadband Router"/>
    <x v="1"/>
    <n v="1"/>
    <s v="Poor"/>
    <n v="4"/>
    <x v="0"/>
    <x v="17"/>
    <n v="75000"/>
    <n v="18"/>
    <n v="1350000"/>
    <n v="75000"/>
    <n v="166.2"/>
    <x v="1"/>
    <n v="0"/>
    <n v="0"/>
    <n v="0"/>
    <n v="0"/>
  </r>
  <r>
    <s v="CUST0029"/>
    <s v="Boma Franco"/>
    <d v="2025-02-25T00:00:00"/>
    <n v="44"/>
    <x v="2"/>
    <x v="20"/>
    <s v="4G Router"/>
    <x v="1"/>
    <n v="1"/>
    <s v="Poor"/>
    <n v="4"/>
    <x v="0"/>
    <x v="0"/>
    <n v="35000"/>
    <n v="16"/>
    <n v="560000"/>
    <n v="35000"/>
    <n v="179.49"/>
    <x v="1"/>
    <n v="0"/>
    <n v="0"/>
    <n v="0"/>
    <n v="0"/>
  </r>
  <r>
    <s v="CUST0030"/>
    <s v="Alabo Davis"/>
    <d v="2025-03-25T00:00:00"/>
    <n v="49"/>
    <x v="4"/>
    <x v="7"/>
    <s v="5G Broadband Router"/>
    <x v="1"/>
    <n v="2"/>
    <s v="Fair"/>
    <n v="50"/>
    <x v="2"/>
    <x v="18"/>
    <n v="25000"/>
    <n v="18"/>
    <n v="450000"/>
    <n v="25000"/>
    <n v="64.28"/>
    <x v="0"/>
    <n v="1"/>
    <n v="0"/>
    <n v="0"/>
    <n v="0"/>
  </r>
  <r>
    <s v="CUST0030"/>
    <s v="Alabo Davis"/>
    <d v="2025-03-25T00:00:00"/>
    <n v="49"/>
    <x v="4"/>
    <x v="7"/>
    <s v="Broadband MiFi"/>
    <x v="1"/>
    <n v="2"/>
    <s v="Fair"/>
    <n v="50"/>
    <x v="2"/>
    <x v="4"/>
    <n v="9000"/>
    <n v="8"/>
    <n v="72000"/>
    <n v="9000"/>
    <n v="28.11"/>
    <x v="0"/>
    <n v="1"/>
    <n v="0"/>
    <n v="0"/>
    <n v="0"/>
  </r>
  <r>
    <s v="CUST0030"/>
    <s v="Alabo Davis"/>
    <d v="2025-03-25T00:00:00"/>
    <n v="49"/>
    <x v="4"/>
    <x v="7"/>
    <s v="4G Router"/>
    <x v="1"/>
    <n v="2"/>
    <s v="Fair"/>
    <n v="50"/>
    <x v="2"/>
    <x v="0"/>
    <n v="35000"/>
    <n v="7"/>
    <n v="245000"/>
    <n v="35000"/>
    <n v="138.94"/>
    <x v="0"/>
    <n v="1"/>
    <n v="0"/>
    <n v="0"/>
    <n v="0"/>
  </r>
  <r>
    <s v="CUST0031"/>
    <s v="Kunle West"/>
    <d v="2025-03-25T00:00:00"/>
    <n v="69"/>
    <x v="3"/>
    <x v="15"/>
    <s v="Mobile SIM Card"/>
    <x v="1"/>
    <n v="4"/>
    <s v="Very Good"/>
    <n v="35"/>
    <x v="2"/>
    <x v="16"/>
    <n v="900"/>
    <n v="19"/>
    <n v="17100"/>
    <n v="900"/>
    <n v="171.42"/>
    <x v="0"/>
    <n v="1"/>
    <n v="0"/>
    <n v="0"/>
    <n v="0"/>
  </r>
  <r>
    <s v="CUST0031"/>
    <s v="Kunle West"/>
    <d v="2025-02-25T00:00:00"/>
    <n v="69"/>
    <x v="3"/>
    <x v="15"/>
    <s v="5G Broadband Router"/>
    <x v="1"/>
    <n v="4"/>
    <s v="Very Good"/>
    <n v="35"/>
    <x v="2"/>
    <x v="17"/>
    <n v="75000"/>
    <n v="12"/>
    <n v="900000"/>
    <n v="75000"/>
    <n v="95.66"/>
    <x v="0"/>
    <n v="1"/>
    <n v="0"/>
    <n v="0"/>
    <n v="0"/>
  </r>
  <r>
    <s v="CUST0032"/>
    <s v="Maryam Terry"/>
    <d v="2025-02-25T00:00:00"/>
    <n v="65"/>
    <x v="3"/>
    <x v="15"/>
    <s v="Mobile SIM Card"/>
    <x v="0"/>
    <n v="3"/>
    <s v="Good"/>
    <n v="32"/>
    <x v="2"/>
    <x v="7"/>
    <n v="3500"/>
    <n v="13"/>
    <n v="45500"/>
    <n v="3500"/>
    <n v="133.94"/>
    <x v="1"/>
    <n v="0"/>
    <n v="0"/>
    <n v="0"/>
    <n v="0"/>
  </r>
  <r>
    <s v="CUST0033"/>
    <s v="Amina Mosley"/>
    <d v="2025-02-25T00:00:00"/>
    <n v="75"/>
    <x v="3"/>
    <x v="21"/>
    <s v="Broadband MiFi"/>
    <x v="0"/>
    <n v="5"/>
    <s v="Excellent"/>
    <n v="59"/>
    <x v="2"/>
    <x v="12"/>
    <n v="14500"/>
    <n v="15"/>
    <n v="217500"/>
    <n v="14500"/>
    <n v="27.57"/>
    <x v="1"/>
    <n v="0"/>
    <n v="0"/>
    <n v="0"/>
    <n v="0"/>
  </r>
  <r>
    <s v="CUST0034"/>
    <s v="Shehu Anderson"/>
    <d v="2025-02-25T00:00:00"/>
    <n v="22"/>
    <x v="1"/>
    <x v="22"/>
    <s v="5G Broadband Router"/>
    <x v="1"/>
    <n v="4"/>
    <s v="Very Good"/>
    <n v="21"/>
    <x v="1"/>
    <x v="10"/>
    <n v="24000"/>
    <n v="16"/>
    <n v="384000"/>
    <n v="24000"/>
    <n v="167.06"/>
    <x v="1"/>
    <n v="0"/>
    <n v="0"/>
    <n v="0"/>
    <n v="0"/>
  </r>
  <r>
    <s v="CUST0034"/>
    <s v="Shehu Anderson"/>
    <d v="2025-02-25T00:00:00"/>
    <n v="22"/>
    <x v="1"/>
    <x v="22"/>
    <s v="Mobile SIM Card"/>
    <x v="1"/>
    <n v="4"/>
    <s v="Very Good"/>
    <n v="21"/>
    <x v="1"/>
    <x v="9"/>
    <n v="16000"/>
    <n v="2"/>
    <n v="32000"/>
    <n v="16000"/>
    <n v="149.93"/>
    <x v="1"/>
    <n v="0"/>
    <n v="0"/>
    <n v="0"/>
    <n v="0"/>
  </r>
  <r>
    <s v="CUST0035"/>
    <s v="Oghene Mcguire"/>
    <d v="2025-01-25T00:00:00"/>
    <n v="44"/>
    <x v="2"/>
    <x v="23"/>
    <s v="4G Router"/>
    <x v="0"/>
    <n v="2"/>
    <s v="Fair"/>
    <n v="49"/>
    <x v="2"/>
    <x v="0"/>
    <n v="35000"/>
    <n v="19"/>
    <n v="665000"/>
    <n v="35000"/>
    <n v="134.06"/>
    <x v="0"/>
    <n v="1"/>
    <n v="0"/>
    <n v="0"/>
    <n v="0"/>
  </r>
  <r>
    <s v="CUST0035"/>
    <s v="Oghene Mcguire"/>
    <d v="2025-01-25T00:00:00"/>
    <n v="44"/>
    <x v="2"/>
    <x v="23"/>
    <s v="Broadband MiFi"/>
    <x v="0"/>
    <n v="2"/>
    <s v="Fair"/>
    <n v="49"/>
    <x v="2"/>
    <x v="2"/>
    <n v="20000"/>
    <n v="9"/>
    <n v="180000"/>
    <n v="20000"/>
    <n v="93.27"/>
    <x v="0"/>
    <n v="1"/>
    <n v="0"/>
    <n v="0"/>
    <n v="0"/>
  </r>
  <r>
    <s v="CUST0035"/>
    <s v="Oghene Mcguire"/>
    <d v="2025-01-25T00:00:00"/>
    <n v="44"/>
    <x v="2"/>
    <x v="23"/>
    <s v="5G Broadband Router"/>
    <x v="0"/>
    <n v="2"/>
    <s v="Fair"/>
    <n v="49"/>
    <x v="2"/>
    <x v="18"/>
    <n v="25000"/>
    <n v="20"/>
    <n v="500000"/>
    <n v="25000"/>
    <n v="33.97"/>
    <x v="0"/>
    <n v="1"/>
    <n v="0"/>
    <n v="0"/>
    <n v="0"/>
  </r>
  <r>
    <s v="CUST0036"/>
    <s v="Ifeanyi Randall"/>
    <d v="2025-01-25T00:00:00"/>
    <n v="36"/>
    <x v="2"/>
    <x v="24"/>
    <s v="Mobile SIM Card"/>
    <x v="0"/>
    <n v="3"/>
    <s v="Good"/>
    <n v="38"/>
    <x v="2"/>
    <x v="13"/>
    <n v="350"/>
    <n v="8"/>
    <n v="2800"/>
    <n v="350"/>
    <n v="15.66"/>
    <x v="1"/>
    <n v="0"/>
    <n v="0"/>
    <n v="0"/>
    <n v="0"/>
  </r>
  <r>
    <s v="CUST0036"/>
    <s v="Ifeanyi Randall"/>
    <d v="2025-01-25T00:00:00"/>
    <n v="36"/>
    <x v="2"/>
    <x v="24"/>
    <s v="5G Broadband Router"/>
    <x v="0"/>
    <n v="3"/>
    <s v="Good"/>
    <n v="38"/>
    <x v="2"/>
    <x v="2"/>
    <n v="20000"/>
    <n v="10"/>
    <n v="200000"/>
    <n v="20000"/>
    <n v="139.59"/>
    <x v="1"/>
    <n v="0"/>
    <n v="0"/>
    <n v="0"/>
    <n v="0"/>
  </r>
  <r>
    <s v="CUST0037"/>
    <s v="Ifeanyi Ruiz"/>
    <d v="2025-03-25T00:00:00"/>
    <n v="21"/>
    <x v="1"/>
    <x v="25"/>
    <s v="Broadband MiFi"/>
    <x v="1"/>
    <n v="1"/>
    <s v="Poor"/>
    <n v="43"/>
    <x v="2"/>
    <x v="12"/>
    <n v="14500"/>
    <n v="12"/>
    <n v="174000"/>
    <n v="14500"/>
    <n v="21.56"/>
    <x v="1"/>
    <n v="0"/>
    <n v="0"/>
    <n v="0"/>
    <n v="0"/>
  </r>
  <r>
    <s v="CUST0037"/>
    <s v="Ifeanyi Ruiz"/>
    <d v="2025-03-25T00:00:00"/>
    <n v="21"/>
    <x v="1"/>
    <x v="25"/>
    <s v="4G Router"/>
    <x v="1"/>
    <n v="1"/>
    <s v="Poor"/>
    <n v="43"/>
    <x v="2"/>
    <x v="0"/>
    <n v="35000"/>
    <n v="14"/>
    <n v="490000"/>
    <n v="35000"/>
    <n v="141.61000000000001"/>
    <x v="1"/>
    <n v="0"/>
    <n v="0"/>
    <n v="0"/>
    <n v="0"/>
  </r>
  <r>
    <s v="CUST0038"/>
    <s v="Shehu Randall"/>
    <d v="2025-02-25T00:00:00"/>
    <n v="50"/>
    <x v="4"/>
    <x v="11"/>
    <s v="Broadband MiFi"/>
    <x v="1"/>
    <n v="5"/>
    <s v="Excellent"/>
    <n v="30"/>
    <x v="2"/>
    <x v="11"/>
    <n v="30000"/>
    <n v="8"/>
    <n v="240000"/>
    <n v="30000"/>
    <n v="176.39"/>
    <x v="0"/>
    <n v="1"/>
    <n v="0"/>
    <n v="0"/>
    <n v="0"/>
  </r>
  <r>
    <s v="CUST0039"/>
    <s v="Zina Green"/>
    <d v="2025-03-25T00:00:00"/>
    <n v="64"/>
    <x v="3"/>
    <x v="26"/>
    <s v="5G Broadband Router"/>
    <x v="0"/>
    <n v="2"/>
    <s v="Fair"/>
    <n v="32"/>
    <x v="2"/>
    <x v="10"/>
    <n v="24000"/>
    <n v="9"/>
    <n v="216000"/>
    <n v="24000"/>
    <n v="176.12"/>
    <x v="1"/>
    <n v="0"/>
    <n v="0"/>
    <n v="0"/>
    <n v="0"/>
  </r>
  <r>
    <s v="CUST0039"/>
    <s v="Zina Green"/>
    <d v="2025-03-25T00:00:00"/>
    <n v="64"/>
    <x v="3"/>
    <x v="26"/>
    <s v="Mobile SIM Card"/>
    <x v="0"/>
    <n v="2"/>
    <s v="Fair"/>
    <n v="32"/>
    <x v="2"/>
    <x v="9"/>
    <n v="16000"/>
    <n v="7"/>
    <n v="112000"/>
    <n v="16000"/>
    <n v="103.57"/>
    <x v="1"/>
    <n v="0"/>
    <n v="0"/>
    <n v="0"/>
    <n v="0"/>
  </r>
  <r>
    <s v="CUST0040"/>
    <s v="Chinedu Ruiz"/>
    <d v="2025-02-25T00:00:00"/>
    <n v="46"/>
    <x v="4"/>
    <x v="15"/>
    <s v="Mobile SIM Card"/>
    <x v="1"/>
    <n v="4"/>
    <s v="Very Good"/>
    <n v="36"/>
    <x v="2"/>
    <x v="14"/>
    <n v="1000"/>
    <n v="13"/>
    <n v="13000"/>
    <n v="1000"/>
    <n v="59.2"/>
    <x v="1"/>
    <n v="0"/>
    <n v="0"/>
    <n v="0"/>
    <n v="0"/>
  </r>
  <r>
    <s v="CUST0040"/>
    <s v="Chinedu Ruiz"/>
    <d v="2025-02-25T00:00:00"/>
    <n v="46"/>
    <x v="4"/>
    <x v="15"/>
    <s v="Broadband MiFi"/>
    <x v="1"/>
    <n v="4"/>
    <s v="Very Good"/>
    <n v="36"/>
    <x v="2"/>
    <x v="2"/>
    <n v="20000"/>
    <n v="19"/>
    <n v="380000"/>
    <n v="20000"/>
    <n v="61.59"/>
    <x v="1"/>
    <n v="0"/>
    <n v="0"/>
    <n v="0"/>
    <n v="0"/>
  </r>
  <r>
    <s v="CUST0041"/>
    <s v="Ejiro Mason"/>
    <d v="2025-03-25T00:00:00"/>
    <n v="76"/>
    <x v="3"/>
    <x v="8"/>
    <s v="5G Broadband Router"/>
    <x v="1"/>
    <n v="3"/>
    <s v="Good"/>
    <n v="28"/>
    <x v="2"/>
    <x v="12"/>
    <n v="14500"/>
    <n v="7"/>
    <n v="101500"/>
    <n v="14500"/>
    <n v="24.57"/>
    <x v="1"/>
    <n v="0"/>
    <n v="0"/>
    <n v="0"/>
    <n v="0"/>
  </r>
  <r>
    <s v="CUST0041"/>
    <s v="Ejiro Mason"/>
    <d v="2025-03-25T00:00:00"/>
    <n v="76"/>
    <x v="3"/>
    <x v="8"/>
    <s v="Mobile SIM Card"/>
    <x v="1"/>
    <n v="3"/>
    <s v="Good"/>
    <n v="28"/>
    <x v="2"/>
    <x v="6"/>
    <n v="9000"/>
    <n v="18"/>
    <n v="162000"/>
    <n v="9000"/>
    <n v="24.35"/>
    <x v="1"/>
    <n v="0"/>
    <n v="0"/>
    <n v="0"/>
    <n v="0"/>
  </r>
  <r>
    <s v="CUST0042"/>
    <s v="Shehu Hoffman"/>
    <d v="2025-03-25T00:00:00"/>
    <n v="40"/>
    <x v="2"/>
    <x v="9"/>
    <s v="4G Router"/>
    <x v="1"/>
    <n v="1"/>
    <s v="Poor"/>
    <n v="18"/>
    <x v="1"/>
    <x v="5"/>
    <n v="4500"/>
    <n v="18"/>
    <n v="81000"/>
    <n v="4500"/>
    <n v="60.8"/>
    <x v="1"/>
    <n v="0"/>
    <n v="0"/>
    <n v="0"/>
    <n v="0"/>
  </r>
  <r>
    <s v="CUST0042"/>
    <s v="Shehu Hoffman"/>
    <d v="2025-03-25T00:00:00"/>
    <n v="40"/>
    <x v="2"/>
    <x v="9"/>
    <s v="Mobile SIM Card"/>
    <x v="1"/>
    <n v="1"/>
    <s v="Poor"/>
    <n v="18"/>
    <x v="1"/>
    <x v="19"/>
    <n v="600"/>
    <n v="2"/>
    <n v="1200"/>
    <n v="600"/>
    <n v="55.23"/>
    <x v="1"/>
    <n v="0"/>
    <n v="0"/>
    <n v="0"/>
    <n v="0"/>
  </r>
  <r>
    <s v="CUST0043"/>
    <s v="Abubakar Johnson"/>
    <d v="2025-01-25T00:00:00"/>
    <n v="32"/>
    <x v="0"/>
    <x v="12"/>
    <s v="5G Broadband Router"/>
    <x v="0"/>
    <n v="5"/>
    <s v="Excellent"/>
    <n v="56"/>
    <x v="2"/>
    <x v="4"/>
    <n v="9000"/>
    <n v="16"/>
    <n v="144000"/>
    <n v="9000"/>
    <n v="50.87"/>
    <x v="0"/>
    <n v="1"/>
    <n v="0"/>
    <n v="0"/>
    <n v="0"/>
  </r>
  <r>
    <s v="CUST0043"/>
    <s v="Abubakar Johnson"/>
    <d v="2025-01-25T00:00:00"/>
    <n v="32"/>
    <x v="0"/>
    <x v="12"/>
    <s v="Broadband MiFi"/>
    <x v="0"/>
    <n v="5"/>
    <s v="Excellent"/>
    <n v="56"/>
    <x v="2"/>
    <x v="4"/>
    <n v="9000"/>
    <n v="13"/>
    <n v="117000"/>
    <n v="9000"/>
    <n v="164.51"/>
    <x v="0"/>
    <n v="1"/>
    <n v="0"/>
    <n v="0"/>
    <n v="0"/>
  </r>
  <r>
    <s v="CUST0044"/>
    <s v="Grace Walker"/>
    <d v="2025-03-25T00:00:00"/>
    <n v="25"/>
    <x v="0"/>
    <x v="4"/>
    <s v="Mobile SIM Card"/>
    <x v="0"/>
    <n v="1"/>
    <s v="Poor"/>
    <n v="10"/>
    <x v="3"/>
    <x v="13"/>
    <n v="350"/>
    <n v="13"/>
    <n v="4550"/>
    <n v="350"/>
    <n v="155.25"/>
    <x v="1"/>
    <n v="0"/>
    <n v="0"/>
    <n v="0"/>
    <n v="0"/>
  </r>
  <r>
    <s v="CUST0045"/>
    <s v="Alabo Thompson"/>
    <d v="2025-01-25T00:00:00"/>
    <n v="72"/>
    <x v="3"/>
    <x v="24"/>
    <s v="4G Router"/>
    <x v="1"/>
    <n v="5"/>
    <s v="Excellent"/>
    <n v="20"/>
    <x v="1"/>
    <x v="5"/>
    <n v="4500"/>
    <n v="3"/>
    <n v="13500"/>
    <n v="4500"/>
    <n v="53.3"/>
    <x v="1"/>
    <n v="0"/>
    <n v="0"/>
    <n v="0"/>
    <n v="0"/>
  </r>
  <r>
    <s v="CUST0046"/>
    <s v="Amina Wright"/>
    <d v="2025-01-25T00:00:00"/>
    <n v="46"/>
    <x v="4"/>
    <x v="20"/>
    <s v="Mobile SIM Card"/>
    <x v="0"/>
    <n v="4"/>
    <s v="Very Good"/>
    <n v="11"/>
    <x v="3"/>
    <x v="13"/>
    <n v="350"/>
    <n v="10"/>
    <n v="3500"/>
    <n v="350"/>
    <n v="57.98"/>
    <x v="1"/>
    <n v="0"/>
    <n v="0"/>
    <n v="0"/>
    <n v="0"/>
  </r>
  <r>
    <s v="CUST0046"/>
    <s v="Amina Wright"/>
    <d v="2025-01-25T00:00:00"/>
    <n v="46"/>
    <x v="4"/>
    <x v="20"/>
    <s v="4G Router"/>
    <x v="0"/>
    <n v="4"/>
    <s v="Very Good"/>
    <n v="11"/>
    <x v="3"/>
    <x v="0"/>
    <n v="35000"/>
    <n v="8"/>
    <n v="280000"/>
    <n v="35000"/>
    <n v="14.7"/>
    <x v="1"/>
    <n v="0"/>
    <n v="0"/>
    <n v="0"/>
    <n v="0"/>
  </r>
  <r>
    <s v="CUST0046"/>
    <s v="Amina Wright"/>
    <d v="2025-01-25T00:00:00"/>
    <n v="46"/>
    <x v="4"/>
    <x v="20"/>
    <s v="Broadband MiFi"/>
    <x v="0"/>
    <n v="4"/>
    <s v="Very Good"/>
    <n v="11"/>
    <x v="3"/>
    <x v="11"/>
    <n v="30000"/>
    <n v="19"/>
    <n v="570000"/>
    <n v="30000"/>
    <n v="157.66999999999999"/>
    <x v="1"/>
    <n v="0"/>
    <n v="0"/>
    <n v="0"/>
    <n v="0"/>
  </r>
  <r>
    <s v="CUST0047"/>
    <s v="Bala Christian"/>
    <d v="2025-02-25T00:00:00"/>
    <n v="70"/>
    <x v="3"/>
    <x v="27"/>
    <s v="Broadband MiFi"/>
    <x v="0"/>
    <n v="3"/>
    <s v="Good"/>
    <n v="42"/>
    <x v="2"/>
    <x v="2"/>
    <n v="20000"/>
    <n v="20"/>
    <n v="400000"/>
    <n v="20000"/>
    <n v="158.63"/>
    <x v="1"/>
    <n v="0"/>
    <n v="0"/>
    <n v="0"/>
    <n v="0"/>
  </r>
  <r>
    <s v="CUST0048"/>
    <s v="Abubakar Gentry"/>
    <d v="2025-03-25T00:00:00"/>
    <n v="72"/>
    <x v="3"/>
    <x v="27"/>
    <s v="Mobile SIM Card"/>
    <x v="1"/>
    <n v="4"/>
    <s v="Very Good"/>
    <n v="45"/>
    <x v="2"/>
    <x v="16"/>
    <n v="900"/>
    <n v="11"/>
    <n v="9900"/>
    <n v="900"/>
    <n v="177.94"/>
    <x v="1"/>
    <n v="0"/>
    <n v="0"/>
    <n v="0"/>
    <n v="0"/>
  </r>
  <r>
    <s v="CUST0048"/>
    <s v="Abubakar Gentry"/>
    <d v="2025-03-25T00:00:00"/>
    <n v="72"/>
    <x v="3"/>
    <x v="27"/>
    <s v="4G Router"/>
    <x v="1"/>
    <n v="4"/>
    <s v="Very Good"/>
    <n v="45"/>
    <x v="2"/>
    <x v="6"/>
    <n v="9000"/>
    <n v="8"/>
    <n v="72000"/>
    <n v="9000"/>
    <n v="5.66"/>
    <x v="1"/>
    <n v="0"/>
    <n v="0"/>
    <n v="0"/>
    <n v="0"/>
  </r>
  <r>
    <s v="CUST0048"/>
    <s v="Abubakar Gentry"/>
    <d v="2025-03-25T00:00:00"/>
    <n v="72"/>
    <x v="3"/>
    <x v="27"/>
    <s v="Broadband MiFi"/>
    <x v="1"/>
    <n v="4"/>
    <s v="Very Good"/>
    <n v="45"/>
    <x v="2"/>
    <x v="10"/>
    <n v="24000"/>
    <n v="1"/>
    <n v="24000"/>
    <n v="24000"/>
    <n v="117.63"/>
    <x v="1"/>
    <n v="0"/>
    <n v="0"/>
    <n v="0"/>
    <n v="0"/>
  </r>
  <r>
    <s v="CUST0049"/>
    <s v="Zainab Taylor"/>
    <d v="2025-02-25T00:00:00"/>
    <n v="21"/>
    <x v="1"/>
    <x v="20"/>
    <s v="Mobile SIM Card"/>
    <x v="1"/>
    <n v="3"/>
    <s v="Good"/>
    <n v="34"/>
    <x v="2"/>
    <x v="1"/>
    <n v="5500"/>
    <n v="11"/>
    <n v="60500"/>
    <n v="5500"/>
    <n v="69.92"/>
    <x v="0"/>
    <n v="1"/>
    <n v="0"/>
    <n v="0"/>
    <n v="0"/>
  </r>
  <r>
    <s v="CUST0049"/>
    <s v="Zainab Taylor"/>
    <d v="2025-02-25T00:00:00"/>
    <n v="21"/>
    <x v="1"/>
    <x v="20"/>
    <s v="Broadband MiFi"/>
    <x v="1"/>
    <n v="3"/>
    <s v="Good"/>
    <n v="34"/>
    <x v="2"/>
    <x v="11"/>
    <n v="30000"/>
    <n v="6"/>
    <n v="180000"/>
    <n v="30000"/>
    <n v="134.19"/>
    <x v="0"/>
    <n v="1"/>
    <n v="0"/>
    <n v="0"/>
    <n v="0"/>
  </r>
  <r>
    <s v="CUST0050"/>
    <s v="Tega Stevens"/>
    <d v="2025-02-25T00:00:00"/>
    <n v="68"/>
    <x v="3"/>
    <x v="12"/>
    <s v="5G Broadband Router"/>
    <x v="1"/>
    <n v="5"/>
    <s v="Excellent"/>
    <n v="43"/>
    <x v="2"/>
    <x v="2"/>
    <n v="20000"/>
    <n v="13"/>
    <n v="260000"/>
    <n v="20000"/>
    <n v="194.05"/>
    <x v="0"/>
    <n v="1"/>
    <n v="0"/>
    <n v="0"/>
    <n v="0"/>
  </r>
  <r>
    <s v="CUST0050"/>
    <s v="Tega Stevens"/>
    <d v="2025-02-25T00:00:00"/>
    <n v="68"/>
    <x v="3"/>
    <x v="12"/>
    <s v="4G Router"/>
    <x v="1"/>
    <n v="5"/>
    <s v="Excellent"/>
    <n v="43"/>
    <x v="2"/>
    <x v="9"/>
    <n v="16000"/>
    <n v="18"/>
    <n v="288000"/>
    <n v="16000"/>
    <n v="131.69999999999999"/>
    <x v="0"/>
    <n v="1"/>
    <n v="0"/>
    <n v="0"/>
    <n v="0"/>
  </r>
  <r>
    <s v="CUST0051"/>
    <s v="Zina Carter"/>
    <d v="2025-03-25T00:00:00"/>
    <n v="68"/>
    <x v="3"/>
    <x v="4"/>
    <s v="Mobile SIM Card"/>
    <x v="0"/>
    <n v="5"/>
    <s v="Excellent"/>
    <n v="34"/>
    <x v="2"/>
    <x v="3"/>
    <n v="500"/>
    <n v="10"/>
    <n v="5000"/>
    <n v="500"/>
    <n v="110.07"/>
    <x v="1"/>
    <n v="0"/>
    <n v="0"/>
    <n v="0"/>
    <n v="0"/>
  </r>
  <r>
    <s v="CUST0051"/>
    <s v="Zina Carter"/>
    <d v="2025-03-25T00:00:00"/>
    <n v="68"/>
    <x v="3"/>
    <x v="4"/>
    <s v="Broadband MiFi"/>
    <x v="0"/>
    <n v="5"/>
    <s v="Excellent"/>
    <n v="34"/>
    <x v="2"/>
    <x v="12"/>
    <n v="14500"/>
    <n v="16"/>
    <n v="232000"/>
    <n v="14500"/>
    <n v="176.23"/>
    <x v="1"/>
    <n v="0"/>
    <n v="0"/>
    <n v="0"/>
    <n v="0"/>
  </r>
  <r>
    <s v="CUST0051"/>
    <s v="Zina Carter"/>
    <d v="2025-03-25T00:00:00"/>
    <n v="68"/>
    <x v="3"/>
    <x v="4"/>
    <s v="5G Broadband Router"/>
    <x v="0"/>
    <n v="5"/>
    <s v="Excellent"/>
    <n v="34"/>
    <x v="2"/>
    <x v="2"/>
    <n v="20000"/>
    <n v="20"/>
    <n v="400000"/>
    <n v="20000"/>
    <n v="6.26"/>
    <x v="1"/>
    <n v="0"/>
    <n v="0"/>
    <n v="0"/>
    <n v="0"/>
  </r>
  <r>
    <s v="CUST0052"/>
    <s v="Halima Johnston"/>
    <d v="2025-02-25T00:00:00"/>
    <n v="36"/>
    <x v="2"/>
    <x v="24"/>
    <s v="Mobile SIM Card"/>
    <x v="0"/>
    <n v="1"/>
    <s v="Poor"/>
    <n v="36"/>
    <x v="2"/>
    <x v="14"/>
    <n v="1000"/>
    <n v="5"/>
    <n v="5000"/>
    <n v="1000"/>
    <n v="129.72"/>
    <x v="0"/>
    <n v="1"/>
    <n v="0"/>
    <n v="0"/>
    <n v="0"/>
  </r>
  <r>
    <s v="CUST0053"/>
    <s v="Grace Christensen"/>
    <d v="2025-02-25T00:00:00"/>
    <n v="53"/>
    <x v="4"/>
    <x v="28"/>
    <s v="Mobile SIM Card"/>
    <x v="1"/>
    <n v="4"/>
    <s v="Very Good"/>
    <n v="27"/>
    <x v="2"/>
    <x v="13"/>
    <n v="350"/>
    <n v="17"/>
    <n v="5950"/>
    <n v="350"/>
    <n v="184.41"/>
    <x v="0"/>
    <n v="1"/>
    <n v="0"/>
    <n v="0"/>
    <n v="0"/>
  </r>
  <r>
    <s v="CUST0054"/>
    <s v="Amaka Potter"/>
    <d v="2025-03-25T00:00:00"/>
    <n v="24"/>
    <x v="1"/>
    <x v="29"/>
    <s v="Mobile SIM Card"/>
    <x v="1"/>
    <n v="1"/>
    <s v="Poor"/>
    <n v="22"/>
    <x v="1"/>
    <x v="20"/>
    <n v="6500"/>
    <n v="11"/>
    <n v="71500"/>
    <n v="6500"/>
    <n v="97.13"/>
    <x v="0"/>
    <n v="1"/>
    <n v="0"/>
    <n v="0"/>
    <n v="0"/>
  </r>
  <r>
    <s v="CUST0054"/>
    <s v="Amaka Potter"/>
    <d v="2025-03-25T00:00:00"/>
    <n v="24"/>
    <x v="1"/>
    <x v="29"/>
    <s v="Broadband MiFi"/>
    <x v="1"/>
    <n v="1"/>
    <s v="Poor"/>
    <n v="22"/>
    <x v="1"/>
    <x v="10"/>
    <n v="24000"/>
    <n v="13"/>
    <n v="312000"/>
    <n v="24000"/>
    <n v="152.69"/>
    <x v="0"/>
    <n v="1"/>
    <n v="0"/>
    <n v="0"/>
    <n v="0"/>
  </r>
  <r>
    <s v="CUST0054"/>
    <s v="Amaka Potter"/>
    <d v="2025-03-25T00:00:00"/>
    <n v="24"/>
    <x v="1"/>
    <x v="29"/>
    <s v="Mobile SIM Card"/>
    <x v="1"/>
    <n v="1"/>
    <s v="Poor"/>
    <n v="22"/>
    <x v="1"/>
    <x v="0"/>
    <n v="35000"/>
    <n v="7"/>
    <n v="245000"/>
    <n v="35000"/>
    <n v="186.6"/>
    <x v="0"/>
    <n v="1"/>
    <n v="0"/>
    <n v="0"/>
    <n v="0"/>
  </r>
  <r>
    <s v="CUST0055"/>
    <s v="Halima Smith"/>
    <d v="2025-03-25T00:00:00"/>
    <n v="65"/>
    <x v="3"/>
    <x v="16"/>
    <s v="Mobile SIM Card"/>
    <x v="1"/>
    <n v="4"/>
    <s v="Very Good"/>
    <n v="3"/>
    <x v="0"/>
    <x v="19"/>
    <n v="600"/>
    <n v="2"/>
    <n v="1200"/>
    <n v="600"/>
    <n v="99.32"/>
    <x v="1"/>
    <n v="0"/>
    <n v="0"/>
    <n v="0"/>
    <n v="0"/>
  </r>
  <r>
    <s v="CUST0055"/>
    <s v="Halima Smith"/>
    <d v="2025-03-25T00:00:00"/>
    <n v="65"/>
    <x v="3"/>
    <x v="16"/>
    <s v="5G Broadband Router"/>
    <x v="1"/>
    <n v="4"/>
    <s v="Very Good"/>
    <n v="3"/>
    <x v="0"/>
    <x v="11"/>
    <n v="30000"/>
    <n v="19"/>
    <n v="570000"/>
    <n v="30000"/>
    <n v="100.71"/>
    <x v="1"/>
    <n v="0"/>
    <n v="0"/>
    <n v="0"/>
    <n v="0"/>
  </r>
  <r>
    <s v="CUST0056"/>
    <s v="Tega Daniels"/>
    <d v="2025-02-25T00:00:00"/>
    <n v="28"/>
    <x v="0"/>
    <x v="30"/>
    <s v="Mobile SIM Card"/>
    <x v="0"/>
    <n v="1"/>
    <s v="Poor"/>
    <n v="34"/>
    <x v="2"/>
    <x v="0"/>
    <n v="35000"/>
    <n v="9"/>
    <n v="315000"/>
    <n v="35000"/>
    <n v="156.41"/>
    <x v="1"/>
    <n v="0"/>
    <n v="0"/>
    <n v="0"/>
    <n v="0"/>
  </r>
  <r>
    <s v="CUST0056"/>
    <s v="Tega Daniels"/>
    <d v="2025-02-25T00:00:00"/>
    <n v="28"/>
    <x v="0"/>
    <x v="30"/>
    <s v="Broadband MiFi"/>
    <x v="0"/>
    <n v="1"/>
    <s v="Poor"/>
    <n v="34"/>
    <x v="2"/>
    <x v="11"/>
    <n v="30000"/>
    <n v="13"/>
    <n v="390000"/>
    <n v="30000"/>
    <n v="124.84"/>
    <x v="1"/>
    <n v="0"/>
    <n v="0"/>
    <n v="0"/>
    <n v="0"/>
  </r>
  <r>
    <s v="CUST0057"/>
    <s v="Chinedu Davis"/>
    <d v="2025-02-25T00:00:00"/>
    <n v="58"/>
    <x v="3"/>
    <x v="11"/>
    <s v="5G Broadband Router"/>
    <x v="1"/>
    <n v="5"/>
    <s v="Excellent"/>
    <n v="21"/>
    <x v="1"/>
    <x v="12"/>
    <n v="14500"/>
    <n v="14"/>
    <n v="203000"/>
    <n v="14500"/>
    <n v="149.47999999999999"/>
    <x v="0"/>
    <n v="1"/>
    <n v="0"/>
    <n v="0"/>
    <n v="0"/>
  </r>
  <r>
    <s v="CUST0058"/>
    <s v="Ngozi Brown"/>
    <d v="2025-03-25T00:00:00"/>
    <n v="28"/>
    <x v="0"/>
    <x v="30"/>
    <s v="5G Broadband Router"/>
    <x v="0"/>
    <n v="1"/>
    <s v="Poor"/>
    <n v="45"/>
    <x v="2"/>
    <x v="18"/>
    <n v="25000"/>
    <n v="5"/>
    <n v="125000"/>
    <n v="25000"/>
    <n v="75.28"/>
    <x v="0"/>
    <n v="1"/>
    <n v="0"/>
    <n v="0"/>
    <n v="0"/>
  </r>
  <r>
    <s v="CUST0059"/>
    <s v="Halima Williams"/>
    <d v="2025-01-25T00:00:00"/>
    <n v="68"/>
    <x v="3"/>
    <x v="20"/>
    <s v="4G Router"/>
    <x v="0"/>
    <n v="5"/>
    <s v="Excellent"/>
    <n v="12"/>
    <x v="3"/>
    <x v="5"/>
    <n v="4500"/>
    <n v="9"/>
    <n v="40500"/>
    <n v="4500"/>
    <n v="92.5"/>
    <x v="1"/>
    <n v="0"/>
    <n v="0"/>
    <n v="0"/>
    <n v="0"/>
  </r>
  <r>
    <s v="CUST0059"/>
    <s v="Halima Williams"/>
    <d v="2025-01-25T00:00:00"/>
    <n v="68"/>
    <x v="3"/>
    <x v="20"/>
    <s v="Mobile SIM Card"/>
    <x v="0"/>
    <n v="5"/>
    <s v="Excellent"/>
    <n v="12"/>
    <x v="3"/>
    <x v="1"/>
    <n v="5500"/>
    <n v="1"/>
    <n v="5500"/>
    <n v="5500"/>
    <n v="51.44"/>
    <x v="1"/>
    <n v="0"/>
    <n v="0"/>
    <n v="0"/>
    <n v="0"/>
  </r>
  <r>
    <s v="CUST0059"/>
    <s v="Halima Williams"/>
    <d v="2025-01-25T00:00:00"/>
    <n v="68"/>
    <x v="3"/>
    <x v="20"/>
    <s v="Broadband MiFi"/>
    <x v="0"/>
    <n v="5"/>
    <s v="Excellent"/>
    <n v="12"/>
    <x v="3"/>
    <x v="12"/>
    <n v="14500"/>
    <n v="18"/>
    <n v="261000"/>
    <n v="14500"/>
    <n v="180.29"/>
    <x v="1"/>
    <n v="0"/>
    <n v="0"/>
    <n v="0"/>
    <n v="0"/>
  </r>
  <r>
    <s v="CUST0060"/>
    <s v="Amina Payne"/>
    <d v="2025-03-25T00:00:00"/>
    <n v="25"/>
    <x v="0"/>
    <x v="30"/>
    <s v="5G Broadband Router"/>
    <x v="1"/>
    <n v="4"/>
    <s v="Very Good"/>
    <n v="38"/>
    <x v="2"/>
    <x v="17"/>
    <n v="75000"/>
    <n v="4"/>
    <n v="300000"/>
    <n v="75000"/>
    <n v="170.74"/>
    <x v="1"/>
    <n v="0"/>
    <n v="0"/>
    <n v="0"/>
    <n v="0"/>
  </r>
  <r>
    <s v="CUST0060"/>
    <s v="Amina Payne"/>
    <d v="2025-03-25T00:00:00"/>
    <n v="25"/>
    <x v="0"/>
    <x v="30"/>
    <s v="Broadband MiFi"/>
    <x v="1"/>
    <n v="4"/>
    <s v="Very Good"/>
    <n v="38"/>
    <x v="2"/>
    <x v="2"/>
    <n v="20000"/>
    <n v="12"/>
    <n v="240000"/>
    <n v="20000"/>
    <n v="76.58"/>
    <x v="1"/>
    <n v="0"/>
    <n v="0"/>
    <n v="0"/>
    <n v="0"/>
  </r>
  <r>
    <s v="CUST0061"/>
    <s v="Abubakar Ewing"/>
    <d v="2025-01-25T00:00:00"/>
    <n v="53"/>
    <x v="4"/>
    <x v="17"/>
    <s v="Broadband MiFi"/>
    <x v="1"/>
    <n v="5"/>
    <s v="Excellent"/>
    <n v="18"/>
    <x v="1"/>
    <x v="11"/>
    <n v="30000"/>
    <n v="8"/>
    <n v="240000"/>
    <n v="30000"/>
    <n v="155.26"/>
    <x v="1"/>
    <n v="0"/>
    <n v="0"/>
    <n v="0"/>
    <n v="0"/>
  </r>
  <r>
    <s v="CUST0061"/>
    <s v="Abubakar Ewing"/>
    <d v="2025-01-25T00:00:00"/>
    <n v="53"/>
    <x v="4"/>
    <x v="17"/>
    <s v="5G Broadband Router"/>
    <x v="1"/>
    <n v="5"/>
    <s v="Excellent"/>
    <n v="18"/>
    <x v="1"/>
    <x v="18"/>
    <n v="25000"/>
    <n v="7"/>
    <n v="175000"/>
    <n v="25000"/>
    <n v="44.19"/>
    <x v="1"/>
    <n v="0"/>
    <n v="0"/>
    <n v="0"/>
    <n v="0"/>
  </r>
  <r>
    <s v="CUST0061"/>
    <s v="Abubakar Ewing"/>
    <d v="2025-01-25T00:00:00"/>
    <n v="53"/>
    <x v="4"/>
    <x v="17"/>
    <s v="4G Router"/>
    <x v="1"/>
    <n v="5"/>
    <s v="Excellent"/>
    <n v="18"/>
    <x v="1"/>
    <x v="6"/>
    <n v="9000"/>
    <n v="5"/>
    <n v="45000"/>
    <n v="9000"/>
    <n v="135.71"/>
    <x v="1"/>
    <n v="0"/>
    <n v="0"/>
    <n v="0"/>
    <n v="0"/>
  </r>
  <r>
    <s v="CUST0062"/>
    <s v="Ngozi Henson"/>
    <d v="2025-03-25T00:00:00"/>
    <n v="21"/>
    <x v="1"/>
    <x v="24"/>
    <s v="Mobile SIM Card"/>
    <x v="1"/>
    <n v="2"/>
    <s v="Fair"/>
    <n v="3"/>
    <x v="0"/>
    <x v="13"/>
    <n v="350"/>
    <n v="18"/>
    <n v="6300"/>
    <n v="350"/>
    <n v="26.87"/>
    <x v="0"/>
    <n v="1"/>
    <n v="0"/>
    <n v="0"/>
    <n v="0"/>
  </r>
  <r>
    <s v="CUST0062"/>
    <s v="Ngozi Henson"/>
    <d v="2025-03-25T00:00:00"/>
    <n v="21"/>
    <x v="1"/>
    <x v="24"/>
    <s v="Broadband MiFi"/>
    <x v="1"/>
    <n v="2"/>
    <s v="Fair"/>
    <n v="3"/>
    <x v="0"/>
    <x v="11"/>
    <n v="30000"/>
    <n v="9"/>
    <n v="270000"/>
    <n v="30000"/>
    <n v="106.41"/>
    <x v="0"/>
    <n v="1"/>
    <n v="0"/>
    <n v="0"/>
    <n v="0"/>
  </r>
  <r>
    <s v="CUST0063"/>
    <s v="Amina Flores"/>
    <d v="2025-03-25T00:00:00"/>
    <n v="48"/>
    <x v="4"/>
    <x v="31"/>
    <s v="4G Router"/>
    <x v="1"/>
    <n v="1"/>
    <s v="Poor"/>
    <n v="48"/>
    <x v="2"/>
    <x v="5"/>
    <n v="4500"/>
    <n v="13"/>
    <n v="58500"/>
    <n v="4500"/>
    <n v="172.1"/>
    <x v="1"/>
    <n v="0"/>
    <n v="0"/>
    <n v="0"/>
    <n v="0"/>
  </r>
  <r>
    <s v="CUST0064"/>
    <s v="Ejiro Ford"/>
    <d v="2025-01-25T00:00:00"/>
    <n v="27"/>
    <x v="0"/>
    <x v="10"/>
    <s v="5G Broadband Router"/>
    <x v="0"/>
    <n v="4"/>
    <s v="Very Good"/>
    <n v="17"/>
    <x v="1"/>
    <x v="18"/>
    <n v="25000"/>
    <n v="8"/>
    <n v="200000"/>
    <n v="25000"/>
    <n v="22.12"/>
    <x v="1"/>
    <n v="0"/>
    <n v="0"/>
    <n v="0"/>
    <n v="0"/>
  </r>
  <r>
    <s v="CUST0064"/>
    <s v="Ejiro Ford"/>
    <d v="2025-01-25T00:00:00"/>
    <n v="27"/>
    <x v="0"/>
    <x v="10"/>
    <s v="Mobile SIM Card"/>
    <x v="0"/>
    <n v="4"/>
    <s v="Very Good"/>
    <n v="17"/>
    <x v="1"/>
    <x v="1"/>
    <n v="5500"/>
    <n v="18"/>
    <n v="99000"/>
    <n v="5500"/>
    <n v="5.49"/>
    <x v="1"/>
    <n v="0"/>
    <n v="0"/>
    <n v="0"/>
    <n v="0"/>
  </r>
  <r>
    <s v="CUST0064"/>
    <s v="Ejiro Ford"/>
    <d v="2025-01-25T00:00:00"/>
    <n v="27"/>
    <x v="0"/>
    <x v="10"/>
    <s v="4G Router"/>
    <x v="0"/>
    <n v="4"/>
    <s v="Very Good"/>
    <n v="17"/>
    <x v="1"/>
    <x v="6"/>
    <n v="9000"/>
    <n v="8"/>
    <n v="72000"/>
    <n v="9000"/>
    <n v="183.09"/>
    <x v="1"/>
    <n v="0"/>
    <n v="0"/>
    <n v="0"/>
    <n v="0"/>
  </r>
  <r>
    <s v="CUST0065"/>
    <s v="Kunle Shaw"/>
    <d v="2025-02-25T00:00:00"/>
    <n v="75"/>
    <x v="3"/>
    <x v="24"/>
    <s v="Mobile SIM Card"/>
    <x v="1"/>
    <n v="1"/>
    <s v="Poor"/>
    <n v="8"/>
    <x v="3"/>
    <x v="14"/>
    <n v="1000"/>
    <n v="18"/>
    <n v="18000"/>
    <n v="1000"/>
    <n v="47.34"/>
    <x v="1"/>
    <n v="0"/>
    <n v="0"/>
    <n v="0"/>
    <n v="0"/>
  </r>
  <r>
    <s v="CUST0065"/>
    <s v="Kunle Shaw"/>
    <d v="2025-02-25T00:00:00"/>
    <n v="75"/>
    <x v="3"/>
    <x v="24"/>
    <s v="Broadband MiFi"/>
    <x v="1"/>
    <n v="1"/>
    <s v="Poor"/>
    <n v="8"/>
    <x v="3"/>
    <x v="2"/>
    <n v="20000"/>
    <n v="12"/>
    <n v="240000"/>
    <n v="20000"/>
    <n v="78.03"/>
    <x v="1"/>
    <n v="0"/>
    <n v="0"/>
    <n v="0"/>
    <n v="0"/>
  </r>
  <r>
    <s v="CUST0066"/>
    <s v="David Schneider"/>
    <d v="2025-01-25T00:00:00"/>
    <n v="69"/>
    <x v="3"/>
    <x v="5"/>
    <s v="Broadband MiFi"/>
    <x v="1"/>
    <n v="4"/>
    <s v="Very Good"/>
    <n v="42"/>
    <x v="2"/>
    <x v="11"/>
    <n v="30000"/>
    <n v="15"/>
    <n v="450000"/>
    <n v="30000"/>
    <n v="43.85"/>
    <x v="1"/>
    <n v="0"/>
    <n v="0"/>
    <n v="0"/>
    <n v="0"/>
  </r>
  <r>
    <s v="CUST0066"/>
    <s v="David Schneider"/>
    <d v="2025-01-25T00:00:00"/>
    <n v="69"/>
    <x v="3"/>
    <x v="5"/>
    <s v="5G Broadband Router"/>
    <x v="1"/>
    <n v="4"/>
    <s v="Very Good"/>
    <n v="42"/>
    <x v="2"/>
    <x v="12"/>
    <n v="14500"/>
    <n v="4"/>
    <n v="58000"/>
    <n v="14500"/>
    <n v="171.16"/>
    <x v="1"/>
    <n v="0"/>
    <n v="0"/>
    <n v="0"/>
    <n v="0"/>
  </r>
  <r>
    <s v="CUST0067"/>
    <s v="Ejiro Smith"/>
    <d v="2025-02-25T00:00:00"/>
    <n v="61"/>
    <x v="3"/>
    <x v="4"/>
    <s v="Broadband MiFi"/>
    <x v="1"/>
    <n v="1"/>
    <s v="Poor"/>
    <n v="18"/>
    <x v="1"/>
    <x v="2"/>
    <n v="20000"/>
    <n v="20"/>
    <n v="400000"/>
    <n v="20000"/>
    <n v="128.52000000000001"/>
    <x v="1"/>
    <n v="0"/>
    <n v="0"/>
    <n v="0"/>
    <n v="0"/>
  </r>
  <r>
    <s v="CUST0067"/>
    <s v="Ejiro Smith"/>
    <d v="2025-02-25T00:00:00"/>
    <n v="61"/>
    <x v="3"/>
    <x v="4"/>
    <s v="5G Broadband Router"/>
    <x v="1"/>
    <n v="1"/>
    <s v="Poor"/>
    <n v="18"/>
    <x v="1"/>
    <x v="4"/>
    <n v="9000"/>
    <n v="11"/>
    <n v="99000"/>
    <n v="9000"/>
    <n v="10.59"/>
    <x v="1"/>
    <n v="0"/>
    <n v="0"/>
    <n v="0"/>
    <n v="0"/>
  </r>
  <r>
    <s v="CUST0068"/>
    <s v="Halima Anderson"/>
    <d v="2025-02-25T00:00:00"/>
    <n v="32"/>
    <x v="0"/>
    <x v="9"/>
    <s v="5G Broadband Router"/>
    <x v="0"/>
    <n v="5"/>
    <s v="Excellent"/>
    <n v="54"/>
    <x v="2"/>
    <x v="11"/>
    <n v="30000"/>
    <n v="20"/>
    <n v="600000"/>
    <n v="30000"/>
    <n v="157.83000000000001"/>
    <x v="0"/>
    <n v="1"/>
    <n v="0"/>
    <n v="0"/>
    <n v="0"/>
  </r>
  <r>
    <s v="CUST0069"/>
    <s v="Tunde Oliver"/>
    <d v="2025-03-25T00:00:00"/>
    <n v="51"/>
    <x v="4"/>
    <x v="5"/>
    <s v="4G Router"/>
    <x v="0"/>
    <n v="2"/>
    <s v="Fair"/>
    <n v="35"/>
    <x v="2"/>
    <x v="9"/>
    <n v="16000"/>
    <n v="8"/>
    <n v="128000"/>
    <n v="16000"/>
    <n v="71.97"/>
    <x v="0"/>
    <n v="1"/>
    <n v="0"/>
    <n v="0"/>
    <n v="0"/>
  </r>
  <r>
    <s v="CUST0070"/>
    <s v="Ese Obrien"/>
    <d v="2025-02-25T00:00:00"/>
    <n v="18"/>
    <x v="1"/>
    <x v="20"/>
    <s v="4G Router"/>
    <x v="1"/>
    <n v="4"/>
    <s v="Very Good"/>
    <n v="4"/>
    <x v="0"/>
    <x v="5"/>
    <n v="4500"/>
    <n v="4"/>
    <n v="18000"/>
    <n v="4500"/>
    <n v="102.89"/>
    <x v="1"/>
    <n v="0"/>
    <n v="0"/>
    <n v="0"/>
    <n v="0"/>
  </r>
  <r>
    <s v="CUST0071"/>
    <s v="Alabo Keith"/>
    <d v="2025-03-25T00:00:00"/>
    <n v="80"/>
    <x v="3"/>
    <x v="16"/>
    <s v="Broadband MiFi"/>
    <x v="0"/>
    <n v="4"/>
    <s v="Very Good"/>
    <n v="47"/>
    <x v="2"/>
    <x v="12"/>
    <n v="14500"/>
    <n v="14"/>
    <n v="203000"/>
    <n v="14500"/>
    <n v="169.54"/>
    <x v="1"/>
    <n v="0"/>
    <n v="0"/>
    <n v="0"/>
    <n v="0"/>
  </r>
  <r>
    <s v="CUST0072"/>
    <s v="Ngozi Hernandez"/>
    <d v="2025-01-25T00:00:00"/>
    <n v="78"/>
    <x v="3"/>
    <x v="30"/>
    <s v="4G Router"/>
    <x v="0"/>
    <n v="3"/>
    <s v="Good"/>
    <n v="58"/>
    <x v="2"/>
    <x v="6"/>
    <n v="9000"/>
    <n v="19"/>
    <n v="171000"/>
    <n v="9000"/>
    <n v="125.05"/>
    <x v="1"/>
    <n v="0"/>
    <n v="0"/>
    <n v="0"/>
    <n v="0"/>
  </r>
  <r>
    <s v="CUST0073"/>
    <s v="Ese Flowers"/>
    <d v="2025-02-25T00:00:00"/>
    <n v="64"/>
    <x v="3"/>
    <x v="8"/>
    <s v="Mobile SIM Card"/>
    <x v="1"/>
    <n v="1"/>
    <s v="Poor"/>
    <n v="30"/>
    <x v="2"/>
    <x v="0"/>
    <n v="35000"/>
    <n v="8"/>
    <n v="280000"/>
    <n v="35000"/>
    <n v="90.59"/>
    <x v="1"/>
    <n v="0"/>
    <n v="0"/>
    <n v="0"/>
    <n v="0"/>
  </r>
  <r>
    <s v="CUST0074"/>
    <s v="Ibim Marshall"/>
    <d v="2025-01-25T00:00:00"/>
    <n v="59"/>
    <x v="3"/>
    <x v="2"/>
    <s v="5G Broadband Router"/>
    <x v="1"/>
    <n v="3"/>
    <s v="Good"/>
    <n v="27"/>
    <x v="2"/>
    <x v="8"/>
    <n v="150000"/>
    <n v="3"/>
    <n v="450000"/>
    <n v="150000"/>
    <n v="13.89"/>
    <x v="1"/>
    <n v="0"/>
    <n v="0"/>
    <n v="0"/>
    <n v="0"/>
  </r>
  <r>
    <s v="CUST0074"/>
    <s v="Ibim Marshall"/>
    <d v="2025-01-25T00:00:00"/>
    <n v="59"/>
    <x v="3"/>
    <x v="2"/>
    <s v="4G Router"/>
    <x v="1"/>
    <n v="3"/>
    <s v="Good"/>
    <n v="27"/>
    <x v="2"/>
    <x v="9"/>
    <n v="16000"/>
    <n v="12"/>
    <n v="192000"/>
    <n v="16000"/>
    <n v="86.66"/>
    <x v="1"/>
    <n v="0"/>
    <n v="0"/>
    <n v="0"/>
    <n v="0"/>
  </r>
  <r>
    <s v="CUST0074"/>
    <s v="Ibim Marshall"/>
    <d v="2025-01-25T00:00:00"/>
    <n v="59"/>
    <x v="3"/>
    <x v="2"/>
    <s v="Broadband MiFi"/>
    <x v="1"/>
    <n v="3"/>
    <s v="Good"/>
    <n v="27"/>
    <x v="2"/>
    <x v="2"/>
    <n v="20000"/>
    <n v="19"/>
    <n v="380000"/>
    <n v="20000"/>
    <n v="111.5"/>
    <x v="1"/>
    <n v="0"/>
    <n v="0"/>
    <n v="0"/>
    <n v="0"/>
  </r>
  <r>
    <s v="CUST0075"/>
    <s v="Tega Medina"/>
    <d v="2025-02-25T00:00:00"/>
    <n v="31"/>
    <x v="0"/>
    <x v="15"/>
    <s v="5G Broadband Router"/>
    <x v="1"/>
    <n v="1"/>
    <s v="Poor"/>
    <n v="56"/>
    <x v="2"/>
    <x v="12"/>
    <n v="14500"/>
    <n v="16"/>
    <n v="232000"/>
    <n v="14500"/>
    <n v="31.37"/>
    <x v="1"/>
    <n v="0"/>
    <n v="0"/>
    <n v="0"/>
    <n v="0"/>
  </r>
  <r>
    <s v="CUST0075"/>
    <s v="Tega Medina"/>
    <d v="2025-02-25T00:00:00"/>
    <n v="31"/>
    <x v="0"/>
    <x v="15"/>
    <s v="4G Router"/>
    <x v="1"/>
    <n v="1"/>
    <s v="Poor"/>
    <n v="56"/>
    <x v="2"/>
    <x v="5"/>
    <n v="4500"/>
    <n v="12"/>
    <n v="54000"/>
    <n v="4500"/>
    <n v="169.53"/>
    <x v="1"/>
    <n v="0"/>
    <n v="0"/>
    <n v="0"/>
    <n v="0"/>
  </r>
  <r>
    <s v="CUST0075"/>
    <s v="Tega Medina"/>
    <d v="2025-02-25T00:00:00"/>
    <n v="31"/>
    <x v="0"/>
    <x v="15"/>
    <s v="Broadband MiFi"/>
    <x v="1"/>
    <n v="1"/>
    <s v="Poor"/>
    <n v="56"/>
    <x v="2"/>
    <x v="10"/>
    <n v="24000"/>
    <n v="9"/>
    <n v="216000"/>
    <n v="24000"/>
    <n v="73.83"/>
    <x v="1"/>
    <n v="0"/>
    <n v="0"/>
    <n v="0"/>
    <n v="0"/>
  </r>
  <r>
    <s v="CUST0076"/>
    <s v="Nura Mcneil"/>
    <d v="2025-02-25T00:00:00"/>
    <n v="70"/>
    <x v="3"/>
    <x v="17"/>
    <s v="5G Broadband Router"/>
    <x v="1"/>
    <n v="3"/>
    <s v="Good"/>
    <n v="2"/>
    <x v="0"/>
    <x v="4"/>
    <n v="9000"/>
    <n v="5"/>
    <n v="45000"/>
    <n v="9000"/>
    <n v="36.69"/>
    <x v="1"/>
    <n v="0"/>
    <n v="0"/>
    <n v="0"/>
    <n v="0"/>
  </r>
  <r>
    <s v="CUST0076"/>
    <s v="Nura Mcneil"/>
    <d v="2025-02-25T00:00:00"/>
    <n v="70"/>
    <x v="3"/>
    <x v="17"/>
    <s v="4G Router"/>
    <x v="1"/>
    <n v="3"/>
    <s v="Good"/>
    <n v="2"/>
    <x v="0"/>
    <x v="0"/>
    <n v="35000"/>
    <n v="1"/>
    <n v="35000"/>
    <n v="35000"/>
    <n v="14.38"/>
    <x v="1"/>
    <n v="0"/>
    <n v="0"/>
    <n v="0"/>
    <n v="0"/>
  </r>
  <r>
    <s v="CUST0077"/>
    <s v="Chinedu Pitts"/>
    <d v="2025-03-25T00:00:00"/>
    <n v="43"/>
    <x v="2"/>
    <x v="6"/>
    <s v="5G Broadband Router"/>
    <x v="1"/>
    <n v="2"/>
    <s v="Fair"/>
    <n v="30"/>
    <x v="2"/>
    <x v="4"/>
    <n v="9000"/>
    <n v="20"/>
    <n v="180000"/>
    <n v="9000"/>
    <n v="31.54"/>
    <x v="1"/>
    <n v="0"/>
    <n v="0"/>
    <n v="0"/>
    <n v="0"/>
  </r>
  <r>
    <s v="CUST0077"/>
    <s v="Chinedu Pitts"/>
    <d v="2025-03-25T00:00:00"/>
    <n v="43"/>
    <x v="2"/>
    <x v="6"/>
    <s v="Mobile SIM Card"/>
    <x v="1"/>
    <n v="2"/>
    <s v="Fair"/>
    <n v="30"/>
    <x v="2"/>
    <x v="16"/>
    <n v="900"/>
    <n v="9"/>
    <n v="8100"/>
    <n v="900"/>
    <n v="134.96"/>
    <x v="1"/>
    <n v="0"/>
    <n v="0"/>
    <n v="0"/>
    <n v="0"/>
  </r>
  <r>
    <s v="CUST0077"/>
    <s v="Chinedu Pitts"/>
    <d v="2025-03-25T00:00:00"/>
    <n v="43"/>
    <x v="2"/>
    <x v="6"/>
    <s v="Broadband MiFi"/>
    <x v="1"/>
    <n v="2"/>
    <s v="Fair"/>
    <n v="30"/>
    <x v="2"/>
    <x v="12"/>
    <n v="14500"/>
    <n v="16"/>
    <n v="232000"/>
    <n v="14500"/>
    <n v="132.56"/>
    <x v="1"/>
    <n v="0"/>
    <n v="0"/>
    <n v="0"/>
    <n v="0"/>
  </r>
  <r>
    <s v="CUST0078"/>
    <s v="Alabo Kelly"/>
    <d v="2025-01-25T00:00:00"/>
    <n v="69"/>
    <x v="3"/>
    <x v="29"/>
    <s v="Mobile SIM Card"/>
    <x v="0"/>
    <n v="3"/>
    <s v="Good"/>
    <n v="49"/>
    <x v="2"/>
    <x v="3"/>
    <n v="500"/>
    <n v="13"/>
    <n v="6500"/>
    <n v="500"/>
    <n v="9.56"/>
    <x v="1"/>
    <n v="0"/>
    <n v="0"/>
    <n v="0"/>
    <n v="0"/>
  </r>
  <r>
    <s v="CUST0078"/>
    <s v="Alabo Kelly"/>
    <d v="2025-01-25T00:00:00"/>
    <n v="69"/>
    <x v="3"/>
    <x v="29"/>
    <s v="5G Broadband Router"/>
    <x v="0"/>
    <n v="3"/>
    <s v="Good"/>
    <n v="49"/>
    <x v="2"/>
    <x v="4"/>
    <n v="9000"/>
    <n v="10"/>
    <n v="90000"/>
    <n v="9000"/>
    <n v="2.0299999999999998"/>
    <x v="1"/>
    <n v="0"/>
    <n v="0"/>
    <n v="0"/>
    <n v="0"/>
  </r>
  <r>
    <s v="CUST0079"/>
    <s v="Fatima Pennington"/>
    <d v="2025-01-25T00:00:00"/>
    <n v="33"/>
    <x v="0"/>
    <x v="22"/>
    <s v="Mobile SIM Card"/>
    <x v="1"/>
    <n v="1"/>
    <s v="Poor"/>
    <n v="21"/>
    <x v="1"/>
    <x v="0"/>
    <n v="35000"/>
    <n v="8"/>
    <n v="280000"/>
    <n v="35000"/>
    <n v="106.75"/>
    <x v="1"/>
    <n v="0"/>
    <n v="0"/>
    <n v="0"/>
    <n v="0"/>
  </r>
  <r>
    <s v="CUST0079"/>
    <s v="Fatima Pennington"/>
    <d v="2025-01-25T00:00:00"/>
    <n v="33"/>
    <x v="0"/>
    <x v="22"/>
    <s v="Broadband MiFi"/>
    <x v="1"/>
    <n v="1"/>
    <s v="Poor"/>
    <n v="21"/>
    <x v="1"/>
    <x v="10"/>
    <n v="24000"/>
    <n v="12"/>
    <n v="288000"/>
    <n v="24000"/>
    <n v="111.97"/>
    <x v="1"/>
    <n v="0"/>
    <n v="0"/>
    <n v="0"/>
    <n v="0"/>
  </r>
  <r>
    <s v="CUST0080"/>
    <s v="Kunle Williams"/>
    <d v="2025-02-25T00:00:00"/>
    <n v="66"/>
    <x v="3"/>
    <x v="19"/>
    <s v="Mobile SIM Card"/>
    <x v="1"/>
    <n v="1"/>
    <s v="Poor"/>
    <n v="2"/>
    <x v="0"/>
    <x v="15"/>
    <n v="7500"/>
    <n v="13"/>
    <n v="97500"/>
    <n v="7500"/>
    <n v="58.26"/>
    <x v="1"/>
    <n v="0"/>
    <n v="0"/>
    <n v="0"/>
    <n v="0"/>
  </r>
  <r>
    <s v="CUST0080"/>
    <s v="Kunle Williams"/>
    <d v="2025-02-25T00:00:00"/>
    <n v="66"/>
    <x v="3"/>
    <x v="19"/>
    <s v="5G Broadband Router"/>
    <x v="1"/>
    <n v="1"/>
    <s v="Poor"/>
    <n v="2"/>
    <x v="0"/>
    <x v="4"/>
    <n v="9000"/>
    <n v="6"/>
    <n v="54000"/>
    <n v="9000"/>
    <n v="193.26"/>
    <x v="1"/>
    <n v="0"/>
    <n v="0"/>
    <n v="0"/>
    <n v="0"/>
  </r>
  <r>
    <s v="CUST0080"/>
    <s v="Kunle Williams"/>
    <d v="2025-02-25T00:00:00"/>
    <n v="66"/>
    <x v="3"/>
    <x v="19"/>
    <s v="4G Router"/>
    <x v="1"/>
    <n v="1"/>
    <s v="Poor"/>
    <n v="2"/>
    <x v="0"/>
    <x v="0"/>
    <n v="35000"/>
    <n v="12"/>
    <n v="420000"/>
    <n v="35000"/>
    <n v="166.49"/>
    <x v="1"/>
    <n v="0"/>
    <n v="0"/>
    <n v="0"/>
    <n v="0"/>
  </r>
  <r>
    <s v="CUST0081"/>
    <s v="Chinedu Ortiz"/>
    <d v="2025-02-25T00:00:00"/>
    <n v="71"/>
    <x v="3"/>
    <x v="13"/>
    <s v="5G Broadband Router"/>
    <x v="0"/>
    <n v="5"/>
    <s v="Excellent"/>
    <n v="28"/>
    <x v="2"/>
    <x v="18"/>
    <n v="25000"/>
    <n v="3"/>
    <n v="75000"/>
    <n v="25000"/>
    <n v="155.93"/>
    <x v="0"/>
    <n v="1"/>
    <n v="0"/>
    <n v="0"/>
    <n v="0"/>
  </r>
  <r>
    <s v="CUST0081"/>
    <s v="Chinedu Ortiz"/>
    <d v="2025-02-25T00:00:00"/>
    <n v="71"/>
    <x v="3"/>
    <x v="13"/>
    <s v="Broadband MiFi"/>
    <x v="0"/>
    <n v="5"/>
    <s v="Excellent"/>
    <n v="28"/>
    <x v="2"/>
    <x v="10"/>
    <n v="24000"/>
    <n v="17"/>
    <n v="408000"/>
    <n v="24000"/>
    <n v="126.83"/>
    <x v="0"/>
    <n v="1"/>
    <n v="0"/>
    <n v="0"/>
    <n v="0"/>
  </r>
  <r>
    <s v="CUST0082"/>
    <s v="Michael Ortiz"/>
    <d v="2025-02-25T00:00:00"/>
    <n v="40"/>
    <x v="2"/>
    <x v="25"/>
    <s v="4G Router"/>
    <x v="1"/>
    <n v="2"/>
    <s v="Fair"/>
    <n v="47"/>
    <x v="2"/>
    <x v="5"/>
    <n v="4500"/>
    <n v="3"/>
    <n v="13500"/>
    <n v="4500"/>
    <n v="152.16"/>
    <x v="0"/>
    <n v="1"/>
    <n v="0"/>
    <n v="0"/>
    <n v="0"/>
  </r>
  <r>
    <s v="CUST0083"/>
    <s v="Shehu Holt"/>
    <d v="2025-03-25T00:00:00"/>
    <n v="79"/>
    <x v="3"/>
    <x v="2"/>
    <s v="Mobile SIM Card"/>
    <x v="1"/>
    <n v="3"/>
    <s v="Good"/>
    <n v="44"/>
    <x v="2"/>
    <x v="3"/>
    <n v="500"/>
    <n v="19"/>
    <n v="9500"/>
    <n v="500"/>
    <n v="159.37"/>
    <x v="0"/>
    <n v="1"/>
    <n v="0"/>
    <n v="0"/>
    <n v="0"/>
  </r>
  <r>
    <s v="CUST0083"/>
    <s v="Shehu Holt"/>
    <d v="2025-03-25T00:00:00"/>
    <n v="79"/>
    <x v="3"/>
    <x v="2"/>
    <s v="5G Broadband Router"/>
    <x v="1"/>
    <n v="3"/>
    <s v="Good"/>
    <n v="44"/>
    <x v="2"/>
    <x v="4"/>
    <n v="9000"/>
    <n v="3"/>
    <n v="27000"/>
    <n v="9000"/>
    <n v="70.709999999999994"/>
    <x v="0"/>
    <n v="1"/>
    <n v="0"/>
    <n v="0"/>
    <n v="0"/>
  </r>
  <r>
    <s v="CUST0084"/>
    <s v="Maryam Velez"/>
    <d v="2025-03-25T00:00:00"/>
    <n v="75"/>
    <x v="3"/>
    <x v="30"/>
    <s v="Mobile SIM Card"/>
    <x v="0"/>
    <n v="3"/>
    <s v="Good"/>
    <n v="4"/>
    <x v="0"/>
    <x v="1"/>
    <n v="5500"/>
    <n v="2"/>
    <n v="11000"/>
    <n v="5500"/>
    <n v="116.28"/>
    <x v="0"/>
    <n v="1"/>
    <n v="0"/>
    <n v="0"/>
    <n v="0"/>
  </r>
  <r>
    <s v="CUST0085"/>
    <s v="Alabo Turner"/>
    <d v="2025-02-25T00:00:00"/>
    <n v="40"/>
    <x v="2"/>
    <x v="32"/>
    <s v="Broadband MiFi"/>
    <x v="1"/>
    <n v="1"/>
    <s v="Poor"/>
    <n v="33"/>
    <x v="2"/>
    <x v="2"/>
    <n v="20000"/>
    <n v="15"/>
    <n v="300000"/>
    <n v="20000"/>
    <n v="8.31"/>
    <x v="1"/>
    <n v="0"/>
    <n v="0"/>
    <n v="0"/>
    <n v="0"/>
  </r>
  <r>
    <s v="CUST0085"/>
    <s v="Alabo Turner"/>
    <d v="2025-02-25T00:00:00"/>
    <n v="40"/>
    <x v="2"/>
    <x v="32"/>
    <s v="5G Broadband Router"/>
    <x v="1"/>
    <n v="1"/>
    <s v="Poor"/>
    <n v="33"/>
    <x v="2"/>
    <x v="8"/>
    <n v="150000"/>
    <n v="20"/>
    <n v="3000000"/>
    <n v="150000"/>
    <n v="105.05"/>
    <x v="1"/>
    <n v="0"/>
    <n v="0"/>
    <n v="0"/>
    <n v="0"/>
  </r>
  <r>
    <s v="CUST0086"/>
    <s v="Amina Rivas"/>
    <d v="2025-02-25T00:00:00"/>
    <n v="62"/>
    <x v="3"/>
    <x v="3"/>
    <s v="5G Broadband Router"/>
    <x v="1"/>
    <n v="3"/>
    <s v="Good"/>
    <n v="25"/>
    <x v="2"/>
    <x v="2"/>
    <n v="20000"/>
    <n v="18"/>
    <n v="360000"/>
    <n v="20000"/>
    <n v="66.27"/>
    <x v="1"/>
    <n v="0"/>
    <n v="0"/>
    <n v="0"/>
    <n v="0"/>
  </r>
  <r>
    <s v="CUST0087"/>
    <s v="Omamuzo Guerrero"/>
    <d v="2025-01-25T00:00:00"/>
    <n v="52"/>
    <x v="4"/>
    <x v="22"/>
    <s v="5G Broadband Router"/>
    <x v="0"/>
    <n v="5"/>
    <s v="Excellent"/>
    <n v="22"/>
    <x v="1"/>
    <x v="17"/>
    <n v="75000"/>
    <n v="3"/>
    <n v="225000"/>
    <n v="75000"/>
    <n v="26.23"/>
    <x v="1"/>
    <n v="0"/>
    <n v="0"/>
    <n v="0"/>
    <n v="0"/>
  </r>
  <r>
    <s v="CUST0087"/>
    <s v="Omamuzo Guerrero"/>
    <d v="2025-01-25T00:00:00"/>
    <n v="52"/>
    <x v="4"/>
    <x v="22"/>
    <s v="Mobile SIM Card"/>
    <x v="0"/>
    <n v="5"/>
    <s v="Excellent"/>
    <n v="22"/>
    <x v="1"/>
    <x v="3"/>
    <n v="500"/>
    <n v="11"/>
    <n v="5500"/>
    <n v="500"/>
    <n v="112"/>
    <x v="1"/>
    <n v="0"/>
    <n v="0"/>
    <n v="0"/>
    <n v="0"/>
  </r>
  <r>
    <s v="CUST0088"/>
    <s v="Amaka Brown"/>
    <d v="2025-03-25T00:00:00"/>
    <n v="27"/>
    <x v="0"/>
    <x v="0"/>
    <s v="Mobile SIM Card"/>
    <x v="1"/>
    <n v="3"/>
    <s v="Good"/>
    <n v="2"/>
    <x v="0"/>
    <x v="13"/>
    <n v="350"/>
    <n v="5"/>
    <n v="1750"/>
    <n v="350"/>
    <n v="200"/>
    <x v="0"/>
    <n v="1"/>
    <n v="0"/>
    <n v="0"/>
    <n v="0"/>
  </r>
  <r>
    <s v="CUST0088"/>
    <s v="Amaka Brown"/>
    <d v="2025-03-25T00:00:00"/>
    <n v="27"/>
    <x v="0"/>
    <x v="0"/>
    <s v="Broadband MiFi"/>
    <x v="1"/>
    <n v="3"/>
    <s v="Good"/>
    <n v="2"/>
    <x v="0"/>
    <x v="4"/>
    <n v="9000"/>
    <n v="4"/>
    <n v="36000"/>
    <n v="9000"/>
    <n v="59.51"/>
    <x v="0"/>
    <n v="1"/>
    <n v="0"/>
    <n v="0"/>
    <n v="0"/>
  </r>
  <r>
    <s v="CUST0089"/>
    <s v="Michael Schultz"/>
    <d v="2025-02-25T00:00:00"/>
    <n v="20"/>
    <x v="1"/>
    <x v="26"/>
    <s v="4G Router"/>
    <x v="0"/>
    <n v="2"/>
    <s v="Fair"/>
    <n v="39"/>
    <x v="2"/>
    <x v="9"/>
    <n v="16000"/>
    <n v="8"/>
    <n v="128000"/>
    <n v="16000"/>
    <n v="82.47"/>
    <x v="0"/>
    <n v="1"/>
    <n v="0"/>
    <n v="0"/>
    <n v="0"/>
  </r>
  <r>
    <s v="CUST0089"/>
    <s v="Michael Schultz"/>
    <d v="2025-02-25T00:00:00"/>
    <n v="20"/>
    <x v="1"/>
    <x v="26"/>
    <s v="5G Broadband Router"/>
    <x v="0"/>
    <n v="2"/>
    <s v="Fair"/>
    <n v="39"/>
    <x v="2"/>
    <x v="8"/>
    <n v="150000"/>
    <n v="15"/>
    <n v="2250000"/>
    <n v="150000"/>
    <n v="122.31"/>
    <x v="0"/>
    <n v="1"/>
    <n v="0"/>
    <n v="0"/>
    <n v="0"/>
  </r>
  <r>
    <s v="CUST0089"/>
    <s v="Michael Schultz"/>
    <d v="2025-02-25T00:00:00"/>
    <n v="20"/>
    <x v="1"/>
    <x v="26"/>
    <s v="Mobile SIM Card"/>
    <x v="0"/>
    <n v="2"/>
    <s v="Fair"/>
    <n v="39"/>
    <x v="2"/>
    <x v="13"/>
    <n v="350"/>
    <n v="10"/>
    <n v="3500"/>
    <n v="350"/>
    <n v="107.04"/>
    <x v="0"/>
    <n v="1"/>
    <n v="0"/>
    <n v="0"/>
    <n v="0"/>
  </r>
  <r>
    <s v="CUST0090"/>
    <s v="John Montoya"/>
    <d v="2025-03-25T00:00:00"/>
    <n v="40"/>
    <x v="2"/>
    <x v="3"/>
    <s v="Mobile SIM Card"/>
    <x v="1"/>
    <n v="4"/>
    <s v="Very Good"/>
    <n v="30"/>
    <x v="2"/>
    <x v="5"/>
    <n v="4500"/>
    <n v="2"/>
    <n v="9000"/>
    <n v="4500"/>
    <n v="174.66"/>
    <x v="1"/>
    <n v="0"/>
    <n v="0"/>
    <n v="0"/>
    <n v="0"/>
  </r>
  <r>
    <s v="CUST0090"/>
    <s v="John Montoya"/>
    <d v="2025-03-25T00:00:00"/>
    <n v="40"/>
    <x v="2"/>
    <x v="3"/>
    <s v="Broadband MiFi"/>
    <x v="1"/>
    <n v="4"/>
    <s v="Very Good"/>
    <n v="30"/>
    <x v="2"/>
    <x v="12"/>
    <n v="14500"/>
    <n v="18"/>
    <n v="261000"/>
    <n v="14500"/>
    <n v="174.89"/>
    <x v="1"/>
    <n v="0"/>
    <n v="0"/>
    <n v="0"/>
    <n v="0"/>
  </r>
  <r>
    <s v="CUST0091"/>
    <s v="Ngozi Fox"/>
    <d v="2025-02-25T00:00:00"/>
    <n v="31"/>
    <x v="0"/>
    <x v="14"/>
    <s v="4G Router"/>
    <x v="0"/>
    <n v="3"/>
    <s v="Good"/>
    <n v="49"/>
    <x v="2"/>
    <x v="5"/>
    <n v="4500"/>
    <n v="12"/>
    <n v="54000"/>
    <n v="4500"/>
    <n v="163.43"/>
    <x v="1"/>
    <n v="0"/>
    <n v="0"/>
    <n v="0"/>
    <n v="0"/>
  </r>
  <r>
    <s v="CUST0091"/>
    <s v="Ngozi Fox"/>
    <d v="2025-02-25T00:00:00"/>
    <n v="31"/>
    <x v="0"/>
    <x v="14"/>
    <s v="Mobile SIM Card"/>
    <x v="0"/>
    <n v="3"/>
    <s v="Good"/>
    <n v="49"/>
    <x v="2"/>
    <x v="16"/>
    <n v="900"/>
    <n v="13"/>
    <n v="11700"/>
    <n v="900"/>
    <n v="83.27"/>
    <x v="1"/>
    <n v="0"/>
    <n v="0"/>
    <n v="0"/>
    <n v="0"/>
  </r>
  <r>
    <s v="CUST0091"/>
    <s v="Ngozi Fox"/>
    <d v="2025-02-25T00:00:00"/>
    <n v="31"/>
    <x v="0"/>
    <x v="14"/>
    <s v="Broadband MiFi"/>
    <x v="0"/>
    <n v="3"/>
    <s v="Good"/>
    <n v="49"/>
    <x v="2"/>
    <x v="10"/>
    <n v="24000"/>
    <n v="13"/>
    <n v="312000"/>
    <n v="24000"/>
    <n v="75.11"/>
    <x v="1"/>
    <n v="0"/>
    <n v="0"/>
    <n v="0"/>
    <n v="0"/>
  </r>
  <r>
    <s v="CUST0092"/>
    <s v="Chinedu Burke"/>
    <d v="2025-01-25T00:00:00"/>
    <n v="63"/>
    <x v="3"/>
    <x v="16"/>
    <s v="Broadband MiFi"/>
    <x v="0"/>
    <n v="3"/>
    <s v="Good"/>
    <n v="21"/>
    <x v="1"/>
    <x v="11"/>
    <n v="30000"/>
    <n v="16"/>
    <n v="480000"/>
    <n v="30000"/>
    <n v="183.52"/>
    <x v="1"/>
    <n v="0"/>
    <n v="0"/>
    <n v="0"/>
    <n v="0"/>
  </r>
  <r>
    <s v="CUST0093"/>
    <s v="Amaka Webb"/>
    <d v="2025-01-25T00:00:00"/>
    <n v="76"/>
    <x v="3"/>
    <x v="30"/>
    <s v="Mobile SIM Card"/>
    <x v="0"/>
    <n v="1"/>
    <s v="Poor"/>
    <n v="58"/>
    <x v="2"/>
    <x v="14"/>
    <n v="1000"/>
    <n v="8"/>
    <n v="8000"/>
    <n v="1000"/>
    <n v="155.35"/>
    <x v="0"/>
    <n v="1"/>
    <n v="0"/>
    <n v="0"/>
    <n v="0"/>
  </r>
  <r>
    <s v="CUST0094"/>
    <s v="Maryam Tucker"/>
    <d v="2025-02-25T00:00:00"/>
    <n v="31"/>
    <x v="0"/>
    <x v="4"/>
    <s v="Broadband MiFi"/>
    <x v="0"/>
    <n v="1"/>
    <s v="Poor"/>
    <n v="27"/>
    <x v="2"/>
    <x v="2"/>
    <n v="20000"/>
    <n v="1"/>
    <n v="20000"/>
    <n v="20000"/>
    <n v="58.61"/>
    <x v="0"/>
    <n v="1"/>
    <n v="0"/>
    <n v="0"/>
    <n v="0"/>
  </r>
  <r>
    <s v="CUST0094"/>
    <s v="Maryam Tucker"/>
    <d v="2025-02-25T00:00:00"/>
    <n v="31"/>
    <x v="0"/>
    <x v="4"/>
    <s v="5G Broadband Router"/>
    <x v="0"/>
    <n v="1"/>
    <s v="Poor"/>
    <n v="27"/>
    <x v="2"/>
    <x v="18"/>
    <n v="25000"/>
    <n v="14"/>
    <n v="350000"/>
    <n v="25000"/>
    <n v="48.49"/>
    <x v="0"/>
    <n v="1"/>
    <n v="0"/>
    <n v="0"/>
    <n v="0"/>
  </r>
  <r>
    <s v="CUST0094"/>
    <s v="Maryam Tucker"/>
    <d v="2025-02-25T00:00:00"/>
    <n v="31"/>
    <x v="0"/>
    <x v="4"/>
    <s v="Mobile SIM Card"/>
    <x v="0"/>
    <n v="1"/>
    <s v="Poor"/>
    <n v="27"/>
    <x v="2"/>
    <x v="19"/>
    <n v="600"/>
    <n v="3"/>
    <n v="1800"/>
    <n v="600"/>
    <n v="133.04"/>
    <x v="0"/>
    <n v="1"/>
    <n v="0"/>
    <n v="0"/>
    <n v="0"/>
  </r>
  <r>
    <s v="CUST0095"/>
    <s v="Sarah James"/>
    <d v="2025-02-25T00:00:00"/>
    <n v="62"/>
    <x v="3"/>
    <x v="23"/>
    <s v="5G Broadband Router"/>
    <x v="0"/>
    <n v="1"/>
    <s v="Poor"/>
    <n v="25"/>
    <x v="2"/>
    <x v="4"/>
    <n v="9000"/>
    <n v="3"/>
    <n v="27000"/>
    <n v="9000"/>
    <n v="71.739999999999995"/>
    <x v="1"/>
    <n v="0"/>
    <n v="0"/>
    <n v="0"/>
    <n v="0"/>
  </r>
  <r>
    <s v="CUST0095"/>
    <s v="Sarah James"/>
    <d v="2025-02-25T00:00:00"/>
    <n v="62"/>
    <x v="3"/>
    <x v="23"/>
    <s v="Mobile SIM Card"/>
    <x v="0"/>
    <n v="1"/>
    <s v="Poor"/>
    <n v="25"/>
    <x v="2"/>
    <x v="7"/>
    <n v="3500"/>
    <n v="4"/>
    <n v="14000"/>
    <n v="3500"/>
    <n v="48.6"/>
    <x v="1"/>
    <n v="0"/>
    <n v="0"/>
    <n v="0"/>
    <n v="0"/>
  </r>
  <r>
    <s v="CUST0096"/>
    <s v="Tega Turner"/>
    <d v="2025-03-25T00:00:00"/>
    <n v="33"/>
    <x v="0"/>
    <x v="19"/>
    <s v="Mobile SIM Card"/>
    <x v="1"/>
    <n v="2"/>
    <s v="Fair"/>
    <n v="35"/>
    <x v="2"/>
    <x v="19"/>
    <n v="600"/>
    <n v="3"/>
    <n v="1800"/>
    <n v="600"/>
    <n v="162.38999999999999"/>
    <x v="1"/>
    <n v="0"/>
    <n v="0"/>
    <n v="0"/>
    <n v="0"/>
  </r>
  <r>
    <s v="CUST0096"/>
    <s v="Tega Turner"/>
    <d v="2025-03-25T00:00:00"/>
    <n v="33"/>
    <x v="0"/>
    <x v="19"/>
    <s v="5G Broadband Router"/>
    <x v="1"/>
    <n v="2"/>
    <s v="Fair"/>
    <n v="35"/>
    <x v="2"/>
    <x v="8"/>
    <n v="150000"/>
    <n v="7"/>
    <n v="1050000"/>
    <n v="150000"/>
    <n v="7.88"/>
    <x v="1"/>
    <n v="0"/>
    <n v="0"/>
    <n v="0"/>
    <n v="0"/>
  </r>
  <r>
    <s v="CUST0096"/>
    <s v="Tega Turner"/>
    <d v="2025-03-25T00:00:00"/>
    <n v="33"/>
    <x v="0"/>
    <x v="19"/>
    <s v="4G Router"/>
    <x v="1"/>
    <n v="2"/>
    <s v="Fair"/>
    <n v="35"/>
    <x v="2"/>
    <x v="9"/>
    <n v="16000"/>
    <n v="2"/>
    <n v="32000"/>
    <n v="16000"/>
    <n v="158.33000000000001"/>
    <x v="1"/>
    <n v="0"/>
    <n v="0"/>
    <n v="0"/>
    <n v="0"/>
  </r>
  <r>
    <s v="CUST0097"/>
    <s v="Ese Perez"/>
    <d v="2025-02-25T00:00:00"/>
    <n v="55"/>
    <x v="3"/>
    <x v="28"/>
    <s v="5G Broadband Router"/>
    <x v="1"/>
    <n v="3"/>
    <s v="Good"/>
    <n v="53"/>
    <x v="2"/>
    <x v="18"/>
    <n v="25000"/>
    <n v="2"/>
    <n v="50000"/>
    <n v="25000"/>
    <n v="172.5"/>
    <x v="0"/>
    <n v="1"/>
    <n v="0"/>
    <n v="0"/>
    <n v="0"/>
  </r>
  <r>
    <s v="CUST0098"/>
    <s v="Tega Murray"/>
    <d v="2025-02-25T00:00:00"/>
    <n v="50"/>
    <x v="4"/>
    <x v="27"/>
    <s v="5G Broadband Router"/>
    <x v="1"/>
    <n v="4"/>
    <s v="Very Good"/>
    <n v="28"/>
    <x v="2"/>
    <x v="8"/>
    <n v="150000"/>
    <n v="12"/>
    <n v="1800000"/>
    <n v="150000"/>
    <n v="138.57"/>
    <x v="1"/>
    <n v="0"/>
    <n v="0"/>
    <n v="0"/>
    <n v="0"/>
  </r>
  <r>
    <s v="CUST0098"/>
    <s v="Tega Murray"/>
    <d v="2025-02-25T00:00:00"/>
    <n v="50"/>
    <x v="4"/>
    <x v="27"/>
    <s v="Broadband MiFi"/>
    <x v="1"/>
    <n v="4"/>
    <s v="Very Good"/>
    <n v="28"/>
    <x v="2"/>
    <x v="10"/>
    <n v="24000"/>
    <n v="3"/>
    <n v="72000"/>
    <n v="24000"/>
    <n v="53.71"/>
    <x v="1"/>
    <n v="0"/>
    <n v="0"/>
    <n v="0"/>
    <n v="0"/>
  </r>
  <r>
    <s v="CUST0099"/>
    <s v="Boma Gonzalez"/>
    <d v="2025-03-25T00:00:00"/>
    <n v="26"/>
    <x v="0"/>
    <x v="0"/>
    <s v="5G Broadband Router"/>
    <x v="0"/>
    <n v="3"/>
    <s v="Good"/>
    <n v="35"/>
    <x v="2"/>
    <x v="17"/>
    <n v="75000"/>
    <n v="15"/>
    <n v="1125000"/>
    <n v="75000"/>
    <n v="33.75"/>
    <x v="0"/>
    <n v="1"/>
    <n v="0"/>
    <n v="0"/>
    <n v="0"/>
  </r>
  <r>
    <s v="CUST0099"/>
    <s v="Boma Gonzalez"/>
    <d v="2025-03-25T00:00:00"/>
    <n v="26"/>
    <x v="0"/>
    <x v="0"/>
    <s v="4G Router"/>
    <x v="0"/>
    <n v="3"/>
    <s v="Good"/>
    <n v="35"/>
    <x v="2"/>
    <x v="6"/>
    <n v="9000"/>
    <n v="12"/>
    <n v="108000"/>
    <n v="9000"/>
    <n v="89.7"/>
    <x v="0"/>
    <n v="1"/>
    <n v="0"/>
    <n v="0"/>
    <n v="0"/>
  </r>
  <r>
    <s v="CUST0099"/>
    <s v="Boma Gonzalez"/>
    <d v="2025-03-25T00:00:00"/>
    <n v="26"/>
    <x v="0"/>
    <x v="0"/>
    <s v="Mobile SIM Card"/>
    <x v="0"/>
    <n v="3"/>
    <s v="Good"/>
    <n v="35"/>
    <x v="2"/>
    <x v="15"/>
    <n v="7500"/>
    <n v="2"/>
    <n v="15000"/>
    <n v="7500"/>
    <n v="55.27"/>
    <x v="0"/>
    <n v="1"/>
    <n v="0"/>
    <n v="0"/>
    <n v="0"/>
  </r>
  <r>
    <s v="CUST0100"/>
    <s v="Kunle Davis"/>
    <d v="2025-02-25T00:00:00"/>
    <n v="67"/>
    <x v="3"/>
    <x v="3"/>
    <s v="Broadband MiFi"/>
    <x v="0"/>
    <n v="5"/>
    <s v="Excellent"/>
    <n v="2"/>
    <x v="0"/>
    <x v="4"/>
    <n v="9000"/>
    <n v="12"/>
    <n v="108000"/>
    <n v="9000"/>
    <n v="47.58"/>
    <x v="1"/>
    <n v="0"/>
    <n v="0"/>
    <n v="0"/>
    <n v="0"/>
  </r>
  <r>
    <s v="CUST0100"/>
    <s v="Kunle Davis"/>
    <d v="2025-02-25T00:00:00"/>
    <n v="67"/>
    <x v="3"/>
    <x v="3"/>
    <s v="Mobile SIM Card"/>
    <x v="0"/>
    <n v="5"/>
    <s v="Excellent"/>
    <n v="2"/>
    <x v="0"/>
    <x v="7"/>
    <n v="3500"/>
    <n v="19"/>
    <n v="66500"/>
    <n v="3500"/>
    <n v="76.88"/>
    <x v="1"/>
    <n v="0"/>
    <n v="0"/>
    <n v="0"/>
    <n v="0"/>
  </r>
  <r>
    <s v="CUST0101"/>
    <s v="Bola Brown"/>
    <d v="2025-02-25T00:00:00"/>
    <n v="35"/>
    <x v="2"/>
    <x v="30"/>
    <s v="5G Broadband Router"/>
    <x v="1"/>
    <n v="1"/>
    <s v="Poor"/>
    <n v="24"/>
    <x v="1"/>
    <x v="10"/>
    <n v="24000"/>
    <n v="4"/>
    <n v="96000"/>
    <n v="24000"/>
    <n v="50.3"/>
    <x v="1"/>
    <n v="0"/>
    <n v="0"/>
    <n v="0"/>
    <n v="0"/>
  </r>
  <r>
    <s v="CUST0101"/>
    <s v="Bola Brown"/>
    <d v="2025-02-25T00:00:00"/>
    <n v="35"/>
    <x v="2"/>
    <x v="30"/>
    <s v="Mobile SIM Card"/>
    <x v="1"/>
    <n v="1"/>
    <s v="Poor"/>
    <n v="24"/>
    <x v="1"/>
    <x v="9"/>
    <n v="16000"/>
    <n v="16"/>
    <n v="256000"/>
    <n v="16000"/>
    <n v="147.27000000000001"/>
    <x v="1"/>
    <n v="0"/>
    <n v="0"/>
    <n v="0"/>
    <n v="0"/>
  </r>
  <r>
    <s v="CUST0101"/>
    <s v="Bola Brown"/>
    <d v="2025-02-25T00:00:00"/>
    <n v="35"/>
    <x v="2"/>
    <x v="30"/>
    <s v="Mobile SIM Card"/>
    <x v="1"/>
    <n v="1"/>
    <s v="Poor"/>
    <n v="24"/>
    <x v="1"/>
    <x v="20"/>
    <n v="6500"/>
    <n v="18"/>
    <n v="117000"/>
    <n v="6500"/>
    <n v="77.7"/>
    <x v="1"/>
    <n v="0"/>
    <n v="0"/>
    <n v="0"/>
    <n v="0"/>
  </r>
  <r>
    <s v="CUST0102"/>
    <s v="Ifeanyi Burns"/>
    <d v="2025-03-25T00:00:00"/>
    <n v="49"/>
    <x v="4"/>
    <x v="22"/>
    <s v="Mobile SIM Card"/>
    <x v="1"/>
    <n v="4"/>
    <s v="Very Good"/>
    <n v="14"/>
    <x v="1"/>
    <x v="19"/>
    <n v="600"/>
    <n v="15"/>
    <n v="9000"/>
    <n v="600"/>
    <n v="179.79"/>
    <x v="0"/>
    <n v="1"/>
    <n v="0"/>
    <n v="0"/>
    <n v="0"/>
  </r>
  <r>
    <s v="CUST0103"/>
    <s v="Chinedu Barrera"/>
    <d v="2025-03-25T00:00:00"/>
    <n v="56"/>
    <x v="3"/>
    <x v="25"/>
    <s v="4G Router"/>
    <x v="0"/>
    <n v="3"/>
    <s v="Good"/>
    <n v="36"/>
    <x v="2"/>
    <x v="9"/>
    <n v="16000"/>
    <n v="5"/>
    <n v="80000"/>
    <n v="16000"/>
    <n v="197.03"/>
    <x v="1"/>
    <n v="0"/>
    <n v="0"/>
    <n v="0"/>
    <n v="0"/>
  </r>
  <r>
    <s v="CUST0103"/>
    <s v="Chinedu Barrera"/>
    <d v="2025-03-25T00:00:00"/>
    <n v="56"/>
    <x v="3"/>
    <x v="25"/>
    <s v="Mobile SIM Card"/>
    <x v="0"/>
    <n v="3"/>
    <s v="Good"/>
    <n v="36"/>
    <x v="2"/>
    <x v="13"/>
    <n v="350"/>
    <n v="1"/>
    <n v="350"/>
    <n v="350"/>
    <n v="158.18"/>
    <x v="1"/>
    <n v="0"/>
    <n v="0"/>
    <n v="0"/>
    <n v="0"/>
  </r>
  <r>
    <s v="CUST0103"/>
    <s v="Chinedu Barrera"/>
    <d v="2025-03-25T00:00:00"/>
    <n v="56"/>
    <x v="3"/>
    <x v="25"/>
    <s v="Broadband MiFi"/>
    <x v="0"/>
    <n v="3"/>
    <s v="Good"/>
    <n v="36"/>
    <x v="2"/>
    <x v="11"/>
    <n v="30000"/>
    <n v="12"/>
    <n v="360000"/>
    <n v="30000"/>
    <n v="111.03"/>
    <x v="1"/>
    <n v="0"/>
    <n v="0"/>
    <n v="0"/>
    <n v="0"/>
  </r>
  <r>
    <s v="CUST0104"/>
    <s v="Zina Fischer"/>
    <d v="2025-02-25T00:00:00"/>
    <n v="32"/>
    <x v="0"/>
    <x v="33"/>
    <s v="Broadband MiFi"/>
    <x v="0"/>
    <n v="4"/>
    <s v="Very Good"/>
    <n v="20"/>
    <x v="1"/>
    <x v="11"/>
    <n v="30000"/>
    <n v="15"/>
    <n v="450000"/>
    <n v="30000"/>
    <n v="128.65"/>
    <x v="1"/>
    <n v="0"/>
    <n v="0"/>
    <n v="0"/>
    <n v="0"/>
  </r>
  <r>
    <s v="CUST0104"/>
    <s v="Zina Fischer"/>
    <d v="2025-02-25T00:00:00"/>
    <n v="32"/>
    <x v="0"/>
    <x v="33"/>
    <s v="Mobile SIM Card"/>
    <x v="0"/>
    <n v="4"/>
    <s v="Very Good"/>
    <n v="20"/>
    <x v="1"/>
    <x v="1"/>
    <n v="5500"/>
    <n v="12"/>
    <n v="66000"/>
    <n v="5500"/>
    <n v="136.18"/>
    <x v="1"/>
    <n v="0"/>
    <n v="0"/>
    <n v="0"/>
    <n v="0"/>
  </r>
  <r>
    <s v="CUST0105"/>
    <s v="Amaka Garcia"/>
    <d v="2025-01-25T00:00:00"/>
    <n v="39"/>
    <x v="2"/>
    <x v="21"/>
    <s v="Mobile SIM Card"/>
    <x v="1"/>
    <n v="1"/>
    <s v="Poor"/>
    <n v="33"/>
    <x v="2"/>
    <x v="6"/>
    <n v="9000"/>
    <n v="8"/>
    <n v="72000"/>
    <n v="9000"/>
    <n v="186.98"/>
    <x v="1"/>
    <n v="0"/>
    <n v="0"/>
    <n v="0"/>
    <n v="0"/>
  </r>
  <r>
    <s v="CUST0105"/>
    <s v="Amaka Garcia"/>
    <d v="2025-01-25T00:00:00"/>
    <n v="39"/>
    <x v="2"/>
    <x v="21"/>
    <s v="Broadband MiFi"/>
    <x v="1"/>
    <n v="1"/>
    <s v="Poor"/>
    <n v="33"/>
    <x v="2"/>
    <x v="11"/>
    <n v="30000"/>
    <n v="17"/>
    <n v="510000"/>
    <n v="30000"/>
    <n v="189.52"/>
    <x v="1"/>
    <n v="0"/>
    <n v="0"/>
    <n v="0"/>
    <n v="0"/>
  </r>
  <r>
    <s v="CUST0106"/>
    <s v="Abubakar Holmes"/>
    <d v="2025-03-25T00:00:00"/>
    <n v="26"/>
    <x v="0"/>
    <x v="22"/>
    <s v="Broadband MiFi"/>
    <x v="0"/>
    <n v="2"/>
    <s v="Fair"/>
    <n v="41"/>
    <x v="2"/>
    <x v="10"/>
    <n v="24000"/>
    <n v="5"/>
    <n v="120000"/>
    <n v="24000"/>
    <n v="188.35"/>
    <x v="1"/>
    <n v="0"/>
    <n v="0"/>
    <n v="0"/>
    <n v="0"/>
  </r>
  <r>
    <s v="CUST0106"/>
    <s v="Abubakar Holmes"/>
    <d v="2025-03-25T00:00:00"/>
    <n v="26"/>
    <x v="0"/>
    <x v="22"/>
    <s v="5G Broadband Router"/>
    <x v="0"/>
    <n v="2"/>
    <s v="Fair"/>
    <n v="41"/>
    <x v="2"/>
    <x v="11"/>
    <n v="30000"/>
    <n v="20"/>
    <n v="600000"/>
    <n v="30000"/>
    <n v="131.91999999999999"/>
    <x v="1"/>
    <n v="0"/>
    <n v="0"/>
    <n v="0"/>
    <n v="0"/>
  </r>
  <r>
    <s v="CUST0106"/>
    <s v="Abubakar Holmes"/>
    <d v="2025-03-25T00:00:00"/>
    <n v="26"/>
    <x v="0"/>
    <x v="22"/>
    <s v="Mobile SIM Card"/>
    <x v="0"/>
    <n v="2"/>
    <s v="Fair"/>
    <n v="41"/>
    <x v="2"/>
    <x v="7"/>
    <n v="3500"/>
    <n v="19"/>
    <n v="66500"/>
    <n v="3500"/>
    <n v="168.58"/>
    <x v="1"/>
    <n v="0"/>
    <n v="0"/>
    <n v="0"/>
    <n v="0"/>
  </r>
  <r>
    <s v="CUST0107"/>
    <s v="Bola Rogers"/>
    <d v="2025-03-25T00:00:00"/>
    <n v="19"/>
    <x v="1"/>
    <x v="33"/>
    <s v="4G Router"/>
    <x v="0"/>
    <n v="2"/>
    <s v="Fair"/>
    <n v="42"/>
    <x v="2"/>
    <x v="5"/>
    <n v="4500"/>
    <n v="10"/>
    <n v="45000"/>
    <n v="4500"/>
    <n v="128.56"/>
    <x v="1"/>
    <n v="0"/>
    <n v="0"/>
    <n v="0"/>
    <n v="0"/>
  </r>
  <r>
    <s v="CUST0108"/>
    <s v="John Rose"/>
    <d v="2025-01-25T00:00:00"/>
    <n v="47"/>
    <x v="4"/>
    <x v="10"/>
    <s v="Mobile SIM Card"/>
    <x v="1"/>
    <n v="1"/>
    <s v="Poor"/>
    <n v="30"/>
    <x v="2"/>
    <x v="7"/>
    <n v="3500"/>
    <n v="11"/>
    <n v="38500"/>
    <n v="3500"/>
    <n v="121.53"/>
    <x v="0"/>
    <n v="1"/>
    <n v="0"/>
    <n v="0"/>
    <n v="0"/>
  </r>
  <r>
    <s v="CUST0108"/>
    <s v="John Rose"/>
    <d v="2025-01-25T00:00:00"/>
    <n v="47"/>
    <x v="4"/>
    <x v="10"/>
    <s v="Broadband MiFi"/>
    <x v="1"/>
    <n v="1"/>
    <s v="Poor"/>
    <n v="30"/>
    <x v="2"/>
    <x v="11"/>
    <n v="30000"/>
    <n v="12"/>
    <n v="360000"/>
    <n v="30000"/>
    <n v="146.97"/>
    <x v="0"/>
    <n v="1"/>
    <n v="0"/>
    <n v="0"/>
    <n v="0"/>
  </r>
  <r>
    <s v="CUST0109"/>
    <s v="Tamuno Bates"/>
    <d v="2025-02-25T00:00:00"/>
    <n v="32"/>
    <x v="0"/>
    <x v="3"/>
    <s v="Mobile SIM Card"/>
    <x v="0"/>
    <n v="4"/>
    <s v="Very Good"/>
    <n v="21"/>
    <x v="1"/>
    <x v="9"/>
    <n v="16000"/>
    <n v="13"/>
    <n v="208000"/>
    <n v="16000"/>
    <n v="10.6"/>
    <x v="0"/>
    <n v="1"/>
    <n v="0"/>
    <n v="0"/>
    <n v="0"/>
  </r>
  <r>
    <s v="CUST0110"/>
    <s v="Ibim Richards"/>
    <d v="2025-03-25T00:00:00"/>
    <n v="47"/>
    <x v="4"/>
    <x v="1"/>
    <s v="Mobile SIM Card"/>
    <x v="1"/>
    <n v="2"/>
    <s v="Fair"/>
    <n v="60"/>
    <x v="2"/>
    <x v="3"/>
    <n v="500"/>
    <n v="3"/>
    <n v="1500"/>
    <n v="500"/>
    <n v="99.73"/>
    <x v="1"/>
    <n v="0"/>
    <n v="0"/>
    <n v="0"/>
    <n v="0"/>
  </r>
  <r>
    <s v="CUST0110"/>
    <s v="Ibim Richards"/>
    <d v="2025-03-25T00:00:00"/>
    <n v="47"/>
    <x v="4"/>
    <x v="1"/>
    <s v="4G Router"/>
    <x v="1"/>
    <n v="2"/>
    <s v="Fair"/>
    <n v="60"/>
    <x v="2"/>
    <x v="0"/>
    <n v="35000"/>
    <n v="8"/>
    <n v="280000"/>
    <n v="35000"/>
    <n v="101.34"/>
    <x v="1"/>
    <n v="0"/>
    <n v="0"/>
    <n v="0"/>
    <n v="0"/>
  </r>
  <r>
    <s v="CUST0111"/>
    <s v="Fatima Blevins"/>
    <d v="2025-02-25T00:00:00"/>
    <n v="61"/>
    <x v="3"/>
    <x v="4"/>
    <s v="Mobile SIM Card"/>
    <x v="0"/>
    <n v="5"/>
    <s v="Excellent"/>
    <n v="19"/>
    <x v="1"/>
    <x v="14"/>
    <n v="1000"/>
    <n v="9"/>
    <n v="9000"/>
    <n v="1000"/>
    <n v="86.47"/>
    <x v="1"/>
    <n v="0"/>
    <n v="0"/>
    <n v="0"/>
    <n v="0"/>
  </r>
  <r>
    <s v="CUST0111"/>
    <s v="Fatima Blevins"/>
    <d v="2025-02-25T00:00:00"/>
    <n v="61"/>
    <x v="3"/>
    <x v="4"/>
    <s v="4G Router"/>
    <x v="0"/>
    <n v="5"/>
    <s v="Excellent"/>
    <n v="19"/>
    <x v="1"/>
    <x v="6"/>
    <n v="9000"/>
    <n v="12"/>
    <n v="108000"/>
    <n v="9000"/>
    <n v="152.88999999999999"/>
    <x v="1"/>
    <n v="0"/>
    <n v="0"/>
    <n v="0"/>
    <n v="0"/>
  </r>
  <r>
    <s v="CUST0111"/>
    <s v="Fatima Blevins"/>
    <d v="2025-02-25T00:00:00"/>
    <n v="61"/>
    <x v="3"/>
    <x v="4"/>
    <s v="Broadband MiFi"/>
    <x v="0"/>
    <n v="5"/>
    <s v="Excellent"/>
    <n v="19"/>
    <x v="1"/>
    <x v="4"/>
    <n v="9000"/>
    <n v="19"/>
    <n v="171000"/>
    <n v="9000"/>
    <n v="80.42"/>
    <x v="1"/>
    <n v="0"/>
    <n v="0"/>
    <n v="0"/>
    <n v="0"/>
  </r>
  <r>
    <s v="CUST0112"/>
    <s v="Bala Smith"/>
    <d v="2025-02-25T00:00:00"/>
    <n v="62"/>
    <x v="3"/>
    <x v="14"/>
    <s v="Broadband MiFi"/>
    <x v="0"/>
    <n v="5"/>
    <s v="Excellent"/>
    <n v="25"/>
    <x v="2"/>
    <x v="12"/>
    <n v="14500"/>
    <n v="11"/>
    <n v="159500"/>
    <n v="14500"/>
    <n v="74.95"/>
    <x v="0"/>
    <n v="1"/>
    <n v="0"/>
    <n v="0"/>
    <n v="0"/>
  </r>
  <r>
    <s v="CUST0112"/>
    <s v="Bala Smith"/>
    <d v="2025-02-25T00:00:00"/>
    <n v="62"/>
    <x v="3"/>
    <x v="14"/>
    <s v="Mobile SIM Card"/>
    <x v="0"/>
    <n v="5"/>
    <s v="Excellent"/>
    <n v="25"/>
    <x v="2"/>
    <x v="20"/>
    <n v="6500"/>
    <n v="5"/>
    <n v="32500"/>
    <n v="6500"/>
    <n v="187.82"/>
    <x v="0"/>
    <n v="1"/>
    <n v="0"/>
    <n v="0"/>
    <n v="0"/>
  </r>
  <r>
    <s v="CUST0112"/>
    <s v="Bala Smith"/>
    <d v="2025-02-25T00:00:00"/>
    <n v="62"/>
    <x v="3"/>
    <x v="14"/>
    <s v="5G Broadband Router"/>
    <x v="0"/>
    <n v="5"/>
    <s v="Excellent"/>
    <n v="25"/>
    <x v="2"/>
    <x v="12"/>
    <n v="14500"/>
    <n v="13"/>
    <n v="188500"/>
    <n v="14500"/>
    <n v="120.69"/>
    <x v="0"/>
    <n v="1"/>
    <n v="0"/>
    <n v="0"/>
    <n v="0"/>
  </r>
  <r>
    <s v="CUST0113"/>
    <s v="Michael Evans"/>
    <d v="2025-03-25T00:00:00"/>
    <n v="21"/>
    <x v="1"/>
    <x v="19"/>
    <s v="4G Router"/>
    <x v="0"/>
    <n v="4"/>
    <s v="Very Good"/>
    <n v="9"/>
    <x v="3"/>
    <x v="6"/>
    <n v="9000"/>
    <n v="11"/>
    <n v="99000"/>
    <n v="9000"/>
    <n v="186.31"/>
    <x v="1"/>
    <n v="0"/>
    <n v="0"/>
    <n v="0"/>
    <n v="0"/>
  </r>
  <r>
    <s v="CUST0114"/>
    <s v="Amina Todd"/>
    <d v="2025-02-25T00:00:00"/>
    <n v="66"/>
    <x v="3"/>
    <x v="24"/>
    <s v="5G Broadband Router"/>
    <x v="1"/>
    <n v="5"/>
    <s v="Excellent"/>
    <n v="33"/>
    <x v="2"/>
    <x v="18"/>
    <n v="25000"/>
    <n v="14"/>
    <n v="350000"/>
    <n v="25000"/>
    <n v="134.91999999999999"/>
    <x v="0"/>
    <n v="1"/>
    <n v="0"/>
    <n v="0"/>
    <n v="0"/>
  </r>
  <r>
    <s v="CUST0115"/>
    <s v="Maryam Smith"/>
    <d v="2025-02-25T00:00:00"/>
    <n v="19"/>
    <x v="1"/>
    <x v="31"/>
    <s v="Mobile SIM Card"/>
    <x v="1"/>
    <n v="1"/>
    <s v="Poor"/>
    <n v="42"/>
    <x v="2"/>
    <x v="19"/>
    <n v="600"/>
    <n v="8"/>
    <n v="4800"/>
    <n v="600"/>
    <n v="164.42"/>
    <x v="1"/>
    <n v="0"/>
    <n v="0"/>
    <n v="0"/>
    <n v="0"/>
  </r>
  <r>
    <s v="CUST0116"/>
    <s v="Bola Garcia"/>
    <d v="2025-03-25T00:00:00"/>
    <n v="30"/>
    <x v="0"/>
    <x v="18"/>
    <s v="Mobile SIM Card"/>
    <x v="0"/>
    <n v="4"/>
    <s v="Very Good"/>
    <n v="29"/>
    <x v="2"/>
    <x v="20"/>
    <n v="6500"/>
    <n v="16"/>
    <n v="104000"/>
    <n v="6500"/>
    <n v="155.11000000000001"/>
    <x v="0"/>
    <n v="1"/>
    <n v="0"/>
    <n v="0"/>
    <n v="0"/>
  </r>
  <r>
    <s v="CUST0117"/>
    <s v="Sade Collins"/>
    <d v="2025-03-25T00:00:00"/>
    <n v="33"/>
    <x v="0"/>
    <x v="8"/>
    <s v="4G Router"/>
    <x v="0"/>
    <n v="4"/>
    <s v="Very Good"/>
    <n v="36"/>
    <x v="2"/>
    <x v="6"/>
    <n v="9000"/>
    <n v="9"/>
    <n v="81000"/>
    <n v="9000"/>
    <n v="109.48"/>
    <x v="1"/>
    <n v="0"/>
    <n v="0"/>
    <n v="0"/>
    <n v="0"/>
  </r>
  <r>
    <s v="CUST0117"/>
    <s v="Sade Collins"/>
    <d v="2025-03-25T00:00:00"/>
    <n v="33"/>
    <x v="0"/>
    <x v="8"/>
    <s v="Mobile SIM Card"/>
    <x v="0"/>
    <n v="4"/>
    <s v="Very Good"/>
    <n v="36"/>
    <x v="2"/>
    <x v="1"/>
    <n v="5500"/>
    <n v="8"/>
    <n v="44000"/>
    <n v="5500"/>
    <n v="38.86"/>
    <x v="1"/>
    <n v="0"/>
    <n v="0"/>
    <n v="0"/>
    <n v="0"/>
  </r>
  <r>
    <s v="CUST0118"/>
    <s v="Zainab Garcia"/>
    <d v="2025-03-25T00:00:00"/>
    <n v="54"/>
    <x v="4"/>
    <x v="16"/>
    <s v="5G Broadband Router"/>
    <x v="1"/>
    <n v="2"/>
    <s v="Fair"/>
    <n v="50"/>
    <x v="2"/>
    <x v="18"/>
    <n v="25000"/>
    <n v="9"/>
    <n v="225000"/>
    <n v="25000"/>
    <n v="112.32"/>
    <x v="1"/>
    <n v="0"/>
    <n v="0"/>
    <n v="0"/>
    <n v="0"/>
  </r>
  <r>
    <s v="CUST0118"/>
    <s v="Zainab Garcia"/>
    <d v="2025-03-25T00:00:00"/>
    <n v="54"/>
    <x v="4"/>
    <x v="16"/>
    <s v="4G Router"/>
    <x v="1"/>
    <n v="2"/>
    <s v="Fair"/>
    <n v="50"/>
    <x v="2"/>
    <x v="6"/>
    <n v="9000"/>
    <n v="18"/>
    <n v="162000"/>
    <n v="9000"/>
    <n v="24.81"/>
    <x v="1"/>
    <n v="0"/>
    <n v="0"/>
    <n v="0"/>
    <n v="0"/>
  </r>
  <r>
    <s v="CUST0119"/>
    <s v="Omamuzo Terry"/>
    <d v="2025-01-25T00:00:00"/>
    <n v="66"/>
    <x v="3"/>
    <x v="25"/>
    <s v="5G Broadband Router"/>
    <x v="0"/>
    <n v="3"/>
    <s v="Good"/>
    <n v="19"/>
    <x v="1"/>
    <x v="8"/>
    <n v="150000"/>
    <n v="16"/>
    <n v="2400000"/>
    <n v="150000"/>
    <n v="131.37"/>
    <x v="1"/>
    <n v="0"/>
    <n v="0"/>
    <n v="0"/>
    <n v="0"/>
  </r>
  <r>
    <s v="CUST0120"/>
    <s v="Fatima Lindsey"/>
    <d v="2025-03-25T00:00:00"/>
    <n v="41"/>
    <x v="2"/>
    <x v="11"/>
    <s v="4G Router"/>
    <x v="1"/>
    <n v="2"/>
    <s v="Fair"/>
    <n v="60"/>
    <x v="2"/>
    <x v="5"/>
    <n v="4500"/>
    <n v="2"/>
    <n v="9000"/>
    <n v="4500"/>
    <n v="127.77"/>
    <x v="0"/>
    <n v="1"/>
    <n v="0"/>
    <n v="0"/>
    <n v="0"/>
  </r>
  <r>
    <s v="CUST0120"/>
    <s v="Fatima Lindsey"/>
    <d v="2025-03-25T00:00:00"/>
    <n v="41"/>
    <x v="2"/>
    <x v="11"/>
    <s v="Broadband MiFi"/>
    <x v="1"/>
    <n v="2"/>
    <s v="Fair"/>
    <n v="60"/>
    <x v="2"/>
    <x v="4"/>
    <n v="9000"/>
    <n v="16"/>
    <n v="144000"/>
    <n v="9000"/>
    <n v="82.95"/>
    <x v="0"/>
    <n v="1"/>
    <n v="0"/>
    <n v="0"/>
    <n v="0"/>
  </r>
  <r>
    <s v="CUST0120"/>
    <s v="Fatima Lindsey"/>
    <d v="2025-03-25T00:00:00"/>
    <n v="41"/>
    <x v="2"/>
    <x v="11"/>
    <s v="5G Broadband Router"/>
    <x v="1"/>
    <n v="2"/>
    <s v="Fair"/>
    <n v="60"/>
    <x v="2"/>
    <x v="2"/>
    <n v="20000"/>
    <n v="5"/>
    <n v="100000"/>
    <n v="20000"/>
    <n v="136.4"/>
    <x v="0"/>
    <n v="1"/>
    <n v="0"/>
    <n v="0"/>
    <n v="0"/>
  </r>
  <r>
    <s v="CUST0121"/>
    <s v="Tunde Smith"/>
    <d v="2025-02-25T00:00:00"/>
    <n v="36"/>
    <x v="2"/>
    <x v="15"/>
    <s v="Broadband MiFi"/>
    <x v="1"/>
    <n v="3"/>
    <s v="Good"/>
    <n v="31"/>
    <x v="2"/>
    <x v="10"/>
    <n v="24000"/>
    <n v="2"/>
    <n v="48000"/>
    <n v="24000"/>
    <n v="147.87"/>
    <x v="1"/>
    <n v="0"/>
    <n v="0"/>
    <n v="0"/>
    <n v="0"/>
  </r>
  <r>
    <s v="CUST0121"/>
    <s v="Tunde Smith"/>
    <d v="2025-02-25T00:00:00"/>
    <n v="36"/>
    <x v="2"/>
    <x v="15"/>
    <s v="Mobile SIM Card"/>
    <x v="1"/>
    <n v="3"/>
    <s v="Good"/>
    <n v="31"/>
    <x v="2"/>
    <x v="19"/>
    <n v="600"/>
    <n v="6"/>
    <n v="3600"/>
    <n v="600"/>
    <n v="83.87"/>
    <x v="1"/>
    <n v="0"/>
    <n v="0"/>
    <n v="0"/>
    <n v="0"/>
  </r>
  <r>
    <s v="CUST0121"/>
    <s v="Tunde Smith"/>
    <d v="2025-02-25T00:00:00"/>
    <n v="36"/>
    <x v="2"/>
    <x v="15"/>
    <s v="5G Broadband Router"/>
    <x v="1"/>
    <n v="3"/>
    <s v="Good"/>
    <n v="31"/>
    <x v="2"/>
    <x v="4"/>
    <n v="9000"/>
    <n v="13"/>
    <n v="117000"/>
    <n v="9000"/>
    <n v="199.44"/>
    <x v="1"/>
    <n v="0"/>
    <n v="0"/>
    <n v="0"/>
    <n v="0"/>
  </r>
  <r>
    <s v="CUST0122"/>
    <s v="Grace Fowler"/>
    <d v="2025-03-25T00:00:00"/>
    <n v="39"/>
    <x v="2"/>
    <x v="14"/>
    <s v="5G Broadband Router"/>
    <x v="0"/>
    <n v="5"/>
    <s v="Excellent"/>
    <n v="1"/>
    <x v="0"/>
    <x v="8"/>
    <n v="150000"/>
    <n v="5"/>
    <n v="750000"/>
    <n v="150000"/>
    <n v="177.91"/>
    <x v="1"/>
    <n v="0"/>
    <n v="0"/>
    <n v="0"/>
    <n v="0"/>
  </r>
  <r>
    <s v="CUST0122"/>
    <s v="Grace Fowler"/>
    <d v="2025-03-25T00:00:00"/>
    <n v="39"/>
    <x v="2"/>
    <x v="14"/>
    <s v="4G Router"/>
    <x v="0"/>
    <n v="5"/>
    <s v="Excellent"/>
    <n v="1"/>
    <x v="0"/>
    <x v="0"/>
    <n v="35000"/>
    <n v="4"/>
    <n v="140000"/>
    <n v="35000"/>
    <n v="54.93"/>
    <x v="1"/>
    <n v="0"/>
    <n v="0"/>
    <n v="0"/>
    <n v="0"/>
  </r>
  <r>
    <s v="CUST0123"/>
    <s v="Tega Chen"/>
    <d v="2025-02-25T00:00:00"/>
    <n v="36"/>
    <x v="2"/>
    <x v="2"/>
    <s v="4G Router"/>
    <x v="1"/>
    <n v="1"/>
    <s v="Poor"/>
    <n v="46"/>
    <x v="2"/>
    <x v="0"/>
    <n v="35000"/>
    <n v="17"/>
    <n v="595000"/>
    <n v="35000"/>
    <n v="165.48"/>
    <x v="1"/>
    <n v="0"/>
    <n v="0"/>
    <n v="0"/>
    <n v="0"/>
  </r>
  <r>
    <s v="CUST0123"/>
    <s v="Tega Chen"/>
    <d v="2025-02-25T00:00:00"/>
    <n v="36"/>
    <x v="2"/>
    <x v="2"/>
    <s v="Broadband MiFi"/>
    <x v="1"/>
    <n v="1"/>
    <s v="Poor"/>
    <n v="46"/>
    <x v="2"/>
    <x v="11"/>
    <n v="30000"/>
    <n v="4"/>
    <n v="120000"/>
    <n v="30000"/>
    <n v="17.8"/>
    <x v="1"/>
    <n v="0"/>
    <n v="0"/>
    <n v="0"/>
    <n v="0"/>
  </r>
  <r>
    <s v="CUST0124"/>
    <s v="Shehu Nguyen"/>
    <d v="2025-02-25T00:00:00"/>
    <n v="33"/>
    <x v="0"/>
    <x v="31"/>
    <s v="5G Broadband Router"/>
    <x v="1"/>
    <n v="1"/>
    <s v="Poor"/>
    <n v="60"/>
    <x v="2"/>
    <x v="10"/>
    <n v="24000"/>
    <n v="19"/>
    <n v="456000"/>
    <n v="24000"/>
    <n v="116.7"/>
    <x v="0"/>
    <n v="1"/>
    <n v="0"/>
    <n v="0"/>
    <n v="0"/>
  </r>
  <r>
    <s v="CUST0124"/>
    <s v="Shehu Nguyen"/>
    <d v="2025-02-25T00:00:00"/>
    <n v="33"/>
    <x v="0"/>
    <x v="31"/>
    <s v="4G Router"/>
    <x v="1"/>
    <n v="1"/>
    <s v="Poor"/>
    <n v="60"/>
    <x v="2"/>
    <x v="9"/>
    <n v="16000"/>
    <n v="12"/>
    <n v="192000"/>
    <n v="16000"/>
    <n v="52.68"/>
    <x v="0"/>
    <n v="1"/>
    <n v="0"/>
    <n v="0"/>
    <n v="0"/>
  </r>
  <r>
    <s v="CUST0125"/>
    <s v="Halima Aguilar"/>
    <d v="2025-02-25T00:00:00"/>
    <n v="23"/>
    <x v="1"/>
    <x v="27"/>
    <s v="5G Broadband Router"/>
    <x v="1"/>
    <n v="4"/>
    <s v="Very Good"/>
    <n v="20"/>
    <x v="1"/>
    <x v="10"/>
    <n v="24000"/>
    <n v="8"/>
    <n v="192000"/>
    <n v="24000"/>
    <n v="73.83"/>
    <x v="1"/>
    <n v="0"/>
    <n v="0"/>
    <n v="0"/>
    <n v="0"/>
  </r>
  <r>
    <s v="CUST0125"/>
    <s v="Halima Aguilar"/>
    <d v="2025-02-25T00:00:00"/>
    <n v="23"/>
    <x v="1"/>
    <x v="27"/>
    <s v="Mobile SIM Card"/>
    <x v="1"/>
    <n v="4"/>
    <s v="Very Good"/>
    <n v="20"/>
    <x v="1"/>
    <x v="13"/>
    <n v="350"/>
    <n v="16"/>
    <n v="5600"/>
    <n v="350"/>
    <n v="191.49"/>
    <x v="1"/>
    <n v="0"/>
    <n v="0"/>
    <n v="0"/>
    <n v="0"/>
  </r>
  <r>
    <s v="CUST0125"/>
    <s v="Halima Aguilar"/>
    <d v="2025-02-25T00:00:00"/>
    <n v="23"/>
    <x v="1"/>
    <x v="27"/>
    <s v="Broadband MiFi"/>
    <x v="1"/>
    <n v="4"/>
    <s v="Very Good"/>
    <n v="20"/>
    <x v="1"/>
    <x v="2"/>
    <n v="20000"/>
    <n v="20"/>
    <n v="400000"/>
    <n v="20000"/>
    <n v="91.27"/>
    <x v="1"/>
    <n v="0"/>
    <n v="0"/>
    <n v="0"/>
    <n v="0"/>
  </r>
  <r>
    <s v="CUST0126"/>
    <s v="Ejiro Ware"/>
    <d v="2025-02-25T00:00:00"/>
    <n v="69"/>
    <x v="3"/>
    <x v="31"/>
    <s v="Mobile SIM Card"/>
    <x v="0"/>
    <n v="5"/>
    <s v="Excellent"/>
    <n v="49"/>
    <x v="2"/>
    <x v="20"/>
    <n v="6500"/>
    <n v="3"/>
    <n v="19500"/>
    <n v="6500"/>
    <n v="140.9"/>
    <x v="1"/>
    <n v="0"/>
    <n v="0"/>
    <n v="0"/>
    <n v="0"/>
  </r>
  <r>
    <s v="CUST0127"/>
    <s v="Ifeanyi Clayton"/>
    <d v="2025-02-25T00:00:00"/>
    <n v="23"/>
    <x v="1"/>
    <x v="28"/>
    <s v="Mobile SIM Card"/>
    <x v="0"/>
    <n v="2"/>
    <s v="Fair"/>
    <n v="37"/>
    <x v="2"/>
    <x v="1"/>
    <n v="5500"/>
    <n v="17"/>
    <n v="93500"/>
    <n v="5500"/>
    <n v="18.64"/>
    <x v="1"/>
    <n v="0"/>
    <n v="0"/>
    <n v="0"/>
    <n v="0"/>
  </r>
  <r>
    <s v="CUST0127"/>
    <s v="Ifeanyi Clayton"/>
    <d v="2025-02-25T00:00:00"/>
    <n v="23"/>
    <x v="1"/>
    <x v="28"/>
    <s v="Broadband MiFi"/>
    <x v="0"/>
    <n v="2"/>
    <s v="Fair"/>
    <n v="37"/>
    <x v="2"/>
    <x v="12"/>
    <n v="14500"/>
    <n v="15"/>
    <n v="217500"/>
    <n v="14500"/>
    <n v="161.83000000000001"/>
    <x v="1"/>
    <n v="0"/>
    <n v="0"/>
    <n v="0"/>
    <n v="0"/>
  </r>
  <r>
    <s v="CUST0127"/>
    <s v="Ifeanyi Clayton"/>
    <d v="2025-02-25T00:00:00"/>
    <n v="23"/>
    <x v="1"/>
    <x v="28"/>
    <s v="5G Broadband Router"/>
    <x v="0"/>
    <n v="2"/>
    <s v="Fair"/>
    <n v="37"/>
    <x v="2"/>
    <x v="11"/>
    <n v="30000"/>
    <n v="15"/>
    <n v="450000"/>
    <n v="30000"/>
    <n v="102.89"/>
    <x v="1"/>
    <n v="0"/>
    <n v="0"/>
    <n v="0"/>
    <n v="0"/>
  </r>
  <r>
    <s v="CUST0128"/>
    <s v="Sade Berry"/>
    <d v="2025-03-25T00:00:00"/>
    <n v="75"/>
    <x v="3"/>
    <x v="24"/>
    <s v="Broadband MiFi"/>
    <x v="0"/>
    <n v="1"/>
    <s v="Poor"/>
    <n v="26"/>
    <x v="2"/>
    <x v="11"/>
    <n v="30000"/>
    <n v="18"/>
    <n v="540000"/>
    <n v="30000"/>
    <n v="140.22999999999999"/>
    <x v="1"/>
    <n v="0"/>
    <n v="0"/>
    <n v="0"/>
    <n v="0"/>
  </r>
  <r>
    <s v="CUST0128"/>
    <s v="Sade Berry"/>
    <d v="2025-03-25T00:00:00"/>
    <n v="75"/>
    <x v="3"/>
    <x v="24"/>
    <s v="Mobile SIM Card"/>
    <x v="0"/>
    <n v="1"/>
    <s v="Poor"/>
    <n v="26"/>
    <x v="2"/>
    <x v="16"/>
    <n v="900"/>
    <n v="3"/>
    <n v="2700"/>
    <n v="900"/>
    <n v="186.95"/>
    <x v="1"/>
    <n v="0"/>
    <n v="0"/>
    <n v="0"/>
    <n v="0"/>
  </r>
  <r>
    <s v="CUST0128"/>
    <s v="Sade Berry"/>
    <d v="2025-03-25T00:00:00"/>
    <n v="75"/>
    <x v="3"/>
    <x v="24"/>
    <s v="Mobile SIM Card"/>
    <x v="0"/>
    <n v="1"/>
    <s v="Poor"/>
    <n v="26"/>
    <x v="2"/>
    <x v="0"/>
    <n v="35000"/>
    <n v="14"/>
    <n v="490000"/>
    <n v="35000"/>
    <n v="6.83"/>
    <x v="1"/>
    <n v="0"/>
    <n v="0"/>
    <n v="0"/>
    <n v="0"/>
  </r>
  <r>
    <s v="CUST0129"/>
    <s v="Shehu Lee"/>
    <d v="2025-02-25T00:00:00"/>
    <n v="33"/>
    <x v="0"/>
    <x v="15"/>
    <s v="Mobile SIM Card"/>
    <x v="1"/>
    <n v="4"/>
    <s v="Very Good"/>
    <n v="58"/>
    <x v="2"/>
    <x v="20"/>
    <n v="6500"/>
    <n v="12"/>
    <n v="78000"/>
    <n v="6500"/>
    <n v="27.03"/>
    <x v="1"/>
    <n v="0"/>
    <n v="0"/>
    <n v="0"/>
    <n v="0"/>
  </r>
  <r>
    <s v="CUST0129"/>
    <s v="Shehu Lee"/>
    <d v="2025-02-25T00:00:00"/>
    <n v="33"/>
    <x v="0"/>
    <x v="15"/>
    <s v="Broadband MiFi"/>
    <x v="1"/>
    <n v="4"/>
    <s v="Very Good"/>
    <n v="58"/>
    <x v="2"/>
    <x v="4"/>
    <n v="9000"/>
    <n v="18"/>
    <n v="162000"/>
    <n v="9000"/>
    <n v="36.11"/>
    <x v="1"/>
    <n v="0"/>
    <n v="0"/>
    <n v="0"/>
    <n v="0"/>
  </r>
  <r>
    <s v="CUST0130"/>
    <s v="Tamuno Greer"/>
    <d v="2025-01-25T00:00:00"/>
    <n v="32"/>
    <x v="0"/>
    <x v="16"/>
    <s v="Mobile SIM Card"/>
    <x v="0"/>
    <n v="3"/>
    <s v="Good"/>
    <n v="49"/>
    <x v="2"/>
    <x v="13"/>
    <n v="350"/>
    <n v="12"/>
    <n v="4200"/>
    <n v="350"/>
    <n v="49.88"/>
    <x v="1"/>
    <n v="0"/>
    <n v="0"/>
    <n v="0"/>
    <n v="0"/>
  </r>
  <r>
    <s v="CUST0130"/>
    <s v="Tamuno Greer"/>
    <d v="2025-01-25T00:00:00"/>
    <n v="32"/>
    <x v="0"/>
    <x v="16"/>
    <s v="5G Broadband Router"/>
    <x v="0"/>
    <n v="3"/>
    <s v="Good"/>
    <n v="49"/>
    <x v="2"/>
    <x v="11"/>
    <n v="30000"/>
    <n v="4"/>
    <n v="120000"/>
    <n v="30000"/>
    <n v="55.49"/>
    <x v="1"/>
    <n v="0"/>
    <n v="0"/>
    <n v="0"/>
    <n v="0"/>
  </r>
  <r>
    <s v="CUST0130"/>
    <s v="Tamuno Greer"/>
    <d v="2025-01-25T00:00:00"/>
    <n v="32"/>
    <x v="0"/>
    <x v="16"/>
    <s v="4G Router"/>
    <x v="0"/>
    <n v="3"/>
    <s v="Good"/>
    <n v="49"/>
    <x v="2"/>
    <x v="9"/>
    <n v="16000"/>
    <n v="14"/>
    <n v="224000"/>
    <n v="16000"/>
    <n v="161.99"/>
    <x v="1"/>
    <n v="0"/>
    <n v="0"/>
    <n v="0"/>
    <n v="0"/>
  </r>
  <r>
    <s v="CUST0131"/>
    <s v="Funke Hart"/>
    <d v="2025-01-25T00:00:00"/>
    <n v="46"/>
    <x v="4"/>
    <x v="9"/>
    <s v="Broadband MiFi"/>
    <x v="0"/>
    <n v="4"/>
    <s v="Very Good"/>
    <n v="7"/>
    <x v="3"/>
    <x v="12"/>
    <n v="14500"/>
    <n v="18"/>
    <n v="261000"/>
    <n v="14500"/>
    <n v="88.07"/>
    <x v="1"/>
    <n v="0"/>
    <n v="0"/>
    <n v="0"/>
    <n v="0"/>
  </r>
  <r>
    <s v="CUST0131"/>
    <s v="Funke Hart"/>
    <d v="2025-01-25T00:00:00"/>
    <n v="46"/>
    <x v="4"/>
    <x v="9"/>
    <s v="Mobile SIM Card"/>
    <x v="0"/>
    <n v="4"/>
    <s v="Very Good"/>
    <n v="7"/>
    <x v="3"/>
    <x v="13"/>
    <n v="350"/>
    <n v="2"/>
    <n v="700"/>
    <n v="350"/>
    <n v="151"/>
    <x v="1"/>
    <n v="0"/>
    <n v="0"/>
    <n v="0"/>
    <n v="0"/>
  </r>
  <r>
    <s v="CUST0131"/>
    <s v="Funke Hart"/>
    <d v="2025-01-25T00:00:00"/>
    <n v="46"/>
    <x v="4"/>
    <x v="9"/>
    <s v="5G Broadband Router"/>
    <x v="0"/>
    <n v="4"/>
    <s v="Very Good"/>
    <n v="7"/>
    <x v="3"/>
    <x v="11"/>
    <n v="30000"/>
    <n v="10"/>
    <n v="300000"/>
    <n v="30000"/>
    <n v="101.03"/>
    <x v="1"/>
    <n v="0"/>
    <n v="0"/>
    <n v="0"/>
    <n v="0"/>
  </r>
  <r>
    <s v="CUST0132"/>
    <s v="Nura Yang"/>
    <d v="2025-02-25T00:00:00"/>
    <n v="56"/>
    <x v="3"/>
    <x v="32"/>
    <s v="Broadband MiFi"/>
    <x v="0"/>
    <n v="5"/>
    <s v="Excellent"/>
    <n v="20"/>
    <x v="1"/>
    <x v="10"/>
    <n v="24000"/>
    <n v="6"/>
    <n v="144000"/>
    <n v="24000"/>
    <n v="176"/>
    <x v="0"/>
    <n v="1"/>
    <n v="0"/>
    <n v="0"/>
    <n v="0"/>
  </r>
  <r>
    <s v="CUST0132"/>
    <s v="Nura Yang"/>
    <d v="2025-02-25T00:00:00"/>
    <n v="56"/>
    <x v="3"/>
    <x v="32"/>
    <s v="5G Broadband Router"/>
    <x v="0"/>
    <n v="5"/>
    <s v="Excellent"/>
    <n v="20"/>
    <x v="1"/>
    <x v="17"/>
    <n v="75000"/>
    <n v="2"/>
    <n v="150000"/>
    <n v="75000"/>
    <n v="111.39"/>
    <x v="0"/>
    <n v="1"/>
    <n v="0"/>
    <n v="0"/>
    <n v="0"/>
  </r>
  <r>
    <s v="CUST0133"/>
    <s v="Oghene Cooper"/>
    <d v="2025-02-25T00:00:00"/>
    <n v="64"/>
    <x v="3"/>
    <x v="8"/>
    <s v="Mobile SIM Card"/>
    <x v="1"/>
    <n v="4"/>
    <s v="Very Good"/>
    <n v="45"/>
    <x v="2"/>
    <x v="13"/>
    <n v="350"/>
    <n v="10"/>
    <n v="3500"/>
    <n v="350"/>
    <n v="169.94"/>
    <x v="0"/>
    <n v="1"/>
    <n v="0"/>
    <n v="0"/>
    <n v="0"/>
  </r>
  <r>
    <s v="CUST0134"/>
    <s v="Obinna Branch"/>
    <d v="2025-02-25T00:00:00"/>
    <n v="75"/>
    <x v="3"/>
    <x v="4"/>
    <s v="Broadband MiFi"/>
    <x v="1"/>
    <n v="4"/>
    <s v="Very Good"/>
    <n v="27"/>
    <x v="2"/>
    <x v="11"/>
    <n v="30000"/>
    <n v="7"/>
    <n v="210000"/>
    <n v="30000"/>
    <n v="18.95"/>
    <x v="0"/>
    <n v="1"/>
    <n v="0"/>
    <n v="0"/>
    <n v="0"/>
  </r>
  <r>
    <s v="CUST0134"/>
    <s v="Obinna Branch"/>
    <d v="2025-02-25T00:00:00"/>
    <n v="75"/>
    <x v="3"/>
    <x v="4"/>
    <s v="4G Router"/>
    <x v="1"/>
    <n v="4"/>
    <s v="Very Good"/>
    <n v="27"/>
    <x v="2"/>
    <x v="9"/>
    <n v="16000"/>
    <n v="20"/>
    <n v="320000"/>
    <n v="16000"/>
    <n v="54.06"/>
    <x v="0"/>
    <n v="1"/>
    <n v="0"/>
    <n v="0"/>
    <n v="0"/>
  </r>
  <r>
    <s v="CUST0135"/>
    <s v="Bola Anderson"/>
    <d v="2025-02-25T00:00:00"/>
    <n v="25"/>
    <x v="0"/>
    <x v="18"/>
    <s v="Mobile SIM Card"/>
    <x v="0"/>
    <n v="3"/>
    <s v="Good"/>
    <n v="31"/>
    <x v="2"/>
    <x v="5"/>
    <n v="4500"/>
    <n v="4"/>
    <n v="18000"/>
    <n v="4500"/>
    <n v="192.43"/>
    <x v="1"/>
    <n v="0"/>
    <n v="0"/>
    <n v="0"/>
    <n v="0"/>
  </r>
  <r>
    <s v="CUST0136"/>
    <s v="John Hill"/>
    <d v="2025-02-25T00:00:00"/>
    <n v="47"/>
    <x v="4"/>
    <x v="9"/>
    <s v="Mobile SIM Card"/>
    <x v="1"/>
    <n v="5"/>
    <s v="Excellent"/>
    <n v="59"/>
    <x v="2"/>
    <x v="20"/>
    <n v="6500"/>
    <n v="10"/>
    <n v="65000"/>
    <n v="6500"/>
    <n v="129.91999999999999"/>
    <x v="1"/>
    <n v="0"/>
    <n v="0"/>
    <n v="0"/>
    <n v="0"/>
  </r>
  <r>
    <s v="CUST0136"/>
    <s v="John Hill"/>
    <d v="2025-02-25T00:00:00"/>
    <n v="47"/>
    <x v="4"/>
    <x v="9"/>
    <s v="4G Router"/>
    <x v="1"/>
    <n v="5"/>
    <s v="Excellent"/>
    <n v="59"/>
    <x v="2"/>
    <x v="6"/>
    <n v="9000"/>
    <n v="16"/>
    <n v="144000"/>
    <n v="9000"/>
    <n v="72.25"/>
    <x v="1"/>
    <n v="0"/>
    <n v="0"/>
    <n v="0"/>
    <n v="0"/>
  </r>
  <r>
    <s v="CUST0137"/>
    <s v="Zina Singh"/>
    <d v="2025-02-25T00:00:00"/>
    <n v="28"/>
    <x v="0"/>
    <x v="31"/>
    <s v="4G Router"/>
    <x v="1"/>
    <n v="3"/>
    <s v="Good"/>
    <n v="59"/>
    <x v="2"/>
    <x v="5"/>
    <n v="4500"/>
    <n v="18"/>
    <n v="81000"/>
    <n v="4500"/>
    <n v="3.74"/>
    <x v="1"/>
    <n v="0"/>
    <n v="0"/>
    <n v="0"/>
    <n v="0"/>
  </r>
  <r>
    <s v="CUST0138"/>
    <s v="Ibim Brown"/>
    <d v="2025-02-25T00:00:00"/>
    <n v="53"/>
    <x v="4"/>
    <x v="5"/>
    <s v="Mobile SIM Card"/>
    <x v="0"/>
    <n v="4"/>
    <s v="Very Good"/>
    <n v="22"/>
    <x v="1"/>
    <x v="20"/>
    <n v="6500"/>
    <n v="11"/>
    <n v="71500"/>
    <n v="6500"/>
    <n v="131.09"/>
    <x v="1"/>
    <n v="0"/>
    <n v="0"/>
    <n v="0"/>
    <n v="0"/>
  </r>
  <r>
    <s v="CUST0139"/>
    <s v="Saidu Holt"/>
    <d v="2025-03-25T00:00:00"/>
    <n v="78"/>
    <x v="3"/>
    <x v="12"/>
    <s v="4G Router"/>
    <x v="1"/>
    <n v="2"/>
    <s v="Fair"/>
    <n v="11"/>
    <x v="3"/>
    <x v="9"/>
    <n v="16000"/>
    <n v="3"/>
    <n v="48000"/>
    <n v="16000"/>
    <n v="105.03"/>
    <x v="0"/>
    <n v="1"/>
    <n v="0"/>
    <n v="0"/>
    <n v="0"/>
  </r>
  <r>
    <s v="CUST0139"/>
    <s v="Saidu Holt"/>
    <d v="2025-03-25T00:00:00"/>
    <n v="78"/>
    <x v="3"/>
    <x v="12"/>
    <s v="5G Broadband Router"/>
    <x v="1"/>
    <n v="2"/>
    <s v="Fair"/>
    <n v="11"/>
    <x v="3"/>
    <x v="4"/>
    <n v="9000"/>
    <n v="14"/>
    <n v="126000"/>
    <n v="9000"/>
    <n v="152.99"/>
    <x v="0"/>
    <n v="1"/>
    <n v="0"/>
    <n v="0"/>
    <n v="0"/>
  </r>
  <r>
    <s v="CUST0140"/>
    <s v="Amaka Vang"/>
    <d v="2025-02-25T00:00:00"/>
    <n v="45"/>
    <x v="4"/>
    <x v="23"/>
    <s v="Mobile SIM Card"/>
    <x v="0"/>
    <n v="5"/>
    <s v="Excellent"/>
    <n v="1"/>
    <x v="0"/>
    <x v="1"/>
    <n v="5500"/>
    <n v="18"/>
    <n v="99000"/>
    <n v="5500"/>
    <n v="3.64"/>
    <x v="1"/>
    <n v="0"/>
    <n v="0"/>
    <n v="0"/>
    <n v="0"/>
  </r>
  <r>
    <s v="CUST0141"/>
    <s v="Ibim Faulkner"/>
    <d v="2025-03-25T00:00:00"/>
    <n v="17"/>
    <x v="1"/>
    <x v="17"/>
    <s v="Mobile SIM Card"/>
    <x v="1"/>
    <n v="1"/>
    <s v="Poor"/>
    <n v="35"/>
    <x v="2"/>
    <x v="14"/>
    <n v="1000"/>
    <n v="8"/>
    <n v="8000"/>
    <n v="1000"/>
    <n v="105.11"/>
    <x v="1"/>
    <n v="0"/>
    <n v="0"/>
    <n v="0"/>
    <n v="0"/>
  </r>
  <r>
    <s v="CUST0142"/>
    <s v="Bala Hood"/>
    <d v="2025-02-25T00:00:00"/>
    <n v="48"/>
    <x v="4"/>
    <x v="25"/>
    <s v="Mobile SIM Card"/>
    <x v="1"/>
    <n v="1"/>
    <s v="Poor"/>
    <n v="51"/>
    <x v="2"/>
    <x v="13"/>
    <n v="350"/>
    <n v="8"/>
    <n v="2800"/>
    <n v="350"/>
    <n v="198.05"/>
    <x v="1"/>
    <n v="0"/>
    <n v="0"/>
    <n v="0"/>
    <n v="0"/>
  </r>
  <r>
    <s v="CUST0142"/>
    <s v="Bala Hood"/>
    <d v="2025-02-25T00:00:00"/>
    <n v="48"/>
    <x v="4"/>
    <x v="25"/>
    <s v="5G Broadband Router"/>
    <x v="1"/>
    <n v="1"/>
    <s v="Poor"/>
    <n v="51"/>
    <x v="2"/>
    <x v="10"/>
    <n v="24000"/>
    <n v="3"/>
    <n v="72000"/>
    <n v="24000"/>
    <n v="136.97"/>
    <x v="1"/>
    <n v="0"/>
    <n v="0"/>
    <n v="0"/>
    <n v="0"/>
  </r>
  <r>
    <s v="CUST0143"/>
    <s v="Bola Brooks"/>
    <d v="2025-02-25T00:00:00"/>
    <n v="27"/>
    <x v="0"/>
    <x v="10"/>
    <s v="Mobile SIM Card"/>
    <x v="1"/>
    <n v="1"/>
    <s v="Poor"/>
    <n v="25"/>
    <x v="2"/>
    <x v="0"/>
    <n v="35000"/>
    <n v="11"/>
    <n v="385000"/>
    <n v="35000"/>
    <n v="129.16"/>
    <x v="1"/>
    <n v="0"/>
    <n v="0"/>
    <n v="0"/>
    <n v="0"/>
  </r>
  <r>
    <s v="CUST0143"/>
    <s v="Bola Brooks"/>
    <d v="2025-02-25T00:00:00"/>
    <n v="27"/>
    <x v="0"/>
    <x v="10"/>
    <s v="Broadband MiFi"/>
    <x v="1"/>
    <n v="1"/>
    <s v="Poor"/>
    <n v="25"/>
    <x v="2"/>
    <x v="10"/>
    <n v="24000"/>
    <n v="4"/>
    <n v="96000"/>
    <n v="24000"/>
    <n v="195.48"/>
    <x v="1"/>
    <n v="0"/>
    <n v="0"/>
    <n v="0"/>
    <n v="0"/>
  </r>
  <r>
    <s v="CUST0143"/>
    <s v="Bola Brooks"/>
    <d v="2025-02-25T00:00:00"/>
    <n v="27"/>
    <x v="0"/>
    <x v="10"/>
    <s v="Mobile SIM Card"/>
    <x v="1"/>
    <n v="1"/>
    <s v="Poor"/>
    <n v="25"/>
    <x v="2"/>
    <x v="20"/>
    <n v="6500"/>
    <n v="8"/>
    <n v="52000"/>
    <n v="6500"/>
    <n v="183.87"/>
    <x v="1"/>
    <n v="0"/>
    <n v="0"/>
    <n v="0"/>
    <n v="0"/>
  </r>
  <r>
    <s v="CUST0144"/>
    <s v="Fatima Wheeler"/>
    <d v="2025-01-25T00:00:00"/>
    <n v="76"/>
    <x v="3"/>
    <x v="29"/>
    <s v="Broadband MiFi"/>
    <x v="0"/>
    <n v="3"/>
    <s v="Good"/>
    <n v="60"/>
    <x v="2"/>
    <x v="4"/>
    <n v="9000"/>
    <n v="19"/>
    <n v="171000"/>
    <n v="9000"/>
    <n v="192.31"/>
    <x v="1"/>
    <n v="0"/>
    <n v="0"/>
    <n v="0"/>
    <n v="0"/>
  </r>
  <r>
    <s v="CUST0144"/>
    <s v="Fatima Wheeler"/>
    <d v="2025-01-25T00:00:00"/>
    <n v="76"/>
    <x v="3"/>
    <x v="29"/>
    <s v="Mobile SIM Card"/>
    <x v="0"/>
    <n v="3"/>
    <s v="Good"/>
    <n v="60"/>
    <x v="2"/>
    <x v="19"/>
    <n v="600"/>
    <n v="13"/>
    <n v="7800"/>
    <n v="600"/>
    <n v="150.57"/>
    <x v="1"/>
    <n v="0"/>
    <n v="0"/>
    <n v="0"/>
    <n v="0"/>
  </r>
  <r>
    <s v="CUST0144"/>
    <s v="Fatima Wheeler"/>
    <d v="2025-01-25T00:00:00"/>
    <n v="76"/>
    <x v="3"/>
    <x v="29"/>
    <s v="4G Router"/>
    <x v="0"/>
    <n v="3"/>
    <s v="Good"/>
    <n v="60"/>
    <x v="2"/>
    <x v="9"/>
    <n v="16000"/>
    <n v="19"/>
    <n v="304000"/>
    <n v="16000"/>
    <n v="60.21"/>
    <x v="1"/>
    <n v="0"/>
    <n v="0"/>
    <n v="0"/>
    <n v="0"/>
  </r>
  <r>
    <s v="CUST0145"/>
    <s v="Halima Valencia"/>
    <d v="2025-02-25T00:00:00"/>
    <n v="65"/>
    <x v="3"/>
    <x v="11"/>
    <s v="Broadband MiFi"/>
    <x v="1"/>
    <n v="1"/>
    <s v="Poor"/>
    <n v="25"/>
    <x v="2"/>
    <x v="12"/>
    <n v="14500"/>
    <n v="3"/>
    <n v="43500"/>
    <n v="14500"/>
    <n v="46.81"/>
    <x v="1"/>
    <n v="0"/>
    <n v="0"/>
    <n v="0"/>
    <n v="0"/>
  </r>
  <r>
    <s v="CUST0145"/>
    <s v="Halima Valencia"/>
    <d v="2025-02-25T00:00:00"/>
    <n v="65"/>
    <x v="3"/>
    <x v="11"/>
    <s v="Mobile SIM Card"/>
    <x v="1"/>
    <n v="1"/>
    <s v="Poor"/>
    <n v="25"/>
    <x v="2"/>
    <x v="7"/>
    <n v="3500"/>
    <n v="20"/>
    <n v="70000"/>
    <n v="3500"/>
    <n v="121.23"/>
    <x v="1"/>
    <n v="0"/>
    <n v="0"/>
    <n v="0"/>
    <n v="0"/>
  </r>
  <r>
    <s v="CUST0146"/>
    <s v="Tamuno Boyd"/>
    <d v="2025-02-25T00:00:00"/>
    <n v="57"/>
    <x v="3"/>
    <x v="17"/>
    <s v="Mobile SIM Card"/>
    <x v="1"/>
    <n v="4"/>
    <s v="Very Good"/>
    <n v="51"/>
    <x v="2"/>
    <x v="15"/>
    <n v="7500"/>
    <n v="20"/>
    <n v="150000"/>
    <n v="7500"/>
    <n v="17.600000000000001"/>
    <x v="0"/>
    <n v="1"/>
    <n v="0"/>
    <n v="0"/>
    <n v="0"/>
  </r>
  <r>
    <s v="CUST0146"/>
    <s v="Tamuno Boyd"/>
    <d v="2025-02-25T00:00:00"/>
    <n v="57"/>
    <x v="3"/>
    <x v="17"/>
    <s v="Broadband MiFi"/>
    <x v="1"/>
    <n v="4"/>
    <s v="Very Good"/>
    <n v="51"/>
    <x v="2"/>
    <x v="11"/>
    <n v="30000"/>
    <n v="3"/>
    <n v="90000"/>
    <n v="30000"/>
    <n v="159.71"/>
    <x v="0"/>
    <n v="1"/>
    <n v="0"/>
    <n v="0"/>
    <n v="0"/>
  </r>
  <r>
    <s v="CUST0147"/>
    <s v="Chinedu Martinez"/>
    <d v="2025-02-25T00:00:00"/>
    <n v="50"/>
    <x v="4"/>
    <x v="5"/>
    <s v="Broadband MiFi"/>
    <x v="1"/>
    <n v="4"/>
    <s v="Very Good"/>
    <n v="46"/>
    <x v="2"/>
    <x v="4"/>
    <n v="9000"/>
    <n v="15"/>
    <n v="135000"/>
    <n v="9000"/>
    <n v="188.62"/>
    <x v="1"/>
    <n v="0"/>
    <n v="0"/>
    <n v="0"/>
    <n v="0"/>
  </r>
  <r>
    <s v="CUST0148"/>
    <s v="Ejiro Finley"/>
    <d v="2025-02-25T00:00:00"/>
    <n v="50"/>
    <x v="4"/>
    <x v="13"/>
    <s v="Mobile SIM Card"/>
    <x v="0"/>
    <n v="4"/>
    <s v="Very Good"/>
    <n v="6"/>
    <x v="3"/>
    <x v="14"/>
    <n v="1000"/>
    <n v="3"/>
    <n v="3000"/>
    <n v="1000"/>
    <n v="71.11"/>
    <x v="1"/>
    <n v="0"/>
    <n v="0"/>
    <n v="0"/>
    <n v="0"/>
  </r>
  <r>
    <s v="CUST0148"/>
    <s v="Ejiro Finley"/>
    <d v="2025-02-25T00:00:00"/>
    <n v="50"/>
    <x v="4"/>
    <x v="13"/>
    <s v="Broadband MiFi"/>
    <x v="0"/>
    <n v="4"/>
    <s v="Very Good"/>
    <n v="6"/>
    <x v="3"/>
    <x v="10"/>
    <n v="24000"/>
    <n v="11"/>
    <n v="264000"/>
    <n v="24000"/>
    <n v="119.81"/>
    <x v="1"/>
    <n v="0"/>
    <n v="0"/>
    <n v="0"/>
    <n v="0"/>
  </r>
  <r>
    <s v="CUST0148"/>
    <s v="Ejiro Finley"/>
    <d v="2025-02-25T00:00:00"/>
    <n v="50"/>
    <x v="4"/>
    <x v="13"/>
    <s v="5G Broadband Router"/>
    <x v="0"/>
    <n v="4"/>
    <s v="Very Good"/>
    <n v="6"/>
    <x v="3"/>
    <x v="17"/>
    <n v="75000"/>
    <n v="14"/>
    <n v="1050000"/>
    <n v="75000"/>
    <n v="2.96"/>
    <x v="1"/>
    <n v="0"/>
    <n v="0"/>
    <n v="0"/>
    <n v="0"/>
  </r>
  <r>
    <s v="CUST0149"/>
    <s v="Omamuzo Levine"/>
    <d v="2025-02-25T00:00:00"/>
    <n v="26"/>
    <x v="0"/>
    <x v="7"/>
    <s v="Mobile SIM Card"/>
    <x v="0"/>
    <n v="2"/>
    <s v="Fair"/>
    <n v="44"/>
    <x v="2"/>
    <x v="14"/>
    <n v="1000"/>
    <n v="9"/>
    <n v="9000"/>
    <n v="1000"/>
    <n v="33.86"/>
    <x v="0"/>
    <n v="1"/>
    <n v="0"/>
    <n v="0"/>
    <n v="0"/>
  </r>
  <r>
    <s v="CUST0149"/>
    <s v="Omamuzo Levine"/>
    <d v="2025-02-25T00:00:00"/>
    <n v="26"/>
    <x v="0"/>
    <x v="7"/>
    <s v="Broadband MiFi"/>
    <x v="0"/>
    <n v="2"/>
    <s v="Fair"/>
    <n v="44"/>
    <x v="2"/>
    <x v="12"/>
    <n v="14500"/>
    <n v="3"/>
    <n v="43500"/>
    <n v="14500"/>
    <n v="60.3"/>
    <x v="0"/>
    <n v="1"/>
    <n v="0"/>
    <n v="0"/>
    <n v="0"/>
  </r>
  <r>
    <s v="CUST0150"/>
    <s v="Ejiro Roman"/>
    <d v="2025-02-25T00:00:00"/>
    <n v="48"/>
    <x v="4"/>
    <x v="7"/>
    <s v="Mobile SIM Card"/>
    <x v="1"/>
    <n v="4"/>
    <s v="Very Good"/>
    <n v="39"/>
    <x v="2"/>
    <x v="7"/>
    <n v="3500"/>
    <n v="13"/>
    <n v="45500"/>
    <n v="3500"/>
    <n v="168.4"/>
    <x v="0"/>
    <n v="1"/>
    <n v="0"/>
    <n v="0"/>
    <n v="0"/>
  </r>
  <r>
    <s v="CUST0151"/>
    <s v="Tega Mendez"/>
    <d v="2025-02-25T00:00:00"/>
    <n v="72"/>
    <x v="3"/>
    <x v="26"/>
    <s v="4G Router"/>
    <x v="1"/>
    <n v="3"/>
    <s v="Good"/>
    <n v="53"/>
    <x v="2"/>
    <x v="5"/>
    <n v="4500"/>
    <n v="11"/>
    <n v="49500"/>
    <n v="4500"/>
    <n v="192.93"/>
    <x v="1"/>
    <n v="0"/>
    <n v="0"/>
    <n v="0"/>
    <n v="0"/>
  </r>
  <r>
    <s v="CUST0151"/>
    <s v="Tega Mendez"/>
    <d v="2025-02-25T00:00:00"/>
    <n v="72"/>
    <x v="3"/>
    <x v="26"/>
    <s v="Mobile SIM Card"/>
    <x v="1"/>
    <n v="3"/>
    <s v="Good"/>
    <n v="53"/>
    <x v="2"/>
    <x v="3"/>
    <n v="500"/>
    <n v="16"/>
    <n v="8000"/>
    <n v="500"/>
    <n v="147.11000000000001"/>
    <x v="1"/>
    <n v="0"/>
    <n v="0"/>
    <n v="0"/>
    <n v="0"/>
  </r>
  <r>
    <s v="CUST0151"/>
    <s v="Tega Mendez"/>
    <d v="2025-02-25T00:00:00"/>
    <n v="72"/>
    <x v="3"/>
    <x v="26"/>
    <s v="5G Broadband Router"/>
    <x v="1"/>
    <n v="3"/>
    <s v="Good"/>
    <n v="53"/>
    <x v="2"/>
    <x v="12"/>
    <n v="14500"/>
    <n v="9"/>
    <n v="130500"/>
    <n v="14500"/>
    <n v="65.510000000000005"/>
    <x v="1"/>
    <n v="0"/>
    <n v="0"/>
    <n v="0"/>
    <n v="0"/>
  </r>
  <r>
    <s v="CUST0152"/>
    <s v="Tamuno Yang"/>
    <d v="2025-02-25T00:00:00"/>
    <n v="62"/>
    <x v="3"/>
    <x v="27"/>
    <s v="4G Router"/>
    <x v="0"/>
    <n v="5"/>
    <s v="Excellent"/>
    <n v="38"/>
    <x v="2"/>
    <x v="6"/>
    <n v="9000"/>
    <n v="3"/>
    <n v="27000"/>
    <n v="9000"/>
    <n v="166.34"/>
    <x v="0"/>
    <n v="1"/>
    <n v="0"/>
    <n v="0"/>
    <n v="0"/>
  </r>
  <r>
    <s v="CUST0152"/>
    <s v="Tamuno Yang"/>
    <d v="2025-02-25T00:00:00"/>
    <n v="62"/>
    <x v="3"/>
    <x v="27"/>
    <s v="Mobile SIM Card"/>
    <x v="0"/>
    <n v="5"/>
    <s v="Excellent"/>
    <n v="38"/>
    <x v="2"/>
    <x v="15"/>
    <n v="7500"/>
    <n v="5"/>
    <n v="37500"/>
    <n v="7500"/>
    <n v="134.76"/>
    <x v="0"/>
    <n v="1"/>
    <n v="0"/>
    <n v="0"/>
    <n v="0"/>
  </r>
  <r>
    <s v="CUST0153"/>
    <s v="Maryam Williams"/>
    <d v="2025-02-25T00:00:00"/>
    <n v="46"/>
    <x v="4"/>
    <x v="22"/>
    <s v="Mobile SIM Card"/>
    <x v="0"/>
    <n v="4"/>
    <s v="Very Good"/>
    <n v="46"/>
    <x v="2"/>
    <x v="20"/>
    <n v="6500"/>
    <n v="14"/>
    <n v="91000"/>
    <n v="6500"/>
    <n v="184.74"/>
    <x v="0"/>
    <n v="1"/>
    <n v="0"/>
    <n v="0"/>
    <n v="0"/>
  </r>
  <r>
    <s v="CUST0153"/>
    <s v="Maryam Williams"/>
    <d v="2025-02-25T00:00:00"/>
    <n v="46"/>
    <x v="4"/>
    <x v="22"/>
    <s v="5G Broadband Router"/>
    <x v="0"/>
    <n v="4"/>
    <s v="Very Good"/>
    <n v="46"/>
    <x v="2"/>
    <x v="4"/>
    <n v="9000"/>
    <n v="12"/>
    <n v="108000"/>
    <n v="9000"/>
    <n v="158.25"/>
    <x v="0"/>
    <n v="1"/>
    <n v="0"/>
    <n v="0"/>
    <n v="0"/>
  </r>
  <r>
    <s v="CUST0154"/>
    <s v="David Miller"/>
    <d v="2025-03-25T00:00:00"/>
    <n v="26"/>
    <x v="0"/>
    <x v="13"/>
    <s v="Mobile SIM Card"/>
    <x v="0"/>
    <n v="2"/>
    <s v="Fair"/>
    <n v="43"/>
    <x v="2"/>
    <x v="7"/>
    <n v="3500"/>
    <n v="14"/>
    <n v="49000"/>
    <n v="3500"/>
    <n v="193.16"/>
    <x v="1"/>
    <n v="0"/>
    <n v="0"/>
    <n v="0"/>
    <n v="0"/>
  </r>
  <r>
    <s v="CUST0155"/>
    <s v="Ngozi Fowler"/>
    <d v="2025-02-25T00:00:00"/>
    <n v="17"/>
    <x v="1"/>
    <x v="13"/>
    <s v="4G Router"/>
    <x v="1"/>
    <n v="4"/>
    <s v="Very Good"/>
    <n v="15"/>
    <x v="1"/>
    <x v="5"/>
    <n v="4500"/>
    <n v="10"/>
    <n v="45000"/>
    <n v="4500"/>
    <n v="96.81"/>
    <x v="1"/>
    <n v="0"/>
    <n v="0"/>
    <n v="0"/>
    <n v="0"/>
  </r>
  <r>
    <s v="CUST0155"/>
    <s v="Ngozi Fowler"/>
    <d v="2025-02-25T00:00:00"/>
    <n v="17"/>
    <x v="1"/>
    <x v="13"/>
    <s v="Mobile SIM Card"/>
    <x v="1"/>
    <n v="4"/>
    <s v="Very Good"/>
    <n v="15"/>
    <x v="1"/>
    <x v="1"/>
    <n v="5500"/>
    <n v="3"/>
    <n v="16500"/>
    <n v="5500"/>
    <n v="184.15"/>
    <x v="1"/>
    <n v="0"/>
    <n v="0"/>
    <n v="0"/>
    <n v="0"/>
  </r>
  <r>
    <s v="CUST0156"/>
    <s v="Ifeanyi Garcia"/>
    <d v="2025-02-25T00:00:00"/>
    <n v="34"/>
    <x v="0"/>
    <x v="25"/>
    <s v="Mobile SIM Card"/>
    <x v="1"/>
    <n v="2"/>
    <s v="Fair"/>
    <n v="22"/>
    <x v="1"/>
    <x v="1"/>
    <n v="5500"/>
    <n v="15"/>
    <n v="82500"/>
    <n v="5500"/>
    <n v="144.54"/>
    <x v="1"/>
    <n v="0"/>
    <n v="0"/>
    <n v="0"/>
    <n v="0"/>
  </r>
  <r>
    <s v="CUST0156"/>
    <s v="Ifeanyi Garcia"/>
    <d v="2025-02-25T00:00:00"/>
    <n v="34"/>
    <x v="0"/>
    <x v="25"/>
    <s v="Broadband MiFi"/>
    <x v="1"/>
    <n v="2"/>
    <s v="Fair"/>
    <n v="22"/>
    <x v="1"/>
    <x v="11"/>
    <n v="30000"/>
    <n v="2"/>
    <n v="60000"/>
    <n v="30000"/>
    <n v="13.9"/>
    <x v="1"/>
    <n v="0"/>
    <n v="0"/>
    <n v="0"/>
    <n v="0"/>
  </r>
  <r>
    <s v="CUST0157"/>
    <s v="Ifeanyi Jimenez"/>
    <d v="2025-02-25T00:00:00"/>
    <n v="18"/>
    <x v="1"/>
    <x v="26"/>
    <s v="4G Router"/>
    <x v="0"/>
    <n v="2"/>
    <s v="Fair"/>
    <n v="44"/>
    <x v="2"/>
    <x v="5"/>
    <n v="4500"/>
    <n v="13"/>
    <n v="58500"/>
    <n v="4500"/>
    <n v="46.76"/>
    <x v="1"/>
    <n v="0"/>
    <n v="0"/>
    <n v="0"/>
    <n v="0"/>
  </r>
  <r>
    <s v="CUST0157"/>
    <s v="Ifeanyi Jimenez"/>
    <d v="2025-02-25T00:00:00"/>
    <n v="18"/>
    <x v="1"/>
    <x v="26"/>
    <s v="Mobile SIM Card"/>
    <x v="0"/>
    <n v="2"/>
    <s v="Fair"/>
    <n v="44"/>
    <x v="2"/>
    <x v="19"/>
    <n v="600"/>
    <n v="14"/>
    <n v="8400"/>
    <n v="600"/>
    <n v="37.68"/>
    <x v="1"/>
    <n v="0"/>
    <n v="0"/>
    <n v="0"/>
    <n v="0"/>
  </r>
  <r>
    <s v="CUST0159"/>
    <s v="Kunle Nielsen"/>
    <d v="2025-03-25T00:00:00"/>
    <n v="29"/>
    <x v="0"/>
    <x v="11"/>
    <s v="Mobile SIM Card"/>
    <x v="0"/>
    <n v="2"/>
    <s v="Fair"/>
    <n v="24"/>
    <x v="1"/>
    <x v="7"/>
    <n v="3500"/>
    <n v="20"/>
    <n v="70000"/>
    <n v="3500"/>
    <n v="119.6"/>
    <x v="1"/>
    <n v="0"/>
    <n v="0"/>
    <n v="0"/>
    <n v="0"/>
  </r>
  <r>
    <s v="CUST0159"/>
    <s v="Kunle Nielsen"/>
    <d v="2025-03-25T00:00:00"/>
    <n v="29"/>
    <x v="0"/>
    <x v="11"/>
    <s v="5G Broadband Router"/>
    <x v="0"/>
    <n v="2"/>
    <s v="Fair"/>
    <n v="24"/>
    <x v="1"/>
    <x v="17"/>
    <n v="75000"/>
    <n v="12"/>
    <n v="900000"/>
    <n v="75000"/>
    <n v="117.61"/>
    <x v="1"/>
    <n v="0"/>
    <n v="0"/>
    <n v="0"/>
    <n v="0"/>
  </r>
  <r>
    <s v="CUST0160"/>
    <s v="Oghene Diaz"/>
    <d v="2025-01-25T00:00:00"/>
    <n v="74"/>
    <x v="3"/>
    <x v="20"/>
    <s v="5G Broadband Router"/>
    <x v="1"/>
    <n v="2"/>
    <s v="Fair"/>
    <n v="59"/>
    <x v="2"/>
    <x v="2"/>
    <n v="20000"/>
    <n v="5"/>
    <n v="100000"/>
    <n v="20000"/>
    <n v="37.020000000000003"/>
    <x v="1"/>
    <n v="0"/>
    <n v="0"/>
    <n v="0"/>
    <n v="0"/>
  </r>
  <r>
    <s v="CUST0161"/>
    <s v="Michael Wilson"/>
    <d v="2025-02-25T00:00:00"/>
    <n v="65"/>
    <x v="3"/>
    <x v="15"/>
    <s v="4G Router"/>
    <x v="0"/>
    <n v="4"/>
    <s v="Very Good"/>
    <n v="37"/>
    <x v="2"/>
    <x v="0"/>
    <n v="35000"/>
    <n v="6"/>
    <n v="210000"/>
    <n v="35000"/>
    <n v="58.12"/>
    <x v="0"/>
    <n v="1"/>
    <n v="0"/>
    <n v="0"/>
    <n v="0"/>
  </r>
  <r>
    <s v="CUST0161"/>
    <s v="Michael Wilson"/>
    <d v="2025-02-25T00:00:00"/>
    <n v="65"/>
    <x v="3"/>
    <x v="15"/>
    <s v="5G Broadband Router"/>
    <x v="0"/>
    <n v="4"/>
    <s v="Very Good"/>
    <n v="37"/>
    <x v="2"/>
    <x v="18"/>
    <n v="25000"/>
    <n v="20"/>
    <n v="500000"/>
    <n v="25000"/>
    <n v="168.48"/>
    <x v="0"/>
    <n v="1"/>
    <n v="0"/>
    <n v="0"/>
    <n v="0"/>
  </r>
  <r>
    <s v="CUST0161"/>
    <s v="Michael Wilson"/>
    <d v="2025-02-25T00:00:00"/>
    <n v="65"/>
    <x v="3"/>
    <x v="15"/>
    <s v="Broadband MiFi"/>
    <x v="0"/>
    <n v="4"/>
    <s v="Very Good"/>
    <n v="37"/>
    <x v="2"/>
    <x v="4"/>
    <n v="9000"/>
    <n v="1"/>
    <n v="9000"/>
    <n v="9000"/>
    <n v="173.17"/>
    <x v="0"/>
    <n v="1"/>
    <n v="0"/>
    <n v="0"/>
    <n v="0"/>
  </r>
  <r>
    <s v="CUST0162"/>
    <s v="Grace Gallegos"/>
    <d v="2025-02-25T00:00:00"/>
    <n v="33"/>
    <x v="0"/>
    <x v="18"/>
    <s v="Mobile SIM Card"/>
    <x v="1"/>
    <n v="4"/>
    <s v="Very Good"/>
    <n v="36"/>
    <x v="2"/>
    <x v="19"/>
    <n v="600"/>
    <n v="1"/>
    <n v="600"/>
    <n v="600"/>
    <n v="16.989999999999998"/>
    <x v="1"/>
    <n v="0"/>
    <n v="0"/>
    <n v="0"/>
    <n v="0"/>
  </r>
  <r>
    <s v="CUST0162"/>
    <s v="Grace Gallegos"/>
    <d v="2025-02-25T00:00:00"/>
    <n v="33"/>
    <x v="0"/>
    <x v="18"/>
    <s v="4G Router"/>
    <x v="1"/>
    <n v="4"/>
    <s v="Very Good"/>
    <n v="36"/>
    <x v="2"/>
    <x v="5"/>
    <n v="4500"/>
    <n v="9"/>
    <n v="40500"/>
    <n v="4500"/>
    <n v="58.77"/>
    <x v="1"/>
    <n v="0"/>
    <n v="0"/>
    <n v="0"/>
    <n v="0"/>
  </r>
  <r>
    <s v="CUST0163"/>
    <s v="Nura Jackson"/>
    <d v="2025-02-25T00:00:00"/>
    <n v="52"/>
    <x v="4"/>
    <x v="1"/>
    <s v="Broadband MiFi"/>
    <x v="1"/>
    <n v="5"/>
    <s v="Excellent"/>
    <n v="37"/>
    <x v="2"/>
    <x v="10"/>
    <n v="24000"/>
    <n v="2"/>
    <n v="48000"/>
    <n v="24000"/>
    <n v="164.61"/>
    <x v="1"/>
    <n v="0"/>
    <n v="0"/>
    <n v="0"/>
    <n v="0"/>
  </r>
  <r>
    <s v="CUST0163"/>
    <s v="Nura Jackson"/>
    <d v="2025-02-25T00:00:00"/>
    <n v="52"/>
    <x v="4"/>
    <x v="1"/>
    <s v="4G Router"/>
    <x v="1"/>
    <n v="5"/>
    <s v="Excellent"/>
    <n v="37"/>
    <x v="2"/>
    <x v="0"/>
    <n v="35000"/>
    <n v="14"/>
    <n v="490000"/>
    <n v="35000"/>
    <n v="109.5"/>
    <x v="1"/>
    <n v="0"/>
    <n v="0"/>
    <n v="0"/>
    <n v="0"/>
  </r>
  <r>
    <s v="CUST0163"/>
    <s v="Nura Jackson"/>
    <d v="2025-02-25T00:00:00"/>
    <n v="52"/>
    <x v="4"/>
    <x v="1"/>
    <s v="5G Broadband Router"/>
    <x v="1"/>
    <n v="5"/>
    <s v="Excellent"/>
    <n v="37"/>
    <x v="2"/>
    <x v="2"/>
    <n v="20000"/>
    <n v="8"/>
    <n v="160000"/>
    <n v="20000"/>
    <n v="147.33000000000001"/>
    <x v="1"/>
    <n v="0"/>
    <n v="0"/>
    <n v="0"/>
    <n v="0"/>
  </r>
  <r>
    <s v="CUST0164"/>
    <s v="Maryam Diaz"/>
    <d v="2025-01-25T00:00:00"/>
    <n v="20"/>
    <x v="1"/>
    <x v="30"/>
    <s v="Mobile SIM Card"/>
    <x v="1"/>
    <n v="4"/>
    <s v="Very Good"/>
    <n v="23"/>
    <x v="1"/>
    <x v="5"/>
    <n v="4500"/>
    <n v="19"/>
    <n v="85500"/>
    <n v="4500"/>
    <n v="162.24"/>
    <x v="1"/>
    <n v="0"/>
    <n v="0"/>
    <n v="0"/>
    <n v="0"/>
  </r>
  <r>
    <s v="CUST0165"/>
    <s v="Oghene Allison"/>
    <d v="2025-02-25T00:00:00"/>
    <n v="70"/>
    <x v="3"/>
    <x v="1"/>
    <s v="5G Broadband Router"/>
    <x v="0"/>
    <n v="2"/>
    <s v="Fair"/>
    <n v="51"/>
    <x v="2"/>
    <x v="11"/>
    <n v="30000"/>
    <n v="10"/>
    <n v="300000"/>
    <n v="30000"/>
    <n v="65.069999999999993"/>
    <x v="1"/>
    <n v="0"/>
    <n v="0"/>
    <n v="0"/>
    <n v="0"/>
  </r>
  <r>
    <s v="CUST0165"/>
    <s v="Oghene Allison"/>
    <d v="2025-02-25T00:00:00"/>
    <n v="70"/>
    <x v="3"/>
    <x v="1"/>
    <s v="Mobile SIM Card"/>
    <x v="0"/>
    <n v="2"/>
    <s v="Fair"/>
    <n v="51"/>
    <x v="2"/>
    <x v="3"/>
    <n v="500"/>
    <n v="17"/>
    <n v="8500"/>
    <n v="500"/>
    <n v="114.76"/>
    <x v="1"/>
    <n v="0"/>
    <n v="0"/>
    <n v="0"/>
    <n v="0"/>
  </r>
  <r>
    <s v="CUST0165"/>
    <s v="Oghene Allison"/>
    <d v="2025-02-25T00:00:00"/>
    <n v="70"/>
    <x v="3"/>
    <x v="1"/>
    <s v="4G Router"/>
    <x v="0"/>
    <n v="2"/>
    <s v="Fair"/>
    <n v="51"/>
    <x v="2"/>
    <x v="9"/>
    <n v="16000"/>
    <n v="14"/>
    <n v="224000"/>
    <n v="16000"/>
    <n v="27.55"/>
    <x v="1"/>
    <n v="0"/>
    <n v="0"/>
    <n v="0"/>
    <n v="0"/>
  </r>
  <r>
    <s v="CUST0166"/>
    <s v="Sade Suarez"/>
    <d v="2025-02-25T00:00:00"/>
    <n v="51"/>
    <x v="4"/>
    <x v="21"/>
    <s v="Mobile SIM Card"/>
    <x v="0"/>
    <n v="3"/>
    <s v="Good"/>
    <n v="16"/>
    <x v="1"/>
    <x v="3"/>
    <n v="500"/>
    <n v="13"/>
    <n v="6500"/>
    <n v="500"/>
    <n v="125.75"/>
    <x v="1"/>
    <n v="0"/>
    <n v="0"/>
    <n v="0"/>
    <n v="0"/>
  </r>
  <r>
    <s v="CUST0166"/>
    <s v="Sade Suarez"/>
    <d v="2025-02-25T00:00:00"/>
    <n v="51"/>
    <x v="4"/>
    <x v="21"/>
    <s v="4G Router"/>
    <x v="0"/>
    <n v="3"/>
    <s v="Good"/>
    <n v="16"/>
    <x v="1"/>
    <x v="0"/>
    <n v="35000"/>
    <n v="3"/>
    <n v="105000"/>
    <n v="35000"/>
    <n v="15.57"/>
    <x v="1"/>
    <n v="0"/>
    <n v="0"/>
    <n v="0"/>
    <n v="0"/>
  </r>
  <r>
    <s v="CUST0166"/>
    <s v="Sade Suarez"/>
    <d v="2025-02-25T00:00:00"/>
    <n v="51"/>
    <x v="4"/>
    <x v="21"/>
    <s v="Broadband MiFi"/>
    <x v="0"/>
    <n v="3"/>
    <s v="Good"/>
    <n v="16"/>
    <x v="1"/>
    <x v="12"/>
    <n v="14500"/>
    <n v="9"/>
    <n v="130500"/>
    <n v="14500"/>
    <n v="103.36"/>
    <x v="1"/>
    <n v="0"/>
    <n v="0"/>
    <n v="0"/>
    <n v="0"/>
  </r>
  <r>
    <s v="CUST0167"/>
    <s v="Ejiro Thomas"/>
    <d v="2025-01-25T00:00:00"/>
    <n v="74"/>
    <x v="3"/>
    <x v="12"/>
    <s v="5G Broadband Router"/>
    <x v="1"/>
    <n v="1"/>
    <s v="Poor"/>
    <n v="38"/>
    <x v="2"/>
    <x v="17"/>
    <n v="75000"/>
    <n v="14"/>
    <n v="1050000"/>
    <n v="75000"/>
    <n v="43.96"/>
    <x v="1"/>
    <n v="0"/>
    <n v="0"/>
    <n v="0"/>
    <n v="0"/>
  </r>
  <r>
    <s v="CUST0167"/>
    <s v="Ejiro Thomas"/>
    <d v="2025-01-25T00:00:00"/>
    <n v="74"/>
    <x v="3"/>
    <x v="12"/>
    <s v="Broadband MiFi"/>
    <x v="1"/>
    <n v="1"/>
    <s v="Poor"/>
    <n v="38"/>
    <x v="2"/>
    <x v="2"/>
    <n v="20000"/>
    <n v="11"/>
    <n v="220000"/>
    <n v="20000"/>
    <n v="99.2"/>
    <x v="1"/>
    <n v="0"/>
    <n v="0"/>
    <n v="0"/>
    <n v="0"/>
  </r>
  <r>
    <s v="CUST0168"/>
    <s v="Abubakar Weiss"/>
    <d v="2025-03-25T00:00:00"/>
    <n v="59"/>
    <x v="3"/>
    <x v="21"/>
    <s v="Broadband MiFi"/>
    <x v="1"/>
    <n v="1"/>
    <s v="Poor"/>
    <n v="51"/>
    <x v="2"/>
    <x v="2"/>
    <n v="20000"/>
    <n v="1"/>
    <n v="20000"/>
    <n v="20000"/>
    <n v="88.54"/>
    <x v="0"/>
    <n v="1"/>
    <n v="0"/>
    <n v="0"/>
    <n v="0"/>
  </r>
  <r>
    <s v="CUST0168"/>
    <s v="Abubakar Weiss"/>
    <d v="2025-03-25T00:00:00"/>
    <n v="59"/>
    <x v="3"/>
    <x v="21"/>
    <s v="Mobile SIM Card"/>
    <x v="1"/>
    <n v="1"/>
    <s v="Poor"/>
    <n v="51"/>
    <x v="2"/>
    <x v="15"/>
    <n v="7500"/>
    <n v="5"/>
    <n v="37500"/>
    <n v="7500"/>
    <n v="40.86"/>
    <x v="0"/>
    <n v="1"/>
    <n v="0"/>
    <n v="0"/>
    <n v="0"/>
  </r>
  <r>
    <s v="CUST0169"/>
    <s v="Maryam Dean"/>
    <d v="2025-03-25T00:00:00"/>
    <n v="36"/>
    <x v="2"/>
    <x v="29"/>
    <s v="4G Router"/>
    <x v="0"/>
    <n v="3"/>
    <s v="Good"/>
    <n v="42"/>
    <x v="2"/>
    <x v="6"/>
    <n v="9000"/>
    <n v="8"/>
    <n v="72000"/>
    <n v="9000"/>
    <n v="145.33000000000001"/>
    <x v="0"/>
    <n v="1"/>
    <n v="0"/>
    <n v="0"/>
    <n v="0"/>
  </r>
  <r>
    <s v="CUST0169"/>
    <s v="Maryam Dean"/>
    <d v="2025-03-25T00:00:00"/>
    <n v="36"/>
    <x v="2"/>
    <x v="29"/>
    <s v="Broadband MiFi"/>
    <x v="0"/>
    <n v="3"/>
    <s v="Good"/>
    <n v="42"/>
    <x v="2"/>
    <x v="12"/>
    <n v="14500"/>
    <n v="4"/>
    <n v="58000"/>
    <n v="14500"/>
    <n v="131.27000000000001"/>
    <x v="0"/>
    <n v="1"/>
    <n v="0"/>
    <n v="0"/>
    <n v="0"/>
  </r>
  <r>
    <s v="CUST0169"/>
    <s v="Maryam Dean"/>
    <d v="2025-03-25T00:00:00"/>
    <n v="36"/>
    <x v="2"/>
    <x v="29"/>
    <s v="Mobile SIM Card"/>
    <x v="0"/>
    <n v="3"/>
    <s v="Good"/>
    <n v="42"/>
    <x v="2"/>
    <x v="16"/>
    <n v="900"/>
    <n v="3"/>
    <n v="2700"/>
    <n v="900"/>
    <n v="43.08"/>
    <x v="0"/>
    <n v="1"/>
    <n v="0"/>
    <n v="0"/>
    <n v="0"/>
  </r>
  <r>
    <s v="CUST0170"/>
    <s v="Amaka Whitaker"/>
    <d v="2025-01-25T00:00:00"/>
    <n v="44"/>
    <x v="2"/>
    <x v="8"/>
    <s v="4G Router"/>
    <x v="1"/>
    <n v="3"/>
    <s v="Good"/>
    <n v="1"/>
    <x v="0"/>
    <x v="9"/>
    <n v="16000"/>
    <n v="3"/>
    <n v="48000"/>
    <n v="16000"/>
    <n v="46.17"/>
    <x v="1"/>
    <n v="0"/>
    <n v="0"/>
    <n v="0"/>
    <n v="0"/>
  </r>
  <r>
    <s v="CUST0170"/>
    <s v="Amaka Whitaker"/>
    <d v="2025-01-25T00:00:00"/>
    <n v="44"/>
    <x v="2"/>
    <x v="8"/>
    <s v="Mobile SIM Card"/>
    <x v="1"/>
    <n v="3"/>
    <s v="Good"/>
    <n v="1"/>
    <x v="0"/>
    <x v="14"/>
    <n v="1000"/>
    <n v="12"/>
    <n v="12000"/>
    <n v="1000"/>
    <n v="21.09"/>
    <x v="1"/>
    <n v="0"/>
    <n v="0"/>
    <n v="0"/>
    <n v="0"/>
  </r>
  <r>
    <s v="CUST0171"/>
    <s v="Maryam Dixon"/>
    <d v="2025-02-25T00:00:00"/>
    <n v="33"/>
    <x v="0"/>
    <x v="6"/>
    <s v="4G Router"/>
    <x v="0"/>
    <n v="1"/>
    <s v="Poor"/>
    <n v="42"/>
    <x v="2"/>
    <x v="0"/>
    <n v="35000"/>
    <n v="7"/>
    <n v="245000"/>
    <n v="35000"/>
    <n v="70.56"/>
    <x v="1"/>
    <n v="0"/>
    <n v="0"/>
    <n v="0"/>
    <n v="0"/>
  </r>
  <r>
    <s v="CUST0172"/>
    <s v="Obinna Miller"/>
    <d v="2025-01-25T00:00:00"/>
    <n v="68"/>
    <x v="3"/>
    <x v="30"/>
    <s v="Mobile SIM Card"/>
    <x v="0"/>
    <n v="2"/>
    <s v="Fair"/>
    <n v="6"/>
    <x v="3"/>
    <x v="7"/>
    <n v="3500"/>
    <n v="8"/>
    <n v="28000"/>
    <n v="3500"/>
    <n v="158.32"/>
    <x v="1"/>
    <n v="0"/>
    <n v="0"/>
    <n v="0"/>
    <n v="0"/>
  </r>
  <r>
    <s v="CUST0172"/>
    <s v="Obinna Miller"/>
    <d v="2025-01-25T00:00:00"/>
    <n v="68"/>
    <x v="3"/>
    <x v="30"/>
    <s v="4G Router"/>
    <x v="0"/>
    <n v="2"/>
    <s v="Fair"/>
    <n v="6"/>
    <x v="3"/>
    <x v="6"/>
    <n v="9000"/>
    <n v="8"/>
    <n v="72000"/>
    <n v="9000"/>
    <n v="129.1"/>
    <x v="1"/>
    <n v="0"/>
    <n v="0"/>
    <n v="0"/>
    <n v="0"/>
  </r>
  <r>
    <s v="CUST0172"/>
    <s v="Obinna Miller"/>
    <d v="2025-01-25T00:00:00"/>
    <n v="68"/>
    <x v="3"/>
    <x v="30"/>
    <s v="5G Broadband Router"/>
    <x v="0"/>
    <n v="2"/>
    <s v="Fair"/>
    <n v="6"/>
    <x v="3"/>
    <x v="10"/>
    <n v="24000"/>
    <n v="1"/>
    <n v="24000"/>
    <n v="24000"/>
    <n v="155.9"/>
    <x v="1"/>
    <n v="0"/>
    <n v="0"/>
    <n v="0"/>
    <n v="0"/>
  </r>
  <r>
    <s v="CUST0173"/>
    <s v="Maryam Soto"/>
    <d v="2025-02-25T00:00:00"/>
    <n v="42"/>
    <x v="2"/>
    <x v="8"/>
    <s v="Mobile SIM Card"/>
    <x v="0"/>
    <n v="3"/>
    <s v="Good"/>
    <n v="48"/>
    <x v="2"/>
    <x v="15"/>
    <n v="7500"/>
    <n v="16"/>
    <n v="120000"/>
    <n v="7500"/>
    <n v="22.99"/>
    <x v="1"/>
    <n v="0"/>
    <n v="0"/>
    <n v="0"/>
    <n v="0"/>
  </r>
  <r>
    <s v="CUST0174"/>
    <s v="Kunle Jones"/>
    <d v="2025-02-25T00:00:00"/>
    <n v="17"/>
    <x v="1"/>
    <x v="3"/>
    <s v="4G Router"/>
    <x v="1"/>
    <n v="5"/>
    <s v="Excellent"/>
    <n v="9"/>
    <x v="3"/>
    <x v="5"/>
    <n v="4500"/>
    <n v="1"/>
    <n v="4500"/>
    <n v="4500"/>
    <n v="117.68"/>
    <x v="1"/>
    <n v="0"/>
    <n v="0"/>
    <n v="0"/>
    <n v="0"/>
  </r>
  <r>
    <s v="CUST0174"/>
    <s v="Kunle Jones"/>
    <d v="2025-02-25T00:00:00"/>
    <n v="17"/>
    <x v="1"/>
    <x v="3"/>
    <s v="Mobile SIM Card"/>
    <x v="1"/>
    <n v="5"/>
    <s v="Excellent"/>
    <n v="9"/>
    <x v="3"/>
    <x v="3"/>
    <n v="500"/>
    <n v="2"/>
    <n v="1000"/>
    <n v="500"/>
    <n v="43.54"/>
    <x v="1"/>
    <n v="0"/>
    <n v="0"/>
    <n v="0"/>
    <n v="0"/>
  </r>
  <r>
    <s v="CUST0175"/>
    <s v="Tamuno Patton"/>
    <d v="2025-02-25T00:00:00"/>
    <n v="80"/>
    <x v="3"/>
    <x v="14"/>
    <s v="Mobile SIM Card"/>
    <x v="1"/>
    <n v="1"/>
    <s v="Poor"/>
    <n v="28"/>
    <x v="2"/>
    <x v="6"/>
    <n v="9000"/>
    <n v="7"/>
    <n v="63000"/>
    <n v="9000"/>
    <n v="16.260000000000002"/>
    <x v="1"/>
    <n v="0"/>
    <n v="0"/>
    <n v="0"/>
    <n v="0"/>
  </r>
  <r>
    <s v="CUST0175"/>
    <s v="Tamuno Patton"/>
    <d v="2025-02-25T00:00:00"/>
    <n v="80"/>
    <x v="3"/>
    <x v="14"/>
    <s v="Mobile SIM Card"/>
    <x v="1"/>
    <n v="1"/>
    <s v="Poor"/>
    <n v="28"/>
    <x v="2"/>
    <x v="19"/>
    <n v="600"/>
    <n v="13"/>
    <n v="7800"/>
    <n v="600"/>
    <n v="107.51"/>
    <x v="1"/>
    <n v="0"/>
    <n v="0"/>
    <n v="0"/>
    <n v="0"/>
  </r>
  <r>
    <s v="CUST0175"/>
    <s v="Tamuno Patton"/>
    <d v="2025-02-25T00:00:00"/>
    <n v="80"/>
    <x v="3"/>
    <x v="14"/>
    <s v="Broadband MiFi"/>
    <x v="1"/>
    <n v="1"/>
    <s v="Poor"/>
    <n v="28"/>
    <x v="2"/>
    <x v="10"/>
    <n v="24000"/>
    <n v="3"/>
    <n v="72000"/>
    <n v="24000"/>
    <n v="127.04"/>
    <x v="1"/>
    <n v="0"/>
    <n v="0"/>
    <n v="0"/>
    <n v="0"/>
  </r>
  <r>
    <s v="CUST0176"/>
    <s v="Maryam Martinez"/>
    <d v="2025-01-25T00:00:00"/>
    <n v="71"/>
    <x v="3"/>
    <x v="7"/>
    <s v="Broadband MiFi"/>
    <x v="0"/>
    <n v="4"/>
    <s v="Very Good"/>
    <n v="16"/>
    <x v="1"/>
    <x v="4"/>
    <n v="9000"/>
    <n v="5"/>
    <n v="45000"/>
    <n v="9000"/>
    <n v="3.03"/>
    <x v="0"/>
    <n v="1"/>
    <n v="0"/>
    <n v="0"/>
    <n v="0"/>
  </r>
  <r>
    <s v="CUST0176"/>
    <s v="Maryam Martinez"/>
    <d v="2025-01-25T00:00:00"/>
    <n v="71"/>
    <x v="3"/>
    <x v="7"/>
    <s v="4G Router"/>
    <x v="0"/>
    <n v="4"/>
    <s v="Very Good"/>
    <n v="16"/>
    <x v="1"/>
    <x v="9"/>
    <n v="16000"/>
    <n v="12"/>
    <n v="192000"/>
    <n v="16000"/>
    <n v="33.18"/>
    <x v="0"/>
    <n v="1"/>
    <n v="0"/>
    <n v="0"/>
    <n v="0"/>
  </r>
  <r>
    <s v="CUST0176"/>
    <s v="Maryam Martinez"/>
    <d v="2025-01-25T00:00:00"/>
    <n v="71"/>
    <x v="3"/>
    <x v="7"/>
    <s v="Mobile SIM Card"/>
    <x v="0"/>
    <n v="4"/>
    <s v="Very Good"/>
    <n v="16"/>
    <x v="1"/>
    <x v="20"/>
    <n v="6500"/>
    <n v="9"/>
    <n v="58500"/>
    <n v="6500"/>
    <n v="103.69"/>
    <x v="0"/>
    <n v="1"/>
    <n v="0"/>
    <n v="0"/>
    <n v="0"/>
  </r>
  <r>
    <s v="CUST0177"/>
    <s v="Amina Johnson"/>
    <d v="2025-01-25T00:00:00"/>
    <n v="63"/>
    <x v="3"/>
    <x v="21"/>
    <s v="5G Broadband Router"/>
    <x v="1"/>
    <n v="1"/>
    <s v="Poor"/>
    <n v="47"/>
    <x v="2"/>
    <x v="2"/>
    <n v="20000"/>
    <n v="19"/>
    <n v="380000"/>
    <n v="20000"/>
    <n v="52.96"/>
    <x v="1"/>
    <n v="0"/>
    <n v="0"/>
    <n v="0"/>
    <n v="0"/>
  </r>
  <r>
    <s v="CUST0177"/>
    <s v="Amina Johnson"/>
    <d v="2025-01-25T00:00:00"/>
    <n v="63"/>
    <x v="3"/>
    <x v="21"/>
    <s v="Mobile SIM Card"/>
    <x v="1"/>
    <n v="1"/>
    <s v="Poor"/>
    <n v="47"/>
    <x v="2"/>
    <x v="14"/>
    <n v="1000"/>
    <n v="17"/>
    <n v="17000"/>
    <n v="1000"/>
    <n v="99.48"/>
    <x v="1"/>
    <n v="0"/>
    <n v="0"/>
    <n v="0"/>
    <n v="0"/>
  </r>
  <r>
    <s v="CUST0178"/>
    <s v="Ejiro Johnson"/>
    <d v="2025-02-25T00:00:00"/>
    <n v="23"/>
    <x v="1"/>
    <x v="12"/>
    <s v="Broadband MiFi"/>
    <x v="0"/>
    <n v="3"/>
    <s v="Good"/>
    <n v="24"/>
    <x v="1"/>
    <x v="4"/>
    <n v="9000"/>
    <n v="1"/>
    <n v="9000"/>
    <n v="9000"/>
    <n v="171.81"/>
    <x v="1"/>
    <n v="0"/>
    <n v="0"/>
    <n v="0"/>
    <n v="0"/>
  </r>
  <r>
    <s v="CUST0178"/>
    <s v="Ejiro Johnson"/>
    <d v="2025-02-25T00:00:00"/>
    <n v="23"/>
    <x v="1"/>
    <x v="12"/>
    <s v="Mobile SIM Card"/>
    <x v="0"/>
    <n v="3"/>
    <s v="Good"/>
    <n v="24"/>
    <x v="1"/>
    <x v="13"/>
    <n v="350"/>
    <n v="12"/>
    <n v="4200"/>
    <n v="350"/>
    <n v="9.67"/>
    <x v="1"/>
    <n v="0"/>
    <n v="0"/>
    <n v="0"/>
    <n v="0"/>
  </r>
  <r>
    <s v="CUST0178"/>
    <s v="Ejiro Johnson"/>
    <d v="2025-02-25T00:00:00"/>
    <n v="23"/>
    <x v="1"/>
    <x v="12"/>
    <s v="5G Broadband Router"/>
    <x v="0"/>
    <n v="3"/>
    <s v="Good"/>
    <n v="24"/>
    <x v="1"/>
    <x v="17"/>
    <n v="75000"/>
    <n v="6"/>
    <n v="450000"/>
    <n v="75000"/>
    <n v="184.09"/>
    <x v="1"/>
    <n v="0"/>
    <n v="0"/>
    <n v="0"/>
    <n v="0"/>
  </r>
  <r>
    <s v="CUST0179"/>
    <s v="Bola Curtis"/>
    <d v="2025-02-25T00:00:00"/>
    <n v="69"/>
    <x v="3"/>
    <x v="16"/>
    <s v="5G Broadband Router"/>
    <x v="1"/>
    <n v="3"/>
    <s v="Good"/>
    <n v="16"/>
    <x v="1"/>
    <x v="11"/>
    <n v="30000"/>
    <n v="17"/>
    <n v="510000"/>
    <n v="30000"/>
    <n v="45.03"/>
    <x v="0"/>
    <n v="1"/>
    <n v="0"/>
    <n v="0"/>
    <n v="0"/>
  </r>
  <r>
    <s v="CUST0179"/>
    <s v="Bola Curtis"/>
    <d v="2025-02-25T00:00:00"/>
    <n v="69"/>
    <x v="3"/>
    <x v="16"/>
    <s v="Broadband MiFi"/>
    <x v="1"/>
    <n v="3"/>
    <s v="Good"/>
    <n v="16"/>
    <x v="1"/>
    <x v="4"/>
    <n v="9000"/>
    <n v="3"/>
    <n v="27000"/>
    <n v="9000"/>
    <n v="190.84"/>
    <x v="0"/>
    <n v="1"/>
    <n v="0"/>
    <n v="0"/>
    <n v="0"/>
  </r>
  <r>
    <s v="CUST0179"/>
    <s v="Bola Curtis"/>
    <d v="2025-02-25T00:00:00"/>
    <n v="69"/>
    <x v="3"/>
    <x v="16"/>
    <s v="Mobile SIM Card"/>
    <x v="1"/>
    <n v="3"/>
    <s v="Good"/>
    <n v="16"/>
    <x v="1"/>
    <x v="1"/>
    <n v="5500"/>
    <n v="10"/>
    <n v="55000"/>
    <n v="5500"/>
    <n v="173.27"/>
    <x v="0"/>
    <n v="1"/>
    <n v="0"/>
    <n v="0"/>
    <n v="0"/>
  </r>
  <r>
    <s v="CUST0180"/>
    <s v="Ese Haley"/>
    <d v="2025-02-25T00:00:00"/>
    <n v="27"/>
    <x v="0"/>
    <x v="2"/>
    <s v="Mobile SIM Card"/>
    <x v="0"/>
    <n v="3"/>
    <s v="Good"/>
    <n v="24"/>
    <x v="1"/>
    <x v="6"/>
    <n v="9000"/>
    <n v="16"/>
    <n v="144000"/>
    <n v="9000"/>
    <n v="118.54"/>
    <x v="1"/>
    <n v="0"/>
    <n v="0"/>
    <n v="0"/>
    <n v="0"/>
  </r>
  <r>
    <s v="CUST0180"/>
    <s v="Ese Haley"/>
    <d v="2025-02-25T00:00:00"/>
    <n v="27"/>
    <x v="0"/>
    <x v="2"/>
    <s v="Mobile SIM Card"/>
    <x v="0"/>
    <n v="3"/>
    <s v="Good"/>
    <n v="24"/>
    <x v="1"/>
    <x v="13"/>
    <n v="350"/>
    <n v="18"/>
    <n v="6300"/>
    <n v="350"/>
    <n v="146.63"/>
    <x v="1"/>
    <n v="0"/>
    <n v="0"/>
    <n v="0"/>
    <n v="0"/>
  </r>
  <r>
    <s v="CUST0181"/>
    <s v="Halima Walker"/>
    <d v="2025-02-25T00:00:00"/>
    <n v="35"/>
    <x v="2"/>
    <x v="34"/>
    <s v="Broadband MiFi"/>
    <x v="1"/>
    <n v="5"/>
    <s v="Excellent"/>
    <n v="2"/>
    <x v="0"/>
    <x v="12"/>
    <n v="14500"/>
    <n v="10"/>
    <n v="145000"/>
    <n v="14500"/>
    <n v="169.88"/>
    <x v="1"/>
    <n v="0"/>
    <n v="0"/>
    <n v="0"/>
    <n v="0"/>
  </r>
  <r>
    <s v="CUST0181"/>
    <s v="Halima Walker"/>
    <d v="2025-02-25T00:00:00"/>
    <n v="35"/>
    <x v="2"/>
    <x v="34"/>
    <s v="4G Router"/>
    <x v="1"/>
    <n v="5"/>
    <s v="Excellent"/>
    <n v="2"/>
    <x v="0"/>
    <x v="9"/>
    <n v="16000"/>
    <n v="8"/>
    <n v="128000"/>
    <n v="16000"/>
    <n v="41.44"/>
    <x v="1"/>
    <n v="0"/>
    <n v="0"/>
    <n v="0"/>
    <n v="0"/>
  </r>
  <r>
    <s v="CUST0181"/>
    <s v="Halima Walker"/>
    <d v="2025-02-25T00:00:00"/>
    <n v="35"/>
    <x v="2"/>
    <x v="34"/>
    <s v="Mobile SIM Card"/>
    <x v="1"/>
    <n v="5"/>
    <s v="Excellent"/>
    <n v="2"/>
    <x v="0"/>
    <x v="15"/>
    <n v="7500"/>
    <n v="2"/>
    <n v="15000"/>
    <n v="7500"/>
    <n v="98.66"/>
    <x v="1"/>
    <n v="0"/>
    <n v="0"/>
    <n v="0"/>
    <n v="0"/>
  </r>
  <r>
    <s v="CUST0182"/>
    <s v="Obinna Mills"/>
    <d v="2025-02-25T00:00:00"/>
    <n v="51"/>
    <x v="4"/>
    <x v="33"/>
    <s v="Mobile SIM Card"/>
    <x v="0"/>
    <n v="5"/>
    <s v="Excellent"/>
    <n v="59"/>
    <x v="2"/>
    <x v="14"/>
    <n v="1000"/>
    <n v="17"/>
    <n v="17000"/>
    <n v="1000"/>
    <n v="116.36"/>
    <x v="1"/>
    <n v="0"/>
    <n v="0"/>
    <n v="0"/>
    <n v="0"/>
  </r>
  <r>
    <s v="CUST0182"/>
    <s v="Obinna Mills"/>
    <d v="2025-02-25T00:00:00"/>
    <n v="51"/>
    <x v="4"/>
    <x v="33"/>
    <s v="5G Broadband Router"/>
    <x v="0"/>
    <n v="5"/>
    <s v="Excellent"/>
    <n v="59"/>
    <x v="2"/>
    <x v="11"/>
    <n v="30000"/>
    <n v="13"/>
    <n v="390000"/>
    <n v="30000"/>
    <n v="127.62"/>
    <x v="1"/>
    <n v="0"/>
    <n v="0"/>
    <n v="0"/>
    <n v="0"/>
  </r>
  <r>
    <s v="CUST0183"/>
    <s v="Kunle Shaw"/>
    <d v="2025-03-25T00:00:00"/>
    <n v="23"/>
    <x v="1"/>
    <x v="0"/>
    <s v="5G Broadband Router"/>
    <x v="0"/>
    <n v="3"/>
    <s v="Good"/>
    <n v="16"/>
    <x v="1"/>
    <x v="8"/>
    <n v="150000"/>
    <n v="3"/>
    <n v="450000"/>
    <n v="150000"/>
    <n v="54.76"/>
    <x v="1"/>
    <n v="0"/>
    <n v="0"/>
    <n v="0"/>
    <n v="0"/>
  </r>
  <r>
    <s v="CUST0183"/>
    <s v="Kunle Shaw"/>
    <d v="2025-03-25T00:00:00"/>
    <n v="23"/>
    <x v="1"/>
    <x v="0"/>
    <s v="4G Router"/>
    <x v="0"/>
    <n v="3"/>
    <s v="Good"/>
    <n v="16"/>
    <x v="1"/>
    <x v="5"/>
    <n v="4500"/>
    <n v="19"/>
    <n v="85500"/>
    <n v="4500"/>
    <n v="27.65"/>
    <x v="1"/>
    <n v="0"/>
    <n v="0"/>
    <n v="0"/>
    <n v="0"/>
  </r>
  <r>
    <s v="CUST0184"/>
    <s v="Ngozi Webb"/>
    <d v="2025-02-25T00:00:00"/>
    <n v="35"/>
    <x v="2"/>
    <x v="13"/>
    <s v="5G Broadband Router"/>
    <x v="0"/>
    <n v="3"/>
    <s v="Good"/>
    <n v="29"/>
    <x v="2"/>
    <x v="10"/>
    <n v="24000"/>
    <n v="4"/>
    <n v="96000"/>
    <n v="24000"/>
    <n v="92.94"/>
    <x v="1"/>
    <n v="0"/>
    <n v="0"/>
    <n v="0"/>
    <n v="0"/>
  </r>
  <r>
    <s v="CUST0184"/>
    <s v="Ngozi Webb"/>
    <d v="2025-02-25T00:00:00"/>
    <n v="35"/>
    <x v="2"/>
    <x v="13"/>
    <s v="Broadband MiFi"/>
    <x v="0"/>
    <n v="3"/>
    <s v="Good"/>
    <n v="29"/>
    <x v="2"/>
    <x v="4"/>
    <n v="9000"/>
    <n v="10"/>
    <n v="90000"/>
    <n v="9000"/>
    <n v="31.94"/>
    <x v="1"/>
    <n v="0"/>
    <n v="0"/>
    <n v="0"/>
    <n v="0"/>
  </r>
  <r>
    <s v="CUST0184"/>
    <s v="Ngozi Webb"/>
    <d v="2025-02-25T00:00:00"/>
    <n v="35"/>
    <x v="2"/>
    <x v="13"/>
    <s v="Mobile SIM Card"/>
    <x v="0"/>
    <n v="3"/>
    <s v="Good"/>
    <n v="29"/>
    <x v="2"/>
    <x v="9"/>
    <n v="16000"/>
    <n v="11"/>
    <n v="176000"/>
    <n v="16000"/>
    <n v="43.4"/>
    <x v="1"/>
    <n v="0"/>
    <n v="0"/>
    <n v="0"/>
    <n v="0"/>
  </r>
  <r>
    <s v="CUST0185"/>
    <s v="Obinna Young"/>
    <d v="2025-01-25T00:00:00"/>
    <n v="27"/>
    <x v="0"/>
    <x v="7"/>
    <s v="Mobile SIM Card"/>
    <x v="1"/>
    <n v="3"/>
    <s v="Good"/>
    <n v="26"/>
    <x v="2"/>
    <x v="1"/>
    <n v="5500"/>
    <n v="18"/>
    <n v="99000"/>
    <n v="5500"/>
    <n v="111.41"/>
    <x v="0"/>
    <n v="1"/>
    <n v="0"/>
    <n v="0"/>
    <n v="0"/>
  </r>
  <r>
    <s v="CUST0186"/>
    <s v="Halima Harrison"/>
    <d v="2025-02-25T00:00:00"/>
    <n v="28"/>
    <x v="0"/>
    <x v="2"/>
    <s v="4G Router"/>
    <x v="0"/>
    <n v="1"/>
    <s v="Poor"/>
    <n v="52"/>
    <x v="2"/>
    <x v="5"/>
    <n v="4500"/>
    <n v="12"/>
    <n v="54000"/>
    <n v="4500"/>
    <n v="164.82"/>
    <x v="0"/>
    <n v="1"/>
    <n v="0"/>
    <n v="0"/>
    <n v="0"/>
  </r>
  <r>
    <s v="CUST0187"/>
    <s v="Chinedu Brown"/>
    <d v="2025-02-25T00:00:00"/>
    <n v="49"/>
    <x v="4"/>
    <x v="23"/>
    <s v="5G Broadband Router"/>
    <x v="0"/>
    <n v="4"/>
    <s v="Very Good"/>
    <n v="5"/>
    <x v="0"/>
    <x v="2"/>
    <n v="20000"/>
    <n v="15"/>
    <n v="300000"/>
    <n v="20000"/>
    <n v="9.02"/>
    <x v="1"/>
    <n v="0"/>
    <n v="0"/>
    <n v="0"/>
    <n v="0"/>
  </r>
  <r>
    <s v="CUST0188"/>
    <s v="Sade Cruz"/>
    <d v="2025-01-25T00:00:00"/>
    <n v="37"/>
    <x v="2"/>
    <x v="0"/>
    <s v="5G Broadband Router"/>
    <x v="1"/>
    <n v="4"/>
    <s v="Very Good"/>
    <n v="32"/>
    <x v="2"/>
    <x v="12"/>
    <n v="14500"/>
    <n v="9"/>
    <n v="130500"/>
    <n v="14500"/>
    <n v="181.71"/>
    <x v="1"/>
    <n v="0"/>
    <n v="0"/>
    <n v="0"/>
    <n v="0"/>
  </r>
  <r>
    <s v="CUST0189"/>
    <s v="Zainab Mcguire"/>
    <d v="2025-02-25T00:00:00"/>
    <n v="73"/>
    <x v="3"/>
    <x v="5"/>
    <s v="Mobile SIM Card"/>
    <x v="0"/>
    <n v="3"/>
    <s v="Good"/>
    <n v="40"/>
    <x v="2"/>
    <x v="3"/>
    <n v="500"/>
    <n v="14"/>
    <n v="7000"/>
    <n v="500"/>
    <n v="76.91"/>
    <x v="1"/>
    <n v="0"/>
    <n v="0"/>
    <n v="0"/>
    <n v="0"/>
  </r>
  <r>
    <s v="CUST0189"/>
    <s v="Zainab Mcguire"/>
    <d v="2025-02-25T00:00:00"/>
    <n v="73"/>
    <x v="3"/>
    <x v="5"/>
    <s v="Broadband MiFi"/>
    <x v="0"/>
    <n v="3"/>
    <s v="Good"/>
    <n v="40"/>
    <x v="2"/>
    <x v="2"/>
    <n v="20000"/>
    <n v="17"/>
    <n v="340000"/>
    <n v="20000"/>
    <n v="128.71"/>
    <x v="1"/>
    <n v="0"/>
    <n v="0"/>
    <n v="0"/>
    <n v="0"/>
  </r>
  <r>
    <s v="CUST0189"/>
    <s v="Zainab Mcguire"/>
    <d v="2025-02-25T00:00:00"/>
    <n v="73"/>
    <x v="3"/>
    <x v="5"/>
    <s v="5G Broadband Router"/>
    <x v="0"/>
    <n v="3"/>
    <s v="Good"/>
    <n v="40"/>
    <x v="2"/>
    <x v="12"/>
    <n v="14500"/>
    <n v="18"/>
    <n v="261000"/>
    <n v="14500"/>
    <n v="126.34"/>
    <x v="1"/>
    <n v="0"/>
    <n v="0"/>
    <n v="0"/>
    <n v="0"/>
  </r>
  <r>
    <s v="CUST0190"/>
    <s v="Funke Thomas"/>
    <d v="2025-02-25T00:00:00"/>
    <n v="64"/>
    <x v="3"/>
    <x v="25"/>
    <s v="5G Broadband Router"/>
    <x v="1"/>
    <n v="3"/>
    <s v="Good"/>
    <n v="35"/>
    <x v="2"/>
    <x v="11"/>
    <n v="30000"/>
    <n v="20"/>
    <n v="600000"/>
    <n v="30000"/>
    <n v="5.7"/>
    <x v="1"/>
    <n v="0"/>
    <n v="0"/>
    <n v="0"/>
    <n v="0"/>
  </r>
  <r>
    <s v="CUST0190"/>
    <s v="Funke Thomas"/>
    <d v="2025-02-25T00:00:00"/>
    <n v="64"/>
    <x v="3"/>
    <x v="25"/>
    <s v="4G Router"/>
    <x v="1"/>
    <n v="3"/>
    <s v="Good"/>
    <n v="35"/>
    <x v="2"/>
    <x v="5"/>
    <n v="4500"/>
    <n v="9"/>
    <n v="40500"/>
    <n v="4500"/>
    <n v="6.35"/>
    <x v="1"/>
    <n v="0"/>
    <n v="0"/>
    <n v="0"/>
    <n v="0"/>
  </r>
  <r>
    <s v="CUST0190"/>
    <s v="Funke Thomas"/>
    <d v="2025-02-25T00:00:00"/>
    <n v="64"/>
    <x v="3"/>
    <x v="25"/>
    <s v="Mobile SIM Card"/>
    <x v="1"/>
    <n v="3"/>
    <s v="Good"/>
    <n v="35"/>
    <x v="2"/>
    <x v="16"/>
    <n v="900"/>
    <n v="16"/>
    <n v="14400"/>
    <n v="900"/>
    <n v="161.83000000000001"/>
    <x v="1"/>
    <n v="0"/>
    <n v="0"/>
    <n v="0"/>
    <n v="0"/>
  </r>
  <r>
    <s v="CUST0191"/>
    <s v="Sarah Meyer"/>
    <d v="2025-02-25T00:00:00"/>
    <n v="61"/>
    <x v="3"/>
    <x v="16"/>
    <s v="Broadband MiFi"/>
    <x v="0"/>
    <n v="2"/>
    <s v="Fair"/>
    <n v="7"/>
    <x v="3"/>
    <x v="11"/>
    <n v="30000"/>
    <n v="6"/>
    <n v="180000"/>
    <n v="30000"/>
    <n v="187.07"/>
    <x v="0"/>
    <n v="1"/>
    <n v="0"/>
    <n v="0"/>
    <n v="0"/>
  </r>
  <r>
    <s v="CUST0191"/>
    <s v="Sarah Meyer"/>
    <d v="2025-02-25T00:00:00"/>
    <n v="61"/>
    <x v="3"/>
    <x v="16"/>
    <s v="Mobile SIM Card"/>
    <x v="0"/>
    <n v="2"/>
    <s v="Fair"/>
    <n v="7"/>
    <x v="3"/>
    <x v="19"/>
    <n v="600"/>
    <n v="11"/>
    <n v="6600"/>
    <n v="600"/>
    <n v="47.69"/>
    <x v="0"/>
    <n v="1"/>
    <n v="0"/>
    <n v="0"/>
    <n v="0"/>
  </r>
  <r>
    <s v="CUST0191"/>
    <s v="Sarah Meyer"/>
    <d v="2025-02-25T00:00:00"/>
    <n v="61"/>
    <x v="3"/>
    <x v="16"/>
    <s v="4G Router"/>
    <x v="0"/>
    <n v="2"/>
    <s v="Fair"/>
    <n v="7"/>
    <x v="3"/>
    <x v="6"/>
    <n v="9000"/>
    <n v="1"/>
    <n v="9000"/>
    <n v="9000"/>
    <n v="182.84"/>
    <x v="0"/>
    <n v="1"/>
    <n v="0"/>
    <n v="0"/>
    <n v="0"/>
  </r>
  <r>
    <s v="CUST0192"/>
    <s v="Oghene Schroeder"/>
    <d v="2025-03-25T00:00:00"/>
    <n v="34"/>
    <x v="0"/>
    <x v="18"/>
    <s v="Broadband MiFi"/>
    <x v="1"/>
    <n v="2"/>
    <s v="Fair"/>
    <n v="35"/>
    <x v="2"/>
    <x v="2"/>
    <n v="20000"/>
    <n v="1"/>
    <n v="20000"/>
    <n v="20000"/>
    <n v="120.53"/>
    <x v="1"/>
    <n v="0"/>
    <n v="0"/>
    <n v="0"/>
    <n v="0"/>
  </r>
  <r>
    <s v="CUST0193"/>
    <s v="Sarah Thomas"/>
    <d v="2025-02-25T00:00:00"/>
    <n v="77"/>
    <x v="3"/>
    <x v="34"/>
    <s v="5G Broadband Router"/>
    <x v="1"/>
    <n v="2"/>
    <s v="Fair"/>
    <n v="59"/>
    <x v="2"/>
    <x v="4"/>
    <n v="9000"/>
    <n v="19"/>
    <n v="171000"/>
    <n v="9000"/>
    <n v="4.87"/>
    <x v="1"/>
    <n v="0"/>
    <n v="0"/>
    <n v="0"/>
    <n v="0"/>
  </r>
  <r>
    <s v="CUST0194"/>
    <s v="Obinna Dunn"/>
    <d v="2025-03-25T00:00:00"/>
    <n v="30"/>
    <x v="0"/>
    <x v="8"/>
    <s v="5G Broadband Router"/>
    <x v="1"/>
    <n v="4"/>
    <s v="Very Good"/>
    <n v="5"/>
    <x v="0"/>
    <x v="11"/>
    <n v="30000"/>
    <n v="14"/>
    <n v="420000"/>
    <n v="30000"/>
    <n v="195.18"/>
    <x v="1"/>
    <n v="0"/>
    <n v="0"/>
    <n v="0"/>
    <n v="0"/>
  </r>
  <r>
    <s v="CUST0194"/>
    <s v="Obinna Dunn"/>
    <d v="2025-03-25T00:00:00"/>
    <n v="30"/>
    <x v="0"/>
    <x v="8"/>
    <s v="4G Router"/>
    <x v="1"/>
    <n v="4"/>
    <s v="Very Good"/>
    <n v="5"/>
    <x v="0"/>
    <x v="0"/>
    <n v="35000"/>
    <n v="6"/>
    <n v="210000"/>
    <n v="35000"/>
    <n v="130.01"/>
    <x v="1"/>
    <n v="0"/>
    <n v="0"/>
    <n v="0"/>
    <n v="0"/>
  </r>
  <r>
    <s v="CUST0195"/>
    <s v="Oghene Munoz"/>
    <d v="2025-03-25T00:00:00"/>
    <n v="44"/>
    <x v="2"/>
    <x v="20"/>
    <s v="Mobile SIM Card"/>
    <x v="1"/>
    <n v="2"/>
    <s v="Fair"/>
    <n v="20"/>
    <x v="1"/>
    <x v="19"/>
    <n v="600"/>
    <n v="20"/>
    <n v="12000"/>
    <n v="600"/>
    <n v="120.68"/>
    <x v="0"/>
    <n v="1"/>
    <n v="0"/>
    <n v="0"/>
    <n v="0"/>
  </r>
  <r>
    <s v="CUST0195"/>
    <s v="Oghene Munoz"/>
    <d v="2025-03-25T00:00:00"/>
    <n v="44"/>
    <x v="2"/>
    <x v="20"/>
    <s v="5G Broadband Router"/>
    <x v="1"/>
    <n v="2"/>
    <s v="Fair"/>
    <n v="20"/>
    <x v="1"/>
    <x v="12"/>
    <n v="14500"/>
    <n v="4"/>
    <n v="58000"/>
    <n v="14500"/>
    <n v="128.11000000000001"/>
    <x v="0"/>
    <n v="1"/>
    <n v="0"/>
    <n v="0"/>
    <n v="0"/>
  </r>
  <r>
    <s v="CUST0195"/>
    <s v="Oghene Munoz"/>
    <d v="2025-03-25T00:00:00"/>
    <n v="44"/>
    <x v="2"/>
    <x v="20"/>
    <s v="Broadband MiFi"/>
    <x v="1"/>
    <n v="2"/>
    <s v="Fair"/>
    <n v="20"/>
    <x v="1"/>
    <x v="12"/>
    <n v="14500"/>
    <n v="3"/>
    <n v="43500"/>
    <n v="14500"/>
    <n v="28.56"/>
    <x v="0"/>
    <n v="1"/>
    <n v="0"/>
    <n v="0"/>
    <n v="0"/>
  </r>
  <r>
    <s v="CUST0196"/>
    <s v="Halima Burns"/>
    <d v="2025-01-25T00:00:00"/>
    <n v="60"/>
    <x v="3"/>
    <x v="32"/>
    <s v="4G Router"/>
    <x v="0"/>
    <n v="3"/>
    <s v="Good"/>
    <n v="41"/>
    <x v="2"/>
    <x v="9"/>
    <n v="16000"/>
    <n v="4"/>
    <n v="64000"/>
    <n v="16000"/>
    <n v="70.42"/>
    <x v="1"/>
    <n v="0"/>
    <n v="0"/>
    <n v="0"/>
    <n v="0"/>
  </r>
  <r>
    <s v="CUST0196"/>
    <s v="Halima Burns"/>
    <d v="2025-01-25T00:00:00"/>
    <n v="60"/>
    <x v="3"/>
    <x v="32"/>
    <s v="Broadband MiFi"/>
    <x v="0"/>
    <n v="3"/>
    <s v="Good"/>
    <n v="41"/>
    <x v="2"/>
    <x v="4"/>
    <n v="9000"/>
    <n v="15"/>
    <n v="135000"/>
    <n v="9000"/>
    <n v="10.11"/>
    <x v="1"/>
    <n v="0"/>
    <n v="0"/>
    <n v="0"/>
    <n v="0"/>
  </r>
  <r>
    <s v="CUST0197"/>
    <s v="Ibim Murphy"/>
    <d v="2025-02-25T00:00:00"/>
    <n v="37"/>
    <x v="2"/>
    <x v="15"/>
    <s v="Mobile SIM Card"/>
    <x v="1"/>
    <n v="3"/>
    <s v="Good"/>
    <n v="57"/>
    <x v="2"/>
    <x v="13"/>
    <n v="350"/>
    <n v="3"/>
    <n v="1050"/>
    <n v="350"/>
    <n v="32.950000000000003"/>
    <x v="1"/>
    <n v="0"/>
    <n v="0"/>
    <n v="0"/>
    <n v="0"/>
  </r>
  <r>
    <s v="CUST0198"/>
    <s v="Bola Potter"/>
    <d v="2025-01-25T00:00:00"/>
    <n v="53"/>
    <x v="4"/>
    <x v="17"/>
    <s v="4G Router"/>
    <x v="1"/>
    <n v="1"/>
    <s v="Poor"/>
    <n v="17"/>
    <x v="1"/>
    <x v="9"/>
    <n v="16000"/>
    <n v="3"/>
    <n v="48000"/>
    <n v="16000"/>
    <n v="109.64"/>
    <x v="1"/>
    <n v="0"/>
    <n v="0"/>
    <n v="0"/>
    <n v="0"/>
  </r>
  <r>
    <s v="CUST0198"/>
    <s v="Bola Potter"/>
    <d v="2025-01-25T00:00:00"/>
    <n v="53"/>
    <x v="4"/>
    <x v="17"/>
    <s v="5G Broadband Router"/>
    <x v="1"/>
    <n v="1"/>
    <s v="Poor"/>
    <n v="17"/>
    <x v="1"/>
    <x v="18"/>
    <n v="25000"/>
    <n v="20"/>
    <n v="500000"/>
    <n v="25000"/>
    <n v="119.01"/>
    <x v="1"/>
    <n v="0"/>
    <n v="0"/>
    <n v="0"/>
    <n v="0"/>
  </r>
  <r>
    <s v="CUST0199"/>
    <s v="John Morales"/>
    <d v="2025-02-25T00:00:00"/>
    <n v="19"/>
    <x v="1"/>
    <x v="0"/>
    <s v="4G Router"/>
    <x v="0"/>
    <n v="2"/>
    <s v="Fair"/>
    <n v="39"/>
    <x v="2"/>
    <x v="5"/>
    <n v="4500"/>
    <n v="18"/>
    <n v="81000"/>
    <n v="4500"/>
    <n v="139.59"/>
    <x v="0"/>
    <n v="1"/>
    <n v="0"/>
    <n v="0"/>
    <n v="0"/>
  </r>
  <r>
    <s v="CUST0200"/>
    <s v="Saidu Tucker"/>
    <d v="2025-01-25T00:00:00"/>
    <n v="52"/>
    <x v="4"/>
    <x v="24"/>
    <s v="4G Router"/>
    <x v="0"/>
    <n v="4"/>
    <s v="Very Good"/>
    <n v="7"/>
    <x v="3"/>
    <x v="6"/>
    <n v="9000"/>
    <n v="3"/>
    <n v="27000"/>
    <n v="9000"/>
    <n v="1.26"/>
    <x v="1"/>
    <n v="0"/>
    <n v="0"/>
    <n v="0"/>
    <n v="0"/>
  </r>
  <r>
    <s v="CUST0200"/>
    <s v="Saidu Tucker"/>
    <d v="2025-01-25T00:00:00"/>
    <n v="52"/>
    <x v="4"/>
    <x v="24"/>
    <s v="Broadband MiFi"/>
    <x v="0"/>
    <n v="4"/>
    <s v="Very Good"/>
    <n v="7"/>
    <x v="3"/>
    <x v="11"/>
    <n v="30000"/>
    <n v="20"/>
    <n v="600000"/>
    <n v="30000"/>
    <n v="164.87"/>
    <x v="1"/>
    <n v="0"/>
    <n v="0"/>
    <n v="0"/>
    <n v="0"/>
  </r>
  <r>
    <s v="CUST0201"/>
    <s v="John Mcgrath"/>
    <d v="2025-02-25T00:00:00"/>
    <n v="41"/>
    <x v="2"/>
    <x v="13"/>
    <s v="Broadband MiFi"/>
    <x v="0"/>
    <n v="3"/>
    <s v="Good"/>
    <n v="14"/>
    <x v="1"/>
    <x v="12"/>
    <n v="14500"/>
    <n v="9"/>
    <n v="130500"/>
    <n v="14500"/>
    <n v="94.45"/>
    <x v="1"/>
    <n v="0"/>
    <n v="0"/>
    <n v="0"/>
    <n v="0"/>
  </r>
  <r>
    <s v="CUST0201"/>
    <s v="John Mcgrath"/>
    <d v="2025-02-25T00:00:00"/>
    <n v="41"/>
    <x v="2"/>
    <x v="13"/>
    <s v="4G Router"/>
    <x v="0"/>
    <n v="3"/>
    <s v="Good"/>
    <n v="14"/>
    <x v="1"/>
    <x v="9"/>
    <n v="16000"/>
    <n v="13"/>
    <n v="208000"/>
    <n v="16000"/>
    <n v="128.55000000000001"/>
    <x v="1"/>
    <n v="0"/>
    <n v="0"/>
    <n v="0"/>
    <n v="0"/>
  </r>
  <r>
    <s v="CUST0202"/>
    <s v="Shehu Hays"/>
    <d v="2025-02-25T00:00:00"/>
    <n v="63"/>
    <x v="3"/>
    <x v="6"/>
    <s v="4G Router"/>
    <x v="1"/>
    <n v="1"/>
    <s v="Poor"/>
    <n v="12"/>
    <x v="3"/>
    <x v="9"/>
    <n v="16000"/>
    <n v="4"/>
    <n v="64000"/>
    <n v="16000"/>
    <n v="30.65"/>
    <x v="0"/>
    <n v="1"/>
    <n v="0"/>
    <n v="0"/>
    <n v="0"/>
  </r>
  <r>
    <s v="CUST0202"/>
    <s v="Shehu Hays"/>
    <d v="2025-02-25T00:00:00"/>
    <n v="63"/>
    <x v="3"/>
    <x v="6"/>
    <s v="Mobile SIM Card"/>
    <x v="1"/>
    <n v="1"/>
    <s v="Poor"/>
    <n v="12"/>
    <x v="3"/>
    <x v="14"/>
    <n v="1000"/>
    <n v="18"/>
    <n v="18000"/>
    <n v="1000"/>
    <n v="133.79"/>
    <x v="0"/>
    <n v="1"/>
    <n v="0"/>
    <n v="0"/>
    <n v="0"/>
  </r>
  <r>
    <s v="CUST0203"/>
    <s v="Ibim Castro"/>
    <d v="2025-02-25T00:00:00"/>
    <n v="45"/>
    <x v="4"/>
    <x v="4"/>
    <s v="4G Router"/>
    <x v="1"/>
    <n v="5"/>
    <s v="Excellent"/>
    <n v="53"/>
    <x v="2"/>
    <x v="6"/>
    <n v="9000"/>
    <n v="2"/>
    <n v="18000"/>
    <n v="9000"/>
    <n v="16.25"/>
    <x v="1"/>
    <n v="0"/>
    <n v="0"/>
    <n v="0"/>
    <n v="0"/>
  </r>
  <r>
    <s v="CUST0203"/>
    <s v="Ibim Castro"/>
    <d v="2025-02-25T00:00:00"/>
    <n v="45"/>
    <x v="4"/>
    <x v="4"/>
    <s v="Mobile SIM Card"/>
    <x v="1"/>
    <n v="5"/>
    <s v="Excellent"/>
    <n v="53"/>
    <x v="2"/>
    <x v="20"/>
    <n v="6500"/>
    <n v="17"/>
    <n v="110500"/>
    <n v="6500"/>
    <n v="114.46"/>
    <x v="1"/>
    <n v="0"/>
    <n v="0"/>
    <n v="0"/>
    <n v="0"/>
  </r>
  <r>
    <s v="CUST0204"/>
    <s v="Obinna Patterson"/>
    <d v="2025-02-25T00:00:00"/>
    <n v="31"/>
    <x v="0"/>
    <x v="30"/>
    <s v="Mobile SIM Card"/>
    <x v="0"/>
    <n v="2"/>
    <s v="Fair"/>
    <n v="11"/>
    <x v="3"/>
    <x v="13"/>
    <n v="350"/>
    <n v="5"/>
    <n v="1750"/>
    <n v="350"/>
    <n v="199.46"/>
    <x v="0"/>
    <n v="1"/>
    <n v="0"/>
    <n v="0"/>
    <n v="0"/>
  </r>
  <r>
    <s v="CUST0205"/>
    <s v="Saidu Munoz"/>
    <d v="2025-02-25T00:00:00"/>
    <n v="56"/>
    <x v="3"/>
    <x v="23"/>
    <s v="Mobile SIM Card"/>
    <x v="0"/>
    <n v="5"/>
    <s v="Excellent"/>
    <n v="25"/>
    <x v="2"/>
    <x v="20"/>
    <n v="6500"/>
    <n v="4"/>
    <n v="26000"/>
    <n v="6500"/>
    <n v="156.44999999999999"/>
    <x v="1"/>
    <n v="0"/>
    <n v="0"/>
    <n v="0"/>
    <n v="0"/>
  </r>
  <r>
    <s v="CUST0205"/>
    <s v="Saidu Munoz"/>
    <d v="2025-02-25T00:00:00"/>
    <n v="56"/>
    <x v="3"/>
    <x v="23"/>
    <s v="Broadband MiFi"/>
    <x v="0"/>
    <n v="5"/>
    <s v="Excellent"/>
    <n v="25"/>
    <x v="2"/>
    <x v="12"/>
    <n v="14500"/>
    <n v="19"/>
    <n v="275500"/>
    <n v="14500"/>
    <n v="30.35"/>
    <x v="1"/>
    <n v="0"/>
    <n v="0"/>
    <n v="0"/>
    <n v="0"/>
  </r>
  <r>
    <s v="CUST0206"/>
    <s v="Ngozi Wood"/>
    <d v="2025-03-25T00:00:00"/>
    <n v="29"/>
    <x v="0"/>
    <x v="13"/>
    <s v="Mobile SIM Card"/>
    <x v="1"/>
    <n v="4"/>
    <s v="Very Good"/>
    <n v="56"/>
    <x v="2"/>
    <x v="19"/>
    <n v="600"/>
    <n v="5"/>
    <n v="3000"/>
    <n v="600"/>
    <n v="55.45"/>
    <x v="0"/>
    <n v="1"/>
    <n v="0"/>
    <n v="0"/>
    <n v="0"/>
  </r>
  <r>
    <s v="CUST0206"/>
    <s v="Ngozi Wood"/>
    <d v="2025-03-25T00:00:00"/>
    <n v="29"/>
    <x v="0"/>
    <x v="13"/>
    <s v="Broadband MiFi"/>
    <x v="1"/>
    <n v="4"/>
    <s v="Very Good"/>
    <n v="56"/>
    <x v="2"/>
    <x v="10"/>
    <n v="24000"/>
    <n v="13"/>
    <n v="312000"/>
    <n v="24000"/>
    <n v="121.93"/>
    <x v="0"/>
    <n v="1"/>
    <n v="0"/>
    <n v="0"/>
    <n v="0"/>
  </r>
  <r>
    <s v="CUST0207"/>
    <s v="Bola Miller"/>
    <d v="2025-02-25T00:00:00"/>
    <n v="66"/>
    <x v="3"/>
    <x v="26"/>
    <s v="5G Broadband Router"/>
    <x v="0"/>
    <n v="3"/>
    <s v="Good"/>
    <n v="4"/>
    <x v="0"/>
    <x v="10"/>
    <n v="24000"/>
    <n v="16"/>
    <n v="384000"/>
    <n v="24000"/>
    <n v="62.53"/>
    <x v="1"/>
    <n v="0"/>
    <n v="0"/>
    <n v="0"/>
    <n v="0"/>
  </r>
  <r>
    <s v="CUST0208"/>
    <s v="Ngozi Acevedo"/>
    <d v="2025-02-25T00:00:00"/>
    <n v="45"/>
    <x v="4"/>
    <x v="21"/>
    <s v="Broadband MiFi"/>
    <x v="1"/>
    <n v="3"/>
    <s v="Good"/>
    <n v="48"/>
    <x v="2"/>
    <x v="2"/>
    <n v="20000"/>
    <n v="14"/>
    <n v="280000"/>
    <n v="20000"/>
    <n v="182.73"/>
    <x v="0"/>
    <n v="1"/>
    <n v="0"/>
    <n v="0"/>
    <n v="0"/>
  </r>
  <r>
    <s v="CUST0208"/>
    <s v="Ngozi Acevedo"/>
    <d v="2025-02-25T00:00:00"/>
    <n v="45"/>
    <x v="4"/>
    <x v="21"/>
    <s v="Mobile SIM Card"/>
    <x v="1"/>
    <n v="3"/>
    <s v="Good"/>
    <n v="48"/>
    <x v="2"/>
    <x v="1"/>
    <n v="5500"/>
    <n v="12"/>
    <n v="66000"/>
    <n v="5500"/>
    <n v="152.02000000000001"/>
    <x v="0"/>
    <n v="1"/>
    <n v="0"/>
    <n v="0"/>
    <n v="0"/>
  </r>
  <r>
    <s v="CUST0208"/>
    <s v="Ngozi Acevedo"/>
    <d v="2025-02-25T00:00:00"/>
    <n v="45"/>
    <x v="4"/>
    <x v="21"/>
    <s v="4G Router"/>
    <x v="1"/>
    <n v="3"/>
    <s v="Good"/>
    <n v="48"/>
    <x v="2"/>
    <x v="9"/>
    <n v="16000"/>
    <n v="6"/>
    <n v="96000"/>
    <n v="16000"/>
    <n v="103.3"/>
    <x v="0"/>
    <n v="1"/>
    <n v="0"/>
    <n v="0"/>
    <n v="0"/>
  </r>
  <r>
    <s v="CUST0209"/>
    <s v="Kunle Bird"/>
    <d v="2025-01-25T00:00:00"/>
    <n v="55"/>
    <x v="3"/>
    <x v="28"/>
    <s v="Broadband MiFi"/>
    <x v="1"/>
    <n v="2"/>
    <s v="Fair"/>
    <n v="9"/>
    <x v="3"/>
    <x v="2"/>
    <n v="20000"/>
    <n v="2"/>
    <n v="40000"/>
    <n v="20000"/>
    <n v="7.1"/>
    <x v="0"/>
    <n v="1"/>
    <n v="0"/>
    <n v="0"/>
    <n v="0"/>
  </r>
  <r>
    <s v="CUST0210"/>
    <s v="Ejiro Gill"/>
    <d v="2025-02-25T00:00:00"/>
    <n v="41"/>
    <x v="2"/>
    <x v="29"/>
    <s v="Broadband MiFi"/>
    <x v="1"/>
    <n v="5"/>
    <s v="Excellent"/>
    <n v="53"/>
    <x v="2"/>
    <x v="2"/>
    <n v="20000"/>
    <n v="20"/>
    <n v="400000"/>
    <n v="20000"/>
    <n v="74.81"/>
    <x v="1"/>
    <n v="0"/>
    <n v="0"/>
    <n v="0"/>
    <n v="0"/>
  </r>
  <r>
    <s v="CUST0211"/>
    <s v="Alabo Clay"/>
    <d v="2025-02-25T00:00:00"/>
    <n v="38"/>
    <x v="2"/>
    <x v="31"/>
    <s v="Broadband MiFi"/>
    <x v="1"/>
    <n v="3"/>
    <s v="Good"/>
    <n v="23"/>
    <x v="1"/>
    <x v="12"/>
    <n v="14500"/>
    <n v="19"/>
    <n v="275500"/>
    <n v="14500"/>
    <n v="10.41"/>
    <x v="1"/>
    <n v="0"/>
    <n v="0"/>
    <n v="0"/>
    <n v="0"/>
  </r>
  <r>
    <s v="CUST0211"/>
    <s v="Alabo Clay"/>
    <d v="2025-02-25T00:00:00"/>
    <n v="38"/>
    <x v="2"/>
    <x v="31"/>
    <s v="Mobile SIM Card"/>
    <x v="1"/>
    <n v="3"/>
    <s v="Good"/>
    <n v="23"/>
    <x v="1"/>
    <x v="5"/>
    <n v="4500"/>
    <n v="8"/>
    <n v="36000"/>
    <n v="4500"/>
    <n v="171.49"/>
    <x v="1"/>
    <n v="0"/>
    <n v="0"/>
    <n v="0"/>
    <n v="0"/>
  </r>
  <r>
    <s v="CUST0211"/>
    <s v="Alabo Clay"/>
    <d v="2025-02-25T00:00:00"/>
    <n v="38"/>
    <x v="2"/>
    <x v="31"/>
    <s v="Mobile SIM Card"/>
    <x v="1"/>
    <n v="3"/>
    <s v="Good"/>
    <n v="23"/>
    <x v="1"/>
    <x v="13"/>
    <n v="350"/>
    <n v="14"/>
    <n v="4900"/>
    <n v="350"/>
    <n v="54.18"/>
    <x v="1"/>
    <n v="0"/>
    <n v="0"/>
    <n v="0"/>
    <n v="0"/>
  </r>
  <r>
    <s v="CUST0212"/>
    <s v="Michael Williams"/>
    <d v="2025-02-25T00:00:00"/>
    <n v="18"/>
    <x v="1"/>
    <x v="34"/>
    <s v="4G Router"/>
    <x v="1"/>
    <n v="2"/>
    <s v="Fair"/>
    <n v="59"/>
    <x v="2"/>
    <x v="5"/>
    <n v="4500"/>
    <n v="10"/>
    <n v="45000"/>
    <n v="4500"/>
    <n v="121.86"/>
    <x v="1"/>
    <n v="0"/>
    <n v="0"/>
    <n v="0"/>
    <n v="0"/>
  </r>
  <r>
    <s v="CUST0213"/>
    <s v="Zainab Clark"/>
    <d v="2025-03-25T00:00:00"/>
    <n v="70"/>
    <x v="3"/>
    <x v="6"/>
    <s v="Mobile SIM Card"/>
    <x v="1"/>
    <n v="2"/>
    <s v="Fair"/>
    <n v="30"/>
    <x v="2"/>
    <x v="16"/>
    <n v="900"/>
    <n v="12"/>
    <n v="10800"/>
    <n v="900"/>
    <n v="102.55"/>
    <x v="1"/>
    <n v="0"/>
    <n v="0"/>
    <n v="0"/>
    <n v="0"/>
  </r>
  <r>
    <s v="CUST0213"/>
    <s v="Zainab Clark"/>
    <d v="2025-03-25T00:00:00"/>
    <n v="70"/>
    <x v="3"/>
    <x v="6"/>
    <s v="5G Broadband Router"/>
    <x v="1"/>
    <n v="2"/>
    <s v="Fair"/>
    <n v="30"/>
    <x v="2"/>
    <x v="10"/>
    <n v="24000"/>
    <n v="4"/>
    <n v="96000"/>
    <n v="24000"/>
    <n v="60.05"/>
    <x v="1"/>
    <n v="0"/>
    <n v="0"/>
    <n v="0"/>
    <n v="0"/>
  </r>
  <r>
    <s v="CUST0213"/>
    <s v="Zainab Clark"/>
    <d v="2025-03-25T00:00:00"/>
    <n v="70"/>
    <x v="3"/>
    <x v="6"/>
    <s v="Broadband MiFi"/>
    <x v="1"/>
    <n v="2"/>
    <s v="Fair"/>
    <n v="30"/>
    <x v="2"/>
    <x v="12"/>
    <n v="14500"/>
    <n v="9"/>
    <n v="130500"/>
    <n v="14500"/>
    <n v="13.24"/>
    <x v="1"/>
    <n v="0"/>
    <n v="0"/>
    <n v="0"/>
    <n v="0"/>
  </r>
  <r>
    <s v="CUST0214"/>
    <s v="Ese Cooper"/>
    <d v="2025-02-25T00:00:00"/>
    <n v="51"/>
    <x v="4"/>
    <x v="22"/>
    <s v="Mobile SIM Card"/>
    <x v="1"/>
    <n v="5"/>
    <s v="Excellent"/>
    <n v="13"/>
    <x v="1"/>
    <x v="7"/>
    <n v="3500"/>
    <n v="1"/>
    <n v="3500"/>
    <n v="3500"/>
    <n v="136.31"/>
    <x v="1"/>
    <n v="0"/>
    <n v="0"/>
    <n v="0"/>
    <n v="0"/>
  </r>
  <r>
    <s v="CUST0215"/>
    <s v="Grace Figueroa"/>
    <d v="2025-02-25T00:00:00"/>
    <n v="53"/>
    <x v="4"/>
    <x v="22"/>
    <s v="Mobile SIM Card"/>
    <x v="1"/>
    <n v="1"/>
    <s v="Poor"/>
    <n v="26"/>
    <x v="2"/>
    <x v="0"/>
    <n v="35000"/>
    <n v="12"/>
    <n v="420000"/>
    <n v="35000"/>
    <n v="181.35"/>
    <x v="1"/>
    <n v="0"/>
    <n v="0"/>
    <n v="0"/>
    <n v="0"/>
  </r>
  <r>
    <s v="CUST0215"/>
    <s v="Grace Figueroa"/>
    <d v="2025-02-25T00:00:00"/>
    <n v="53"/>
    <x v="4"/>
    <x v="22"/>
    <s v="Mobile SIM Card"/>
    <x v="1"/>
    <n v="1"/>
    <s v="Poor"/>
    <n v="26"/>
    <x v="2"/>
    <x v="20"/>
    <n v="6500"/>
    <n v="6"/>
    <n v="39000"/>
    <n v="6500"/>
    <n v="60.39"/>
    <x v="1"/>
    <n v="0"/>
    <n v="0"/>
    <n v="0"/>
    <n v="0"/>
  </r>
  <r>
    <s v="CUST0215"/>
    <s v="Grace Figueroa"/>
    <d v="2025-02-25T00:00:00"/>
    <n v="53"/>
    <x v="4"/>
    <x v="22"/>
    <s v="Broadband MiFi"/>
    <x v="1"/>
    <n v="1"/>
    <s v="Poor"/>
    <n v="26"/>
    <x v="2"/>
    <x v="10"/>
    <n v="24000"/>
    <n v="4"/>
    <n v="96000"/>
    <n v="24000"/>
    <n v="36.64"/>
    <x v="1"/>
    <n v="0"/>
    <n v="0"/>
    <n v="0"/>
    <n v="0"/>
  </r>
  <r>
    <s v="CUST0216"/>
    <s v="John Erickson"/>
    <d v="2025-03-25T00:00:00"/>
    <n v="32"/>
    <x v="0"/>
    <x v="22"/>
    <s v="5G Broadband Router"/>
    <x v="0"/>
    <n v="1"/>
    <s v="Poor"/>
    <n v="44"/>
    <x v="2"/>
    <x v="18"/>
    <n v="25000"/>
    <n v="10"/>
    <n v="250000"/>
    <n v="25000"/>
    <n v="52.48"/>
    <x v="0"/>
    <n v="1"/>
    <n v="0"/>
    <n v="0"/>
    <n v="0"/>
  </r>
  <r>
    <s v="CUST0216"/>
    <s v="John Erickson"/>
    <d v="2025-03-25T00:00:00"/>
    <n v="32"/>
    <x v="0"/>
    <x v="22"/>
    <s v="4G Router"/>
    <x v="0"/>
    <n v="1"/>
    <s v="Poor"/>
    <n v="44"/>
    <x v="2"/>
    <x v="0"/>
    <n v="35000"/>
    <n v="16"/>
    <n v="560000"/>
    <n v="35000"/>
    <n v="170.32"/>
    <x v="0"/>
    <n v="1"/>
    <n v="0"/>
    <n v="0"/>
    <n v="0"/>
  </r>
  <r>
    <s v="CUST0216"/>
    <s v="John Erickson"/>
    <d v="2025-03-25T00:00:00"/>
    <n v="32"/>
    <x v="0"/>
    <x v="22"/>
    <s v="Mobile SIM Card"/>
    <x v="0"/>
    <n v="1"/>
    <s v="Poor"/>
    <n v="44"/>
    <x v="2"/>
    <x v="16"/>
    <n v="900"/>
    <n v="19"/>
    <n v="17100"/>
    <n v="900"/>
    <n v="173.35"/>
    <x v="0"/>
    <n v="1"/>
    <n v="0"/>
    <n v="0"/>
    <n v="0"/>
  </r>
  <r>
    <s v="CUST0217"/>
    <s v="Kunle Collins"/>
    <d v="2025-02-25T00:00:00"/>
    <n v="76"/>
    <x v="3"/>
    <x v="18"/>
    <s v="4G Router"/>
    <x v="0"/>
    <n v="5"/>
    <s v="Excellent"/>
    <n v="56"/>
    <x v="2"/>
    <x v="5"/>
    <n v="4500"/>
    <n v="19"/>
    <n v="85500"/>
    <n v="4500"/>
    <n v="68.86"/>
    <x v="0"/>
    <n v="1"/>
    <n v="0"/>
    <n v="0"/>
    <n v="0"/>
  </r>
  <r>
    <s v="CUST0218"/>
    <s v="Zina Dawson"/>
    <d v="2025-01-25T00:00:00"/>
    <n v="34"/>
    <x v="0"/>
    <x v="32"/>
    <s v="5G Broadband Router"/>
    <x v="0"/>
    <n v="4"/>
    <s v="Very Good"/>
    <n v="50"/>
    <x v="2"/>
    <x v="4"/>
    <n v="9000"/>
    <n v="9"/>
    <n v="81000"/>
    <n v="9000"/>
    <n v="1.44"/>
    <x v="1"/>
    <n v="0"/>
    <n v="0"/>
    <n v="0"/>
    <n v="0"/>
  </r>
  <r>
    <s v="CUST0219"/>
    <s v="Fatima Scott"/>
    <d v="2025-01-25T00:00:00"/>
    <n v="37"/>
    <x v="2"/>
    <x v="1"/>
    <s v="Mobile SIM Card"/>
    <x v="1"/>
    <n v="2"/>
    <s v="Fair"/>
    <n v="51"/>
    <x v="2"/>
    <x v="1"/>
    <n v="5500"/>
    <n v="2"/>
    <n v="11000"/>
    <n v="5500"/>
    <n v="76.97"/>
    <x v="1"/>
    <n v="0"/>
    <n v="0"/>
    <n v="0"/>
    <n v="0"/>
  </r>
  <r>
    <s v="CUST0219"/>
    <s v="Fatima Scott"/>
    <d v="2025-01-25T00:00:00"/>
    <n v="37"/>
    <x v="2"/>
    <x v="1"/>
    <s v="4G Router"/>
    <x v="1"/>
    <n v="2"/>
    <s v="Fair"/>
    <n v="51"/>
    <x v="2"/>
    <x v="5"/>
    <n v="4500"/>
    <n v="1"/>
    <n v="4500"/>
    <n v="4500"/>
    <n v="146.27000000000001"/>
    <x v="1"/>
    <n v="0"/>
    <n v="0"/>
    <n v="0"/>
    <n v="0"/>
  </r>
  <r>
    <s v="CUST0219"/>
    <s v="Fatima Scott"/>
    <d v="2025-01-25T00:00:00"/>
    <n v="37"/>
    <x v="2"/>
    <x v="1"/>
    <s v="5G Broadband Router"/>
    <x v="1"/>
    <n v="2"/>
    <s v="Fair"/>
    <n v="51"/>
    <x v="2"/>
    <x v="18"/>
    <n v="25000"/>
    <n v="17"/>
    <n v="425000"/>
    <n v="25000"/>
    <n v="151.49"/>
    <x v="1"/>
    <n v="0"/>
    <n v="0"/>
    <n v="0"/>
    <n v="0"/>
  </r>
  <r>
    <s v="CUST0220"/>
    <s v="Bala Smith"/>
    <d v="2025-03-25T00:00:00"/>
    <n v="18"/>
    <x v="1"/>
    <x v="34"/>
    <s v="Mobile SIM Card"/>
    <x v="0"/>
    <n v="3"/>
    <s v="Good"/>
    <n v="15"/>
    <x v="1"/>
    <x v="16"/>
    <n v="900"/>
    <n v="10"/>
    <n v="9000"/>
    <n v="900"/>
    <n v="59.99"/>
    <x v="0"/>
    <n v="1"/>
    <n v="0"/>
    <n v="0"/>
    <n v="0"/>
  </r>
  <r>
    <s v="CUST0221"/>
    <s v="Zina Cochran"/>
    <d v="2025-02-25T00:00:00"/>
    <n v="59"/>
    <x v="3"/>
    <x v="0"/>
    <s v="Mobile SIM Card"/>
    <x v="0"/>
    <n v="3"/>
    <s v="Good"/>
    <n v="22"/>
    <x v="1"/>
    <x v="16"/>
    <n v="900"/>
    <n v="5"/>
    <n v="4500"/>
    <n v="900"/>
    <n v="46.07"/>
    <x v="1"/>
    <n v="0"/>
    <n v="0"/>
    <n v="0"/>
    <n v="0"/>
  </r>
  <r>
    <s v="CUST0222"/>
    <s v="Fatima Carpenter"/>
    <d v="2025-03-25T00:00:00"/>
    <n v="18"/>
    <x v="1"/>
    <x v="28"/>
    <s v="Mobile SIM Card"/>
    <x v="0"/>
    <n v="1"/>
    <s v="Poor"/>
    <n v="8"/>
    <x v="3"/>
    <x v="16"/>
    <n v="900"/>
    <n v="1"/>
    <n v="900"/>
    <n v="900"/>
    <n v="132.56"/>
    <x v="1"/>
    <n v="0"/>
    <n v="0"/>
    <n v="0"/>
    <n v="0"/>
  </r>
  <r>
    <s v="CUST0223"/>
    <s v="Sade Howell"/>
    <d v="2025-01-25T00:00:00"/>
    <n v="30"/>
    <x v="0"/>
    <x v="15"/>
    <s v="Mobile SIM Card"/>
    <x v="1"/>
    <n v="5"/>
    <s v="Excellent"/>
    <n v="25"/>
    <x v="2"/>
    <x v="9"/>
    <n v="16000"/>
    <n v="4"/>
    <n v="64000"/>
    <n v="16000"/>
    <n v="60.57"/>
    <x v="0"/>
    <n v="1"/>
    <n v="0"/>
    <n v="0"/>
    <n v="0"/>
  </r>
  <r>
    <s v="CUST0224"/>
    <s v="Sarah Stevens"/>
    <d v="2025-01-25T00:00:00"/>
    <n v="50"/>
    <x v="4"/>
    <x v="21"/>
    <s v="5G Broadband Router"/>
    <x v="1"/>
    <n v="5"/>
    <s v="Excellent"/>
    <n v="54"/>
    <x v="2"/>
    <x v="2"/>
    <n v="20000"/>
    <n v="16"/>
    <n v="320000"/>
    <n v="20000"/>
    <n v="157.06"/>
    <x v="1"/>
    <n v="0"/>
    <n v="0"/>
    <n v="0"/>
    <n v="0"/>
  </r>
  <r>
    <s v="CUST0225"/>
    <s v="Bala Cummings"/>
    <d v="2025-02-25T00:00:00"/>
    <n v="41"/>
    <x v="2"/>
    <x v="22"/>
    <s v="Mobile SIM Card"/>
    <x v="0"/>
    <n v="3"/>
    <s v="Good"/>
    <n v="23"/>
    <x v="1"/>
    <x v="0"/>
    <n v="35000"/>
    <n v="1"/>
    <n v="35000"/>
    <n v="35000"/>
    <n v="66.459999999999994"/>
    <x v="0"/>
    <n v="1"/>
    <n v="0"/>
    <n v="0"/>
    <n v="0"/>
  </r>
  <r>
    <s v="CUST0225"/>
    <s v="Bala Cummings"/>
    <d v="2025-02-25T00:00:00"/>
    <n v="41"/>
    <x v="2"/>
    <x v="22"/>
    <s v="5G Broadband Router"/>
    <x v="0"/>
    <n v="3"/>
    <s v="Good"/>
    <n v="23"/>
    <x v="1"/>
    <x v="4"/>
    <n v="9000"/>
    <n v="4"/>
    <n v="36000"/>
    <n v="9000"/>
    <n v="134.49"/>
    <x v="0"/>
    <n v="1"/>
    <n v="0"/>
    <n v="0"/>
    <n v="0"/>
  </r>
  <r>
    <s v="CUST0226"/>
    <s v="Grace Carter"/>
    <d v="2025-01-25T00:00:00"/>
    <n v="35"/>
    <x v="2"/>
    <x v="33"/>
    <s v="5G Broadband Router"/>
    <x v="0"/>
    <n v="3"/>
    <s v="Good"/>
    <n v="47"/>
    <x v="2"/>
    <x v="8"/>
    <n v="150000"/>
    <n v="6"/>
    <n v="900000"/>
    <n v="150000"/>
    <n v="10.49"/>
    <x v="1"/>
    <n v="0"/>
    <n v="0"/>
    <n v="0"/>
    <n v="0"/>
  </r>
  <r>
    <s v="CUST0226"/>
    <s v="Grace Carter"/>
    <d v="2025-01-25T00:00:00"/>
    <n v="35"/>
    <x v="2"/>
    <x v="33"/>
    <s v="4G Router"/>
    <x v="0"/>
    <n v="3"/>
    <s v="Good"/>
    <n v="47"/>
    <x v="2"/>
    <x v="9"/>
    <n v="16000"/>
    <n v="12"/>
    <n v="192000"/>
    <n v="16000"/>
    <n v="170.52"/>
    <x v="1"/>
    <n v="0"/>
    <n v="0"/>
    <n v="0"/>
    <n v="0"/>
  </r>
  <r>
    <s v="CUST0227"/>
    <s v="Ese Stewart"/>
    <d v="2025-01-25T00:00:00"/>
    <n v="70"/>
    <x v="3"/>
    <x v="27"/>
    <s v="4G Router"/>
    <x v="0"/>
    <n v="1"/>
    <s v="Poor"/>
    <n v="55"/>
    <x v="2"/>
    <x v="0"/>
    <n v="35000"/>
    <n v="9"/>
    <n v="315000"/>
    <n v="35000"/>
    <n v="191.04"/>
    <x v="1"/>
    <n v="0"/>
    <n v="0"/>
    <n v="0"/>
    <n v="0"/>
  </r>
  <r>
    <s v="CUST0227"/>
    <s v="Ese Stewart"/>
    <d v="2025-01-25T00:00:00"/>
    <n v="70"/>
    <x v="3"/>
    <x v="27"/>
    <s v="Mobile SIM Card"/>
    <x v="0"/>
    <n v="1"/>
    <s v="Poor"/>
    <n v="55"/>
    <x v="2"/>
    <x v="14"/>
    <n v="1000"/>
    <n v="11"/>
    <n v="11000"/>
    <n v="1000"/>
    <n v="74.84"/>
    <x v="1"/>
    <n v="0"/>
    <n v="0"/>
    <n v="0"/>
    <n v="0"/>
  </r>
  <r>
    <s v="CUST0227"/>
    <s v="Ese Stewart"/>
    <d v="2025-01-25T00:00:00"/>
    <n v="70"/>
    <x v="3"/>
    <x v="27"/>
    <s v="5G Broadband Router"/>
    <x v="0"/>
    <n v="1"/>
    <s v="Poor"/>
    <n v="55"/>
    <x v="2"/>
    <x v="11"/>
    <n v="30000"/>
    <n v="13"/>
    <n v="390000"/>
    <n v="30000"/>
    <n v="23.21"/>
    <x v="1"/>
    <n v="0"/>
    <n v="0"/>
    <n v="0"/>
    <n v="0"/>
  </r>
  <r>
    <s v="CUST0228"/>
    <s v="Zina Fuller"/>
    <d v="2025-02-25T00:00:00"/>
    <n v="50"/>
    <x v="4"/>
    <x v="6"/>
    <s v="Broadband MiFi"/>
    <x v="1"/>
    <n v="2"/>
    <s v="Fair"/>
    <n v="52"/>
    <x v="2"/>
    <x v="12"/>
    <n v="14500"/>
    <n v="16"/>
    <n v="232000"/>
    <n v="14500"/>
    <n v="182.29"/>
    <x v="0"/>
    <n v="1"/>
    <n v="0"/>
    <n v="0"/>
    <n v="0"/>
  </r>
  <r>
    <s v="CUST0228"/>
    <s v="Zina Fuller"/>
    <d v="2025-02-25T00:00:00"/>
    <n v="50"/>
    <x v="4"/>
    <x v="6"/>
    <s v="Mobile SIM Card"/>
    <x v="1"/>
    <n v="2"/>
    <s v="Fair"/>
    <n v="52"/>
    <x v="2"/>
    <x v="1"/>
    <n v="5500"/>
    <n v="13"/>
    <n v="71500"/>
    <n v="5500"/>
    <n v="36.659999999999997"/>
    <x v="0"/>
    <n v="1"/>
    <n v="0"/>
    <n v="0"/>
    <n v="0"/>
  </r>
  <r>
    <s v="CUST0228"/>
    <s v="Zina Fuller"/>
    <d v="2025-02-25T00:00:00"/>
    <n v="50"/>
    <x v="4"/>
    <x v="6"/>
    <s v="5G Broadband Router"/>
    <x v="1"/>
    <n v="2"/>
    <s v="Fair"/>
    <n v="52"/>
    <x v="2"/>
    <x v="18"/>
    <n v="25000"/>
    <n v="5"/>
    <n v="125000"/>
    <n v="25000"/>
    <n v="122.47"/>
    <x v="0"/>
    <n v="1"/>
    <n v="0"/>
    <n v="0"/>
    <n v="0"/>
  </r>
  <r>
    <s v="CUST0229"/>
    <s v="John Edwards"/>
    <d v="2025-01-25T00:00:00"/>
    <n v="78"/>
    <x v="3"/>
    <x v="27"/>
    <s v="Mobile SIM Card"/>
    <x v="1"/>
    <n v="1"/>
    <s v="Poor"/>
    <n v="29"/>
    <x v="2"/>
    <x v="6"/>
    <n v="9000"/>
    <n v="20"/>
    <n v="180000"/>
    <n v="9000"/>
    <n v="104.06"/>
    <x v="0"/>
    <n v="1"/>
    <n v="0"/>
    <n v="0"/>
    <n v="0"/>
  </r>
  <r>
    <s v="CUST0230"/>
    <s v="Ngozi Pierce"/>
    <d v="2025-02-25T00:00:00"/>
    <n v="71"/>
    <x v="3"/>
    <x v="7"/>
    <s v="Broadband MiFi"/>
    <x v="1"/>
    <n v="2"/>
    <s v="Fair"/>
    <n v="23"/>
    <x v="1"/>
    <x v="10"/>
    <n v="24000"/>
    <n v="16"/>
    <n v="384000"/>
    <n v="24000"/>
    <n v="169.84"/>
    <x v="1"/>
    <n v="0"/>
    <n v="0"/>
    <n v="0"/>
    <n v="0"/>
  </r>
  <r>
    <s v="CUST0230"/>
    <s v="Ngozi Pierce"/>
    <d v="2025-02-25T00:00:00"/>
    <n v="71"/>
    <x v="3"/>
    <x v="7"/>
    <s v="Mobile SIM Card"/>
    <x v="1"/>
    <n v="2"/>
    <s v="Fair"/>
    <n v="23"/>
    <x v="1"/>
    <x v="19"/>
    <n v="600"/>
    <n v="16"/>
    <n v="9600"/>
    <n v="600"/>
    <n v="15.44"/>
    <x v="1"/>
    <n v="0"/>
    <n v="0"/>
    <n v="0"/>
    <n v="0"/>
  </r>
  <r>
    <s v="CUST0230"/>
    <s v="Ngozi Pierce"/>
    <d v="2025-02-25T00:00:00"/>
    <n v="71"/>
    <x v="3"/>
    <x v="7"/>
    <s v="5G Broadband Router"/>
    <x v="1"/>
    <n v="2"/>
    <s v="Fair"/>
    <n v="23"/>
    <x v="1"/>
    <x v="18"/>
    <n v="25000"/>
    <n v="9"/>
    <n v="225000"/>
    <n v="25000"/>
    <n v="48.56"/>
    <x v="1"/>
    <n v="0"/>
    <n v="0"/>
    <n v="0"/>
    <n v="0"/>
  </r>
  <r>
    <s v="CUST0231"/>
    <s v="Sade Smith"/>
    <d v="2025-02-25T00:00:00"/>
    <n v="80"/>
    <x v="3"/>
    <x v="16"/>
    <s v="Mobile SIM Card"/>
    <x v="1"/>
    <n v="1"/>
    <s v="Poor"/>
    <n v="26"/>
    <x v="2"/>
    <x v="1"/>
    <n v="5500"/>
    <n v="16"/>
    <n v="88000"/>
    <n v="5500"/>
    <n v="63.55"/>
    <x v="1"/>
    <n v="0"/>
    <n v="0"/>
    <n v="0"/>
    <n v="0"/>
  </r>
  <r>
    <s v="CUST0231"/>
    <s v="Sade Smith"/>
    <d v="2025-02-25T00:00:00"/>
    <n v="80"/>
    <x v="3"/>
    <x v="16"/>
    <s v="Broadband MiFi"/>
    <x v="1"/>
    <n v="1"/>
    <s v="Poor"/>
    <n v="26"/>
    <x v="2"/>
    <x v="4"/>
    <n v="9000"/>
    <n v="14"/>
    <n v="126000"/>
    <n v="9000"/>
    <n v="20.98"/>
    <x v="1"/>
    <n v="0"/>
    <n v="0"/>
    <n v="0"/>
    <n v="0"/>
  </r>
  <r>
    <s v="CUST0231"/>
    <s v="Sade Smith"/>
    <d v="2025-02-25T00:00:00"/>
    <n v="80"/>
    <x v="3"/>
    <x v="16"/>
    <s v="Mobile SIM Card"/>
    <x v="1"/>
    <n v="1"/>
    <s v="Poor"/>
    <n v="26"/>
    <x v="2"/>
    <x v="9"/>
    <n v="16000"/>
    <n v="1"/>
    <n v="16000"/>
    <n v="16000"/>
    <n v="111.65"/>
    <x v="1"/>
    <n v="0"/>
    <n v="0"/>
    <n v="0"/>
    <n v="0"/>
  </r>
  <r>
    <s v="CUST0232"/>
    <s v="Chinedu Hughes"/>
    <d v="2025-02-25T00:00:00"/>
    <n v="54"/>
    <x v="4"/>
    <x v="28"/>
    <s v="4G Router"/>
    <x v="0"/>
    <n v="3"/>
    <s v="Good"/>
    <n v="42"/>
    <x v="2"/>
    <x v="0"/>
    <n v="35000"/>
    <n v="20"/>
    <n v="700000"/>
    <n v="35000"/>
    <n v="66.73"/>
    <x v="1"/>
    <n v="0"/>
    <n v="0"/>
    <n v="0"/>
    <n v="0"/>
  </r>
  <r>
    <s v="CUST0233"/>
    <s v="John Benjamin"/>
    <d v="2025-02-25T00:00:00"/>
    <n v="62"/>
    <x v="3"/>
    <x v="30"/>
    <s v="5G Broadband Router"/>
    <x v="0"/>
    <n v="1"/>
    <s v="Poor"/>
    <n v="7"/>
    <x v="3"/>
    <x v="2"/>
    <n v="20000"/>
    <n v="6"/>
    <n v="120000"/>
    <n v="20000"/>
    <n v="9.6300000000000008"/>
    <x v="1"/>
    <n v="0"/>
    <n v="0"/>
    <n v="0"/>
    <n v="0"/>
  </r>
  <r>
    <s v="CUST0233"/>
    <s v="John Benjamin"/>
    <d v="2025-02-25T00:00:00"/>
    <n v="62"/>
    <x v="3"/>
    <x v="30"/>
    <s v="Mobile SIM Card"/>
    <x v="0"/>
    <n v="1"/>
    <s v="Poor"/>
    <n v="7"/>
    <x v="3"/>
    <x v="1"/>
    <n v="5500"/>
    <n v="14"/>
    <n v="77000"/>
    <n v="5500"/>
    <n v="28.52"/>
    <x v="1"/>
    <n v="0"/>
    <n v="0"/>
    <n v="0"/>
    <n v="0"/>
  </r>
  <r>
    <s v="CUST0233"/>
    <s v="John Benjamin"/>
    <d v="2025-02-25T00:00:00"/>
    <n v="62"/>
    <x v="3"/>
    <x v="30"/>
    <s v="4G Router"/>
    <x v="0"/>
    <n v="1"/>
    <s v="Poor"/>
    <n v="7"/>
    <x v="3"/>
    <x v="9"/>
    <n v="16000"/>
    <n v="7"/>
    <n v="112000"/>
    <n v="16000"/>
    <n v="51.23"/>
    <x v="1"/>
    <n v="0"/>
    <n v="0"/>
    <n v="0"/>
    <n v="0"/>
  </r>
  <r>
    <s v="CUST0234"/>
    <s v="Bala Hardin"/>
    <d v="2025-02-25T00:00:00"/>
    <n v="31"/>
    <x v="0"/>
    <x v="10"/>
    <s v="Broadband MiFi"/>
    <x v="0"/>
    <n v="3"/>
    <s v="Good"/>
    <n v="30"/>
    <x v="2"/>
    <x v="12"/>
    <n v="14500"/>
    <n v="19"/>
    <n v="275500"/>
    <n v="14500"/>
    <n v="91.75"/>
    <x v="0"/>
    <n v="1"/>
    <n v="0"/>
    <n v="0"/>
    <n v="0"/>
  </r>
  <r>
    <s v="CUST0235"/>
    <s v="Michael Savage"/>
    <d v="2025-01-25T00:00:00"/>
    <n v="33"/>
    <x v="0"/>
    <x v="12"/>
    <s v="Mobile SIM Card"/>
    <x v="0"/>
    <n v="5"/>
    <s v="Excellent"/>
    <n v="34"/>
    <x v="2"/>
    <x v="19"/>
    <n v="600"/>
    <n v="5"/>
    <n v="3000"/>
    <n v="600"/>
    <n v="146.22999999999999"/>
    <x v="1"/>
    <n v="0"/>
    <n v="0"/>
    <n v="0"/>
    <n v="0"/>
  </r>
  <r>
    <s v="CUST0235"/>
    <s v="Michael Savage"/>
    <d v="2025-01-25T00:00:00"/>
    <n v="33"/>
    <x v="0"/>
    <x v="12"/>
    <s v="5G Broadband Router"/>
    <x v="0"/>
    <n v="5"/>
    <s v="Excellent"/>
    <n v="34"/>
    <x v="2"/>
    <x v="2"/>
    <n v="20000"/>
    <n v="20"/>
    <n v="400000"/>
    <n v="20000"/>
    <n v="77.790000000000006"/>
    <x v="1"/>
    <n v="0"/>
    <n v="0"/>
    <n v="0"/>
    <n v="0"/>
  </r>
  <r>
    <s v="CUST0235"/>
    <s v="Michael Savage"/>
    <d v="2025-01-25T00:00:00"/>
    <n v="33"/>
    <x v="0"/>
    <x v="12"/>
    <s v="Broadband MiFi"/>
    <x v="0"/>
    <n v="5"/>
    <s v="Excellent"/>
    <n v="34"/>
    <x v="2"/>
    <x v="10"/>
    <n v="24000"/>
    <n v="17"/>
    <n v="408000"/>
    <n v="24000"/>
    <n v="176.6"/>
    <x v="1"/>
    <n v="0"/>
    <n v="0"/>
    <n v="0"/>
    <n v="0"/>
  </r>
  <r>
    <s v="CUST0236"/>
    <s v="Omamuzo Stephenson"/>
    <d v="2025-03-25T00:00:00"/>
    <n v="69"/>
    <x v="3"/>
    <x v="7"/>
    <s v="Mobile SIM Card"/>
    <x v="1"/>
    <n v="3"/>
    <s v="Good"/>
    <n v="26"/>
    <x v="2"/>
    <x v="0"/>
    <n v="35000"/>
    <n v="17"/>
    <n v="595000"/>
    <n v="35000"/>
    <n v="120.7"/>
    <x v="1"/>
    <n v="0"/>
    <n v="0"/>
    <n v="0"/>
    <n v="0"/>
  </r>
  <r>
    <s v="CUST0237"/>
    <s v="Maryam Moore"/>
    <d v="2025-03-25T00:00:00"/>
    <n v="56"/>
    <x v="3"/>
    <x v="9"/>
    <s v="4G Router"/>
    <x v="0"/>
    <n v="3"/>
    <s v="Good"/>
    <n v="14"/>
    <x v="1"/>
    <x v="6"/>
    <n v="9000"/>
    <n v="12"/>
    <n v="108000"/>
    <n v="9000"/>
    <n v="142.22"/>
    <x v="1"/>
    <n v="0"/>
    <n v="0"/>
    <n v="0"/>
    <n v="0"/>
  </r>
  <r>
    <s v="CUST0238"/>
    <s v="John Patel"/>
    <d v="2025-02-25T00:00:00"/>
    <n v="69"/>
    <x v="3"/>
    <x v="11"/>
    <s v="Mobile SIM Card"/>
    <x v="1"/>
    <n v="1"/>
    <s v="Poor"/>
    <n v="57"/>
    <x v="2"/>
    <x v="19"/>
    <n v="600"/>
    <n v="2"/>
    <n v="1200"/>
    <n v="600"/>
    <n v="11.09"/>
    <x v="1"/>
    <n v="0"/>
    <n v="0"/>
    <n v="0"/>
    <n v="0"/>
  </r>
  <r>
    <s v="CUST0239"/>
    <s v="Bala Holt"/>
    <d v="2025-03-25T00:00:00"/>
    <n v="50"/>
    <x v="4"/>
    <x v="1"/>
    <s v="5G Broadband Router"/>
    <x v="1"/>
    <n v="2"/>
    <s v="Fair"/>
    <n v="44"/>
    <x v="2"/>
    <x v="18"/>
    <n v="25000"/>
    <n v="4"/>
    <n v="100000"/>
    <n v="25000"/>
    <n v="162.9"/>
    <x v="1"/>
    <n v="0"/>
    <n v="0"/>
    <n v="0"/>
    <n v="0"/>
  </r>
  <r>
    <s v="CUST0239"/>
    <s v="Bala Holt"/>
    <d v="2025-03-25T00:00:00"/>
    <n v="50"/>
    <x v="4"/>
    <x v="1"/>
    <s v="Broadband MiFi"/>
    <x v="1"/>
    <n v="2"/>
    <s v="Fair"/>
    <n v="44"/>
    <x v="2"/>
    <x v="10"/>
    <n v="24000"/>
    <n v="18"/>
    <n v="432000"/>
    <n v="24000"/>
    <n v="173.67"/>
    <x v="1"/>
    <n v="0"/>
    <n v="0"/>
    <n v="0"/>
    <n v="0"/>
  </r>
  <r>
    <s v="CUST0239"/>
    <s v="Bala Holt"/>
    <d v="2025-03-25T00:00:00"/>
    <n v="50"/>
    <x v="4"/>
    <x v="1"/>
    <s v="Mobile SIM Card"/>
    <x v="1"/>
    <n v="2"/>
    <s v="Fair"/>
    <n v="44"/>
    <x v="2"/>
    <x v="13"/>
    <n v="350"/>
    <n v="18"/>
    <n v="6300"/>
    <n v="350"/>
    <n v="148.61000000000001"/>
    <x v="1"/>
    <n v="0"/>
    <n v="0"/>
    <n v="0"/>
    <n v="0"/>
  </r>
  <r>
    <s v="CUST0240"/>
    <s v="Omamuzo Roberts"/>
    <d v="2025-01-25T00:00:00"/>
    <n v="46"/>
    <x v="4"/>
    <x v="28"/>
    <s v="5G Broadband Router"/>
    <x v="1"/>
    <n v="4"/>
    <s v="Very Good"/>
    <n v="45"/>
    <x v="2"/>
    <x v="4"/>
    <n v="9000"/>
    <n v="7"/>
    <n v="63000"/>
    <n v="9000"/>
    <n v="148.86000000000001"/>
    <x v="1"/>
    <n v="0"/>
    <n v="0"/>
    <n v="0"/>
    <n v="0"/>
  </r>
  <r>
    <s v="CUST0240"/>
    <s v="Omamuzo Roberts"/>
    <d v="2025-01-25T00:00:00"/>
    <n v="46"/>
    <x v="4"/>
    <x v="28"/>
    <s v="Mobile SIM Card"/>
    <x v="1"/>
    <n v="4"/>
    <s v="Very Good"/>
    <n v="45"/>
    <x v="2"/>
    <x v="1"/>
    <n v="5500"/>
    <n v="12"/>
    <n v="66000"/>
    <n v="5500"/>
    <n v="166.08"/>
    <x v="1"/>
    <n v="0"/>
    <n v="0"/>
    <n v="0"/>
    <n v="0"/>
  </r>
  <r>
    <s v="CUST0240"/>
    <s v="Omamuzo Roberts"/>
    <d v="2025-01-25T00:00:00"/>
    <n v="46"/>
    <x v="4"/>
    <x v="28"/>
    <s v="Broadband MiFi"/>
    <x v="1"/>
    <n v="4"/>
    <s v="Very Good"/>
    <n v="45"/>
    <x v="2"/>
    <x v="10"/>
    <n v="24000"/>
    <n v="20"/>
    <n v="480000"/>
    <n v="24000"/>
    <n v="109.55"/>
    <x v="1"/>
    <n v="0"/>
    <n v="0"/>
    <n v="0"/>
    <n v="0"/>
  </r>
  <r>
    <s v="CUST0241"/>
    <s v="Bala Calhoun"/>
    <d v="2025-01-25T00:00:00"/>
    <n v="40"/>
    <x v="2"/>
    <x v="14"/>
    <s v="Broadband MiFi"/>
    <x v="1"/>
    <n v="2"/>
    <s v="Fair"/>
    <n v="12"/>
    <x v="3"/>
    <x v="12"/>
    <n v="14500"/>
    <n v="9"/>
    <n v="130500"/>
    <n v="14500"/>
    <n v="56.18"/>
    <x v="1"/>
    <n v="0"/>
    <n v="0"/>
    <n v="0"/>
    <n v="0"/>
  </r>
  <r>
    <s v="CUST0241"/>
    <s v="Bala Calhoun"/>
    <d v="2025-01-25T00:00:00"/>
    <n v="40"/>
    <x v="2"/>
    <x v="14"/>
    <s v="4G Router"/>
    <x v="1"/>
    <n v="2"/>
    <s v="Fair"/>
    <n v="12"/>
    <x v="3"/>
    <x v="5"/>
    <n v="4500"/>
    <n v="9"/>
    <n v="40500"/>
    <n v="4500"/>
    <n v="32.61"/>
    <x v="1"/>
    <n v="0"/>
    <n v="0"/>
    <n v="0"/>
    <n v="0"/>
  </r>
  <r>
    <s v="CUST0241"/>
    <s v="Bala Calhoun"/>
    <d v="2025-01-25T00:00:00"/>
    <n v="40"/>
    <x v="2"/>
    <x v="14"/>
    <s v="Mobile SIM Card"/>
    <x v="1"/>
    <n v="2"/>
    <s v="Fair"/>
    <n v="12"/>
    <x v="3"/>
    <x v="16"/>
    <n v="900"/>
    <n v="5"/>
    <n v="4500"/>
    <n v="900"/>
    <n v="66.45"/>
    <x v="1"/>
    <n v="0"/>
    <n v="0"/>
    <n v="0"/>
    <n v="0"/>
  </r>
  <r>
    <s v="CUST0242"/>
    <s v="Bola Miller"/>
    <d v="2025-03-25T00:00:00"/>
    <n v="35"/>
    <x v="2"/>
    <x v="32"/>
    <s v="5G Broadband Router"/>
    <x v="0"/>
    <n v="4"/>
    <s v="Very Good"/>
    <n v="50"/>
    <x v="2"/>
    <x v="12"/>
    <n v="14500"/>
    <n v="17"/>
    <n v="246500"/>
    <n v="14500"/>
    <n v="191.42"/>
    <x v="1"/>
    <n v="0"/>
    <n v="0"/>
    <n v="0"/>
    <n v="0"/>
  </r>
  <r>
    <s v="CUST0242"/>
    <s v="Bola Miller"/>
    <d v="2025-03-25T00:00:00"/>
    <n v="35"/>
    <x v="2"/>
    <x v="32"/>
    <s v="Broadband MiFi"/>
    <x v="0"/>
    <n v="4"/>
    <s v="Very Good"/>
    <n v="50"/>
    <x v="2"/>
    <x v="4"/>
    <n v="9000"/>
    <n v="6"/>
    <n v="54000"/>
    <n v="9000"/>
    <n v="157.36000000000001"/>
    <x v="1"/>
    <n v="0"/>
    <n v="0"/>
    <n v="0"/>
    <n v="0"/>
  </r>
  <r>
    <s v="CUST0242"/>
    <s v="Bola Miller"/>
    <d v="2025-03-25T00:00:00"/>
    <n v="35"/>
    <x v="2"/>
    <x v="32"/>
    <s v="4G Router"/>
    <x v="0"/>
    <n v="4"/>
    <s v="Very Good"/>
    <n v="50"/>
    <x v="2"/>
    <x v="0"/>
    <n v="35000"/>
    <n v="13"/>
    <n v="455000"/>
    <n v="35000"/>
    <n v="108.84"/>
    <x v="1"/>
    <n v="0"/>
    <n v="0"/>
    <n v="0"/>
    <n v="0"/>
  </r>
  <r>
    <s v="CUST0243"/>
    <s v="Chinedu Elliott"/>
    <d v="2025-03-25T00:00:00"/>
    <n v="60"/>
    <x v="3"/>
    <x v="16"/>
    <s v="Mobile SIM Card"/>
    <x v="0"/>
    <n v="3"/>
    <s v="Good"/>
    <n v="43"/>
    <x v="2"/>
    <x v="20"/>
    <n v="6500"/>
    <n v="1"/>
    <n v="6500"/>
    <n v="6500"/>
    <n v="164.83"/>
    <x v="1"/>
    <n v="0"/>
    <n v="0"/>
    <n v="0"/>
    <n v="0"/>
  </r>
  <r>
    <s v="CUST0244"/>
    <s v="Ifeanyi Austin"/>
    <d v="2025-02-25T00:00:00"/>
    <n v="60"/>
    <x v="3"/>
    <x v="30"/>
    <s v="Mobile SIM Card"/>
    <x v="0"/>
    <n v="1"/>
    <s v="Poor"/>
    <n v="58"/>
    <x v="2"/>
    <x v="15"/>
    <n v="7500"/>
    <n v="10"/>
    <n v="75000"/>
    <n v="7500"/>
    <n v="51.69"/>
    <x v="1"/>
    <n v="0"/>
    <n v="0"/>
    <n v="0"/>
    <n v="0"/>
  </r>
  <r>
    <s v="CUST0244"/>
    <s v="Ifeanyi Austin"/>
    <d v="2025-02-25T00:00:00"/>
    <n v="60"/>
    <x v="3"/>
    <x v="30"/>
    <s v="Broadband MiFi"/>
    <x v="0"/>
    <n v="1"/>
    <s v="Poor"/>
    <n v="58"/>
    <x v="2"/>
    <x v="4"/>
    <n v="9000"/>
    <n v="12"/>
    <n v="108000"/>
    <n v="9000"/>
    <n v="182.31"/>
    <x v="1"/>
    <n v="0"/>
    <n v="0"/>
    <n v="0"/>
    <n v="0"/>
  </r>
  <r>
    <s v="CUST0245"/>
    <s v="Michael Jones"/>
    <d v="2025-02-25T00:00:00"/>
    <n v="73"/>
    <x v="3"/>
    <x v="12"/>
    <s v="4G Router"/>
    <x v="0"/>
    <n v="3"/>
    <s v="Good"/>
    <n v="19"/>
    <x v="1"/>
    <x v="9"/>
    <n v="16000"/>
    <n v="7"/>
    <n v="112000"/>
    <n v="16000"/>
    <n v="125.57"/>
    <x v="1"/>
    <n v="0"/>
    <n v="0"/>
    <n v="0"/>
    <n v="0"/>
  </r>
  <r>
    <s v="CUST0246"/>
    <s v="Fatima Foster"/>
    <d v="2025-02-25T00:00:00"/>
    <n v="70"/>
    <x v="3"/>
    <x v="13"/>
    <s v="Broadband MiFi"/>
    <x v="0"/>
    <n v="1"/>
    <s v="Poor"/>
    <n v="35"/>
    <x v="2"/>
    <x v="12"/>
    <n v="14500"/>
    <n v="2"/>
    <n v="29000"/>
    <n v="14500"/>
    <n v="143.52000000000001"/>
    <x v="1"/>
    <n v="0"/>
    <n v="0"/>
    <n v="0"/>
    <n v="0"/>
  </r>
  <r>
    <s v="CUST0247"/>
    <s v="Chinedu Yates"/>
    <d v="2025-03-25T00:00:00"/>
    <n v="25"/>
    <x v="0"/>
    <x v="4"/>
    <s v="5G Broadband Router"/>
    <x v="0"/>
    <n v="5"/>
    <s v="Excellent"/>
    <n v="51"/>
    <x v="2"/>
    <x v="17"/>
    <n v="75000"/>
    <n v="13"/>
    <n v="975000"/>
    <n v="75000"/>
    <n v="77.91"/>
    <x v="0"/>
    <n v="1"/>
    <n v="0"/>
    <n v="0"/>
    <n v="0"/>
  </r>
  <r>
    <s v="CUST0248"/>
    <s v="Boma Peterson"/>
    <d v="2025-01-25T00:00:00"/>
    <n v="56"/>
    <x v="3"/>
    <x v="17"/>
    <s v="Broadband MiFi"/>
    <x v="1"/>
    <n v="5"/>
    <s v="Excellent"/>
    <n v="44"/>
    <x v="2"/>
    <x v="4"/>
    <n v="9000"/>
    <n v="17"/>
    <n v="153000"/>
    <n v="9000"/>
    <n v="71.86"/>
    <x v="0"/>
    <n v="1"/>
    <n v="0"/>
    <n v="0"/>
    <n v="0"/>
  </r>
  <r>
    <s v="CUST0248"/>
    <s v="Boma Peterson"/>
    <d v="2025-01-25T00:00:00"/>
    <n v="56"/>
    <x v="3"/>
    <x v="17"/>
    <s v="5G Broadband Router"/>
    <x v="1"/>
    <n v="5"/>
    <s v="Excellent"/>
    <n v="44"/>
    <x v="2"/>
    <x v="2"/>
    <n v="20000"/>
    <n v="10"/>
    <n v="200000"/>
    <n v="20000"/>
    <n v="58.32"/>
    <x v="0"/>
    <n v="1"/>
    <n v="0"/>
    <n v="0"/>
    <n v="0"/>
  </r>
  <r>
    <s v="CUST0248"/>
    <s v="Boma Peterson"/>
    <d v="2025-01-25T00:00:00"/>
    <n v="56"/>
    <x v="3"/>
    <x v="17"/>
    <s v="Mobile SIM Card"/>
    <x v="1"/>
    <n v="5"/>
    <s v="Excellent"/>
    <n v="44"/>
    <x v="2"/>
    <x v="14"/>
    <n v="1000"/>
    <n v="15"/>
    <n v="15000"/>
    <n v="1000"/>
    <n v="56.66"/>
    <x v="0"/>
    <n v="1"/>
    <n v="0"/>
    <n v="0"/>
    <n v="0"/>
  </r>
  <r>
    <s v="CUST0249"/>
    <s v="Omamuzo Jones"/>
    <d v="2025-02-25T00:00:00"/>
    <n v="66"/>
    <x v="3"/>
    <x v="17"/>
    <s v="5G Broadband Router"/>
    <x v="1"/>
    <n v="2"/>
    <s v="Fair"/>
    <n v="11"/>
    <x v="3"/>
    <x v="10"/>
    <n v="24000"/>
    <n v="12"/>
    <n v="288000"/>
    <n v="24000"/>
    <n v="135.62"/>
    <x v="1"/>
    <n v="0"/>
    <n v="0"/>
    <n v="0"/>
    <n v="0"/>
  </r>
  <r>
    <s v="CUST0249"/>
    <s v="Omamuzo Jones"/>
    <d v="2025-02-25T00:00:00"/>
    <n v="66"/>
    <x v="3"/>
    <x v="17"/>
    <s v="Mobile SIM Card"/>
    <x v="1"/>
    <n v="2"/>
    <s v="Fair"/>
    <n v="11"/>
    <x v="3"/>
    <x v="16"/>
    <n v="900"/>
    <n v="18"/>
    <n v="16200"/>
    <n v="900"/>
    <n v="110.93"/>
    <x v="1"/>
    <n v="0"/>
    <n v="0"/>
    <n v="0"/>
    <n v="0"/>
  </r>
  <r>
    <s v="CUST0249"/>
    <s v="Omamuzo Jones"/>
    <d v="2025-02-25T00:00:00"/>
    <n v="66"/>
    <x v="3"/>
    <x v="17"/>
    <s v="Broadband MiFi"/>
    <x v="1"/>
    <n v="2"/>
    <s v="Fair"/>
    <n v="11"/>
    <x v="3"/>
    <x v="2"/>
    <n v="20000"/>
    <n v="1"/>
    <n v="20000"/>
    <n v="20000"/>
    <n v="25.09"/>
    <x v="1"/>
    <n v="0"/>
    <n v="0"/>
    <n v="0"/>
    <n v="0"/>
  </r>
  <r>
    <s v="CUST0250"/>
    <s v="Tamuno Lawrence"/>
    <d v="2025-03-25T00:00:00"/>
    <n v="26"/>
    <x v="0"/>
    <x v="24"/>
    <s v="4G Router"/>
    <x v="0"/>
    <n v="2"/>
    <s v="Fair"/>
    <n v="48"/>
    <x v="2"/>
    <x v="5"/>
    <n v="4500"/>
    <n v="9"/>
    <n v="40500"/>
    <n v="4500"/>
    <n v="123.57"/>
    <x v="1"/>
    <n v="0"/>
    <n v="0"/>
    <n v="0"/>
    <n v="0"/>
  </r>
  <r>
    <s v="CUST0250"/>
    <s v="Tamuno Lawrence"/>
    <d v="2025-03-25T00:00:00"/>
    <n v="26"/>
    <x v="0"/>
    <x v="24"/>
    <s v="Broadband MiFi"/>
    <x v="0"/>
    <n v="2"/>
    <s v="Fair"/>
    <n v="48"/>
    <x v="2"/>
    <x v="2"/>
    <n v="20000"/>
    <n v="19"/>
    <n v="380000"/>
    <n v="20000"/>
    <n v="23.37"/>
    <x v="1"/>
    <n v="0"/>
    <n v="0"/>
    <n v="0"/>
    <n v="0"/>
  </r>
  <r>
    <s v="CUST0250"/>
    <s v="Tamuno Lawrence"/>
    <d v="2025-03-25T00:00:00"/>
    <n v="26"/>
    <x v="0"/>
    <x v="24"/>
    <s v="5G Broadband Router"/>
    <x v="0"/>
    <n v="2"/>
    <s v="Fair"/>
    <n v="48"/>
    <x v="2"/>
    <x v="4"/>
    <n v="9000"/>
    <n v="18"/>
    <n v="162000"/>
    <n v="9000"/>
    <n v="170.35"/>
    <x v="1"/>
    <n v="0"/>
    <n v="0"/>
    <n v="0"/>
    <n v="0"/>
  </r>
  <r>
    <s v="CUST0251"/>
    <s v="Zina Nicholson"/>
    <d v="2025-01-25T00:00:00"/>
    <n v="25"/>
    <x v="0"/>
    <x v="14"/>
    <s v="5G Broadband Router"/>
    <x v="0"/>
    <n v="2"/>
    <s v="Fair"/>
    <n v="17"/>
    <x v="1"/>
    <x v="11"/>
    <n v="30000"/>
    <n v="8"/>
    <n v="240000"/>
    <n v="30000"/>
    <n v="134.41999999999999"/>
    <x v="1"/>
    <n v="0"/>
    <n v="0"/>
    <n v="0"/>
    <n v="0"/>
  </r>
  <r>
    <s v="CUST0251"/>
    <s v="Zina Nicholson"/>
    <d v="2025-01-25T00:00:00"/>
    <n v="25"/>
    <x v="0"/>
    <x v="14"/>
    <s v="4G Router"/>
    <x v="0"/>
    <n v="2"/>
    <s v="Fair"/>
    <n v="17"/>
    <x v="1"/>
    <x v="9"/>
    <n v="16000"/>
    <n v="3"/>
    <n v="48000"/>
    <n v="16000"/>
    <n v="57.38"/>
    <x v="1"/>
    <n v="0"/>
    <n v="0"/>
    <n v="0"/>
    <n v="0"/>
  </r>
  <r>
    <s v="CUST0252"/>
    <s v="Bala Graham"/>
    <d v="2025-03-25T00:00:00"/>
    <n v="56"/>
    <x v="3"/>
    <x v="12"/>
    <s v="5G Broadband Router"/>
    <x v="1"/>
    <n v="5"/>
    <s v="Excellent"/>
    <n v="22"/>
    <x v="1"/>
    <x v="11"/>
    <n v="30000"/>
    <n v="8"/>
    <n v="240000"/>
    <n v="30000"/>
    <n v="1.46"/>
    <x v="0"/>
    <n v="1"/>
    <n v="0"/>
    <n v="0"/>
    <n v="0"/>
  </r>
  <r>
    <s v="CUST0252"/>
    <s v="Bala Graham"/>
    <d v="2025-03-25T00:00:00"/>
    <n v="56"/>
    <x v="3"/>
    <x v="12"/>
    <s v="Mobile SIM Card"/>
    <x v="1"/>
    <n v="5"/>
    <s v="Excellent"/>
    <n v="22"/>
    <x v="1"/>
    <x v="5"/>
    <n v="4500"/>
    <n v="14"/>
    <n v="63000"/>
    <n v="4500"/>
    <n v="142.58000000000001"/>
    <x v="0"/>
    <n v="1"/>
    <n v="0"/>
    <n v="0"/>
    <n v="0"/>
  </r>
  <r>
    <s v="CUST0253"/>
    <s v="Zainab Blackwell"/>
    <d v="2025-02-25T00:00:00"/>
    <n v="62"/>
    <x v="3"/>
    <x v="21"/>
    <s v="Mobile SIM Card"/>
    <x v="1"/>
    <n v="4"/>
    <s v="Very Good"/>
    <n v="57"/>
    <x v="2"/>
    <x v="14"/>
    <n v="1000"/>
    <n v="20"/>
    <n v="20000"/>
    <n v="1000"/>
    <n v="35.57"/>
    <x v="1"/>
    <n v="0"/>
    <n v="0"/>
    <n v="0"/>
    <n v="0"/>
  </r>
  <r>
    <s v="CUST0253"/>
    <s v="Zainab Blackwell"/>
    <d v="2025-02-25T00:00:00"/>
    <n v="62"/>
    <x v="3"/>
    <x v="21"/>
    <s v="5G Broadband Router"/>
    <x v="1"/>
    <n v="4"/>
    <s v="Very Good"/>
    <n v="57"/>
    <x v="2"/>
    <x v="2"/>
    <n v="20000"/>
    <n v="5"/>
    <n v="100000"/>
    <n v="20000"/>
    <n v="168.44"/>
    <x v="1"/>
    <n v="0"/>
    <n v="0"/>
    <n v="0"/>
    <n v="0"/>
  </r>
  <r>
    <s v="CUST0254"/>
    <s v="David Rodriguez"/>
    <d v="2025-01-25T00:00:00"/>
    <n v="41"/>
    <x v="2"/>
    <x v="22"/>
    <s v="Broadband MiFi"/>
    <x v="0"/>
    <n v="1"/>
    <s v="Poor"/>
    <n v="47"/>
    <x v="2"/>
    <x v="10"/>
    <n v="24000"/>
    <n v="2"/>
    <n v="48000"/>
    <n v="24000"/>
    <n v="42.95"/>
    <x v="1"/>
    <n v="0"/>
    <n v="0"/>
    <n v="0"/>
    <n v="0"/>
  </r>
  <r>
    <s v="CUST0254"/>
    <s v="David Rodriguez"/>
    <d v="2025-01-25T00:00:00"/>
    <n v="41"/>
    <x v="2"/>
    <x v="22"/>
    <s v="5G Broadband Router"/>
    <x v="0"/>
    <n v="1"/>
    <s v="Poor"/>
    <n v="47"/>
    <x v="2"/>
    <x v="10"/>
    <n v="24000"/>
    <n v="18"/>
    <n v="432000"/>
    <n v="24000"/>
    <n v="108.92"/>
    <x v="1"/>
    <n v="0"/>
    <n v="0"/>
    <n v="0"/>
    <n v="0"/>
  </r>
  <r>
    <s v="CUST0254"/>
    <s v="David Rodriguez"/>
    <d v="2025-01-25T00:00:00"/>
    <n v="41"/>
    <x v="2"/>
    <x v="22"/>
    <s v="4G Router"/>
    <x v="0"/>
    <n v="1"/>
    <s v="Poor"/>
    <n v="47"/>
    <x v="2"/>
    <x v="0"/>
    <n v="35000"/>
    <n v="5"/>
    <n v="175000"/>
    <n v="35000"/>
    <n v="130.94999999999999"/>
    <x v="1"/>
    <n v="0"/>
    <n v="0"/>
    <n v="0"/>
    <n v="0"/>
  </r>
  <r>
    <s v="CUST0255"/>
    <s v="Ejiro Miller"/>
    <d v="2025-02-25T00:00:00"/>
    <n v="66"/>
    <x v="3"/>
    <x v="16"/>
    <s v="5G Broadband Router"/>
    <x v="1"/>
    <n v="5"/>
    <s v="Excellent"/>
    <n v="9"/>
    <x v="3"/>
    <x v="4"/>
    <n v="9000"/>
    <n v="20"/>
    <n v="180000"/>
    <n v="9000"/>
    <n v="132.69999999999999"/>
    <x v="1"/>
    <n v="0"/>
    <n v="0"/>
    <n v="0"/>
    <n v="0"/>
  </r>
  <r>
    <s v="CUST0255"/>
    <s v="Ejiro Miller"/>
    <d v="2025-02-25T00:00:00"/>
    <n v="66"/>
    <x v="3"/>
    <x v="16"/>
    <s v="Mobile SIM Card"/>
    <x v="1"/>
    <n v="5"/>
    <s v="Excellent"/>
    <n v="9"/>
    <x v="3"/>
    <x v="19"/>
    <n v="600"/>
    <n v="5"/>
    <n v="3000"/>
    <n v="600"/>
    <n v="151.56"/>
    <x v="1"/>
    <n v="0"/>
    <n v="0"/>
    <n v="0"/>
    <n v="0"/>
  </r>
  <r>
    <s v="CUST0256"/>
    <s v="Alabo Smith"/>
    <d v="2025-02-25T00:00:00"/>
    <n v="36"/>
    <x v="2"/>
    <x v="20"/>
    <s v="4G Router"/>
    <x v="0"/>
    <n v="3"/>
    <s v="Good"/>
    <n v="48"/>
    <x v="2"/>
    <x v="6"/>
    <n v="9000"/>
    <n v="2"/>
    <n v="18000"/>
    <n v="9000"/>
    <n v="74.2"/>
    <x v="0"/>
    <n v="1"/>
    <n v="0"/>
    <n v="0"/>
    <n v="0"/>
  </r>
  <r>
    <s v="CUST0256"/>
    <s v="Alabo Smith"/>
    <d v="2025-02-25T00:00:00"/>
    <n v="36"/>
    <x v="2"/>
    <x v="20"/>
    <s v="Broadband MiFi"/>
    <x v="0"/>
    <n v="3"/>
    <s v="Good"/>
    <n v="48"/>
    <x v="2"/>
    <x v="2"/>
    <n v="20000"/>
    <n v="12"/>
    <n v="240000"/>
    <n v="20000"/>
    <n v="103.82"/>
    <x v="0"/>
    <n v="1"/>
    <n v="0"/>
    <n v="0"/>
    <n v="0"/>
  </r>
  <r>
    <s v="CUST0257"/>
    <s v="Omamuzo Smith"/>
    <d v="2025-03-25T00:00:00"/>
    <n v="76"/>
    <x v="3"/>
    <x v="2"/>
    <s v="5G Broadband Router"/>
    <x v="0"/>
    <n v="1"/>
    <s v="Poor"/>
    <n v="3"/>
    <x v="0"/>
    <x v="11"/>
    <n v="30000"/>
    <n v="13"/>
    <n v="390000"/>
    <n v="30000"/>
    <n v="75.64"/>
    <x v="1"/>
    <n v="0"/>
    <n v="0"/>
    <n v="0"/>
    <n v="0"/>
  </r>
  <r>
    <s v="CUST0257"/>
    <s v="Omamuzo Smith"/>
    <d v="2025-03-25T00:00:00"/>
    <n v="76"/>
    <x v="3"/>
    <x v="2"/>
    <s v="Mobile SIM Card"/>
    <x v="0"/>
    <n v="1"/>
    <s v="Poor"/>
    <n v="3"/>
    <x v="0"/>
    <x v="7"/>
    <n v="3500"/>
    <n v="3"/>
    <n v="10500"/>
    <n v="3500"/>
    <n v="117.74"/>
    <x v="1"/>
    <n v="0"/>
    <n v="0"/>
    <n v="0"/>
    <n v="0"/>
  </r>
  <r>
    <s v="CUST0257"/>
    <s v="Omamuzo Smith"/>
    <d v="2025-03-25T00:00:00"/>
    <n v="76"/>
    <x v="3"/>
    <x v="2"/>
    <s v="4G Router"/>
    <x v="0"/>
    <n v="1"/>
    <s v="Poor"/>
    <n v="3"/>
    <x v="0"/>
    <x v="6"/>
    <n v="9000"/>
    <n v="8"/>
    <n v="72000"/>
    <n v="9000"/>
    <n v="75.58"/>
    <x v="1"/>
    <n v="0"/>
    <n v="0"/>
    <n v="0"/>
    <n v="0"/>
  </r>
  <r>
    <s v="CUST0258"/>
    <s v="Sarah Munoz"/>
    <d v="2025-02-25T00:00:00"/>
    <n v="67"/>
    <x v="3"/>
    <x v="25"/>
    <s v="Mobile SIM Card"/>
    <x v="1"/>
    <n v="5"/>
    <s v="Excellent"/>
    <n v="32"/>
    <x v="2"/>
    <x v="9"/>
    <n v="16000"/>
    <n v="9"/>
    <n v="144000"/>
    <n v="16000"/>
    <n v="103.15"/>
    <x v="0"/>
    <n v="1"/>
    <n v="0"/>
    <n v="0"/>
    <n v="0"/>
  </r>
  <r>
    <s v="CUST0258"/>
    <s v="Sarah Munoz"/>
    <d v="2025-02-25T00:00:00"/>
    <n v="67"/>
    <x v="3"/>
    <x v="25"/>
    <s v="Broadband MiFi"/>
    <x v="1"/>
    <n v="5"/>
    <s v="Excellent"/>
    <n v="32"/>
    <x v="2"/>
    <x v="2"/>
    <n v="20000"/>
    <n v="6"/>
    <n v="120000"/>
    <n v="20000"/>
    <n v="30.47"/>
    <x v="0"/>
    <n v="1"/>
    <n v="0"/>
    <n v="0"/>
    <n v="0"/>
  </r>
  <r>
    <s v="CUST0259"/>
    <s v="Ejiro Collins"/>
    <d v="2025-03-25T00:00:00"/>
    <n v="31"/>
    <x v="0"/>
    <x v="16"/>
    <s v="Mobile SIM Card"/>
    <x v="1"/>
    <n v="1"/>
    <s v="Poor"/>
    <n v="52"/>
    <x v="2"/>
    <x v="19"/>
    <n v="600"/>
    <n v="14"/>
    <n v="8400"/>
    <n v="600"/>
    <n v="129.63"/>
    <x v="1"/>
    <n v="0"/>
    <n v="0"/>
    <n v="0"/>
    <n v="0"/>
  </r>
  <r>
    <s v="CUST0259"/>
    <s v="Ejiro Collins"/>
    <d v="2025-03-25T00:00:00"/>
    <n v="31"/>
    <x v="0"/>
    <x v="16"/>
    <s v="Broadband MiFi"/>
    <x v="1"/>
    <n v="1"/>
    <s v="Poor"/>
    <n v="52"/>
    <x v="2"/>
    <x v="4"/>
    <n v="9000"/>
    <n v="5"/>
    <n v="45000"/>
    <n v="9000"/>
    <n v="49.11"/>
    <x v="1"/>
    <n v="0"/>
    <n v="0"/>
    <n v="0"/>
    <n v="0"/>
  </r>
  <r>
    <s v="CUST0260"/>
    <s v="Amina Johns"/>
    <d v="2025-02-25T00:00:00"/>
    <n v="33"/>
    <x v="0"/>
    <x v="28"/>
    <s v="Mobile SIM Card"/>
    <x v="0"/>
    <n v="1"/>
    <s v="Poor"/>
    <n v="58"/>
    <x v="2"/>
    <x v="3"/>
    <n v="500"/>
    <n v="7"/>
    <n v="3500"/>
    <n v="500"/>
    <n v="189.48"/>
    <x v="0"/>
    <n v="1"/>
    <n v="0"/>
    <n v="0"/>
    <n v="0"/>
  </r>
  <r>
    <s v="CUST0260"/>
    <s v="Amina Johns"/>
    <d v="2025-02-25T00:00:00"/>
    <n v="33"/>
    <x v="0"/>
    <x v="28"/>
    <s v="5G Broadband Router"/>
    <x v="0"/>
    <n v="1"/>
    <s v="Poor"/>
    <n v="58"/>
    <x v="2"/>
    <x v="8"/>
    <n v="150000"/>
    <n v="16"/>
    <n v="2400000"/>
    <n v="150000"/>
    <n v="121.5"/>
    <x v="0"/>
    <n v="1"/>
    <n v="0"/>
    <n v="0"/>
    <n v="0"/>
  </r>
  <r>
    <s v="CUST0260"/>
    <s v="Amina Johns"/>
    <d v="2025-02-25T00:00:00"/>
    <n v="33"/>
    <x v="0"/>
    <x v="28"/>
    <s v="Broadband MiFi"/>
    <x v="0"/>
    <n v="1"/>
    <s v="Poor"/>
    <n v="58"/>
    <x v="2"/>
    <x v="12"/>
    <n v="14500"/>
    <n v="14"/>
    <n v="203000"/>
    <n v="14500"/>
    <n v="34.53"/>
    <x v="0"/>
    <n v="1"/>
    <n v="0"/>
    <n v="0"/>
    <n v="0"/>
  </r>
  <r>
    <s v="CUST0261"/>
    <s v="Obinna Simon"/>
    <d v="2025-03-25T00:00:00"/>
    <n v="39"/>
    <x v="2"/>
    <x v="28"/>
    <s v="4G Router"/>
    <x v="1"/>
    <n v="4"/>
    <s v="Very Good"/>
    <n v="11"/>
    <x v="3"/>
    <x v="0"/>
    <n v="35000"/>
    <n v="4"/>
    <n v="140000"/>
    <n v="35000"/>
    <n v="77.400000000000006"/>
    <x v="1"/>
    <n v="0"/>
    <n v="0"/>
    <n v="0"/>
    <n v="0"/>
  </r>
  <r>
    <s v="CUST0262"/>
    <s v="Funke Alexander"/>
    <d v="2025-02-25T00:00:00"/>
    <n v="41"/>
    <x v="2"/>
    <x v="8"/>
    <s v="Broadband MiFi"/>
    <x v="1"/>
    <n v="5"/>
    <s v="Excellent"/>
    <n v="53"/>
    <x v="2"/>
    <x v="4"/>
    <n v="9000"/>
    <n v="5"/>
    <n v="45000"/>
    <n v="9000"/>
    <n v="96.71"/>
    <x v="0"/>
    <n v="1"/>
    <n v="0"/>
    <n v="0"/>
    <n v="0"/>
  </r>
  <r>
    <s v="CUST0262"/>
    <s v="Funke Alexander"/>
    <d v="2025-02-25T00:00:00"/>
    <n v="41"/>
    <x v="2"/>
    <x v="8"/>
    <s v="5G Broadband Router"/>
    <x v="1"/>
    <n v="5"/>
    <s v="Excellent"/>
    <n v="53"/>
    <x v="2"/>
    <x v="4"/>
    <n v="9000"/>
    <n v="14"/>
    <n v="126000"/>
    <n v="9000"/>
    <n v="179.45"/>
    <x v="0"/>
    <n v="1"/>
    <n v="0"/>
    <n v="0"/>
    <n v="0"/>
  </r>
  <r>
    <s v="CUST0262"/>
    <s v="Funke Alexander"/>
    <d v="2025-02-25T00:00:00"/>
    <n v="41"/>
    <x v="2"/>
    <x v="8"/>
    <s v="Mobile SIM Card"/>
    <x v="1"/>
    <n v="5"/>
    <s v="Excellent"/>
    <n v="53"/>
    <x v="2"/>
    <x v="20"/>
    <n v="6500"/>
    <n v="2"/>
    <n v="13000"/>
    <n v="6500"/>
    <n v="84.43"/>
    <x v="0"/>
    <n v="1"/>
    <n v="0"/>
    <n v="0"/>
    <n v="0"/>
  </r>
  <r>
    <s v="CUST0263"/>
    <s v="Sarah Fritz"/>
    <d v="2025-02-25T00:00:00"/>
    <n v="70"/>
    <x v="3"/>
    <x v="16"/>
    <s v="Broadband MiFi"/>
    <x v="1"/>
    <n v="3"/>
    <s v="Good"/>
    <n v="51"/>
    <x v="2"/>
    <x v="11"/>
    <n v="30000"/>
    <n v="8"/>
    <n v="240000"/>
    <n v="30000"/>
    <n v="95.69"/>
    <x v="1"/>
    <n v="0"/>
    <n v="0"/>
    <n v="0"/>
    <n v="0"/>
  </r>
  <r>
    <s v="CUST0263"/>
    <s v="Sarah Fritz"/>
    <d v="2025-02-25T00:00:00"/>
    <n v="70"/>
    <x v="3"/>
    <x v="16"/>
    <s v="4G Router"/>
    <x v="1"/>
    <n v="3"/>
    <s v="Good"/>
    <n v="51"/>
    <x v="2"/>
    <x v="9"/>
    <n v="16000"/>
    <n v="18"/>
    <n v="288000"/>
    <n v="16000"/>
    <n v="57.01"/>
    <x v="1"/>
    <n v="0"/>
    <n v="0"/>
    <n v="0"/>
    <n v="0"/>
  </r>
  <r>
    <s v="CUST0263"/>
    <s v="Sarah Fritz"/>
    <d v="2025-02-25T00:00:00"/>
    <n v="70"/>
    <x v="3"/>
    <x v="16"/>
    <s v="Mobile SIM Card"/>
    <x v="1"/>
    <n v="3"/>
    <s v="Good"/>
    <n v="51"/>
    <x v="2"/>
    <x v="15"/>
    <n v="7500"/>
    <n v="1"/>
    <n v="7500"/>
    <n v="7500"/>
    <n v="51.93"/>
    <x v="1"/>
    <n v="0"/>
    <n v="0"/>
    <n v="0"/>
    <n v="0"/>
  </r>
  <r>
    <s v="CUST0264"/>
    <s v="Tunde Smith"/>
    <d v="2025-02-25T00:00:00"/>
    <n v="31"/>
    <x v="0"/>
    <x v="8"/>
    <s v="Mobile SIM Card"/>
    <x v="0"/>
    <n v="3"/>
    <s v="Good"/>
    <n v="25"/>
    <x v="2"/>
    <x v="0"/>
    <n v="35000"/>
    <n v="9"/>
    <n v="315000"/>
    <n v="35000"/>
    <n v="130.49"/>
    <x v="1"/>
    <n v="0"/>
    <n v="0"/>
    <n v="0"/>
    <n v="0"/>
  </r>
  <r>
    <s v="CUST0265"/>
    <s v="Saidu Martinez"/>
    <d v="2025-02-25T00:00:00"/>
    <n v="70"/>
    <x v="3"/>
    <x v="3"/>
    <s v="Mobile SIM Card"/>
    <x v="1"/>
    <n v="2"/>
    <s v="Fair"/>
    <n v="44"/>
    <x v="2"/>
    <x v="20"/>
    <n v="6500"/>
    <n v="9"/>
    <n v="58500"/>
    <n v="6500"/>
    <n v="111.2"/>
    <x v="1"/>
    <n v="0"/>
    <n v="0"/>
    <n v="0"/>
    <n v="0"/>
  </r>
  <r>
    <s v="CUST0265"/>
    <s v="Saidu Martinez"/>
    <d v="2025-02-25T00:00:00"/>
    <n v="70"/>
    <x v="3"/>
    <x v="3"/>
    <s v="Broadband MiFi"/>
    <x v="1"/>
    <n v="2"/>
    <s v="Fair"/>
    <n v="44"/>
    <x v="2"/>
    <x v="11"/>
    <n v="30000"/>
    <n v="13"/>
    <n v="390000"/>
    <n v="30000"/>
    <n v="115.74"/>
    <x v="1"/>
    <n v="0"/>
    <n v="0"/>
    <n v="0"/>
    <n v="0"/>
  </r>
  <r>
    <s v="CUST0265"/>
    <s v="Saidu Martinez"/>
    <d v="2025-02-25T00:00:00"/>
    <n v="70"/>
    <x v="3"/>
    <x v="3"/>
    <s v="4G Router"/>
    <x v="1"/>
    <n v="2"/>
    <s v="Fair"/>
    <n v="44"/>
    <x v="2"/>
    <x v="5"/>
    <n v="4500"/>
    <n v="4"/>
    <n v="18000"/>
    <n v="4500"/>
    <n v="171.07"/>
    <x v="1"/>
    <n v="0"/>
    <n v="0"/>
    <n v="0"/>
    <n v="0"/>
  </r>
  <r>
    <s v="CUST0266"/>
    <s v="Nura Hunter"/>
    <d v="2025-02-25T00:00:00"/>
    <n v="73"/>
    <x v="3"/>
    <x v="1"/>
    <s v="Broadband MiFi"/>
    <x v="0"/>
    <n v="3"/>
    <s v="Good"/>
    <n v="14"/>
    <x v="1"/>
    <x v="4"/>
    <n v="9000"/>
    <n v="5"/>
    <n v="45000"/>
    <n v="9000"/>
    <n v="160.97"/>
    <x v="1"/>
    <n v="0"/>
    <n v="0"/>
    <n v="0"/>
    <n v="0"/>
  </r>
  <r>
    <s v="CUST0266"/>
    <s v="Nura Hunter"/>
    <d v="2025-02-25T00:00:00"/>
    <n v="73"/>
    <x v="3"/>
    <x v="1"/>
    <s v="Mobile SIM Card"/>
    <x v="0"/>
    <n v="3"/>
    <s v="Good"/>
    <n v="14"/>
    <x v="1"/>
    <x v="1"/>
    <n v="5500"/>
    <n v="14"/>
    <n v="77000"/>
    <n v="5500"/>
    <n v="185.21"/>
    <x v="1"/>
    <n v="0"/>
    <n v="0"/>
    <n v="0"/>
    <n v="0"/>
  </r>
  <r>
    <s v="CUST0266"/>
    <s v="Nura Hunter"/>
    <d v="2025-02-25T00:00:00"/>
    <n v="73"/>
    <x v="3"/>
    <x v="1"/>
    <s v="4G Router"/>
    <x v="0"/>
    <n v="3"/>
    <s v="Good"/>
    <n v="14"/>
    <x v="1"/>
    <x v="9"/>
    <n v="16000"/>
    <n v="8"/>
    <n v="128000"/>
    <n v="16000"/>
    <n v="13.28"/>
    <x v="1"/>
    <n v="0"/>
    <n v="0"/>
    <n v="0"/>
    <n v="0"/>
  </r>
  <r>
    <s v="CUST0267"/>
    <s v="Ejiro Mendoza"/>
    <d v="2025-02-25T00:00:00"/>
    <n v="26"/>
    <x v="0"/>
    <x v="19"/>
    <s v="Broadband MiFi"/>
    <x v="1"/>
    <n v="5"/>
    <s v="Excellent"/>
    <n v="60"/>
    <x v="2"/>
    <x v="12"/>
    <n v="14500"/>
    <n v="7"/>
    <n v="101500"/>
    <n v="14500"/>
    <n v="88.07"/>
    <x v="1"/>
    <n v="0"/>
    <n v="0"/>
    <n v="0"/>
    <n v="0"/>
  </r>
  <r>
    <s v="CUST0267"/>
    <s v="Ejiro Mendoza"/>
    <d v="2025-02-25T00:00:00"/>
    <n v="26"/>
    <x v="0"/>
    <x v="19"/>
    <s v="Mobile SIM Card"/>
    <x v="1"/>
    <n v="5"/>
    <s v="Excellent"/>
    <n v="60"/>
    <x v="2"/>
    <x v="20"/>
    <n v="6500"/>
    <n v="2"/>
    <n v="13000"/>
    <n v="6500"/>
    <n v="57.56"/>
    <x v="1"/>
    <n v="0"/>
    <n v="0"/>
    <n v="0"/>
    <n v="0"/>
  </r>
  <r>
    <s v="CUST0268"/>
    <s v="Michael Peterson"/>
    <d v="2025-02-25T00:00:00"/>
    <n v="45"/>
    <x v="4"/>
    <x v="1"/>
    <s v="5G Broadband Router"/>
    <x v="0"/>
    <n v="1"/>
    <s v="Poor"/>
    <n v="24"/>
    <x v="1"/>
    <x v="17"/>
    <n v="75000"/>
    <n v="13"/>
    <n v="975000"/>
    <n v="75000"/>
    <n v="70.95"/>
    <x v="1"/>
    <n v="0"/>
    <n v="0"/>
    <n v="0"/>
    <n v="0"/>
  </r>
  <r>
    <s v="CUST0269"/>
    <s v="Tamuno Diaz"/>
    <d v="2025-01-25T00:00:00"/>
    <n v="41"/>
    <x v="2"/>
    <x v="8"/>
    <s v="5G Broadband Router"/>
    <x v="0"/>
    <n v="1"/>
    <s v="Poor"/>
    <n v="48"/>
    <x v="2"/>
    <x v="12"/>
    <n v="14500"/>
    <n v="7"/>
    <n v="101500"/>
    <n v="14500"/>
    <n v="121.47"/>
    <x v="1"/>
    <n v="0"/>
    <n v="0"/>
    <n v="0"/>
    <n v="0"/>
  </r>
  <r>
    <s v="CUST0269"/>
    <s v="Tamuno Diaz"/>
    <d v="2025-01-25T00:00:00"/>
    <n v="41"/>
    <x v="2"/>
    <x v="8"/>
    <s v="4G Router"/>
    <x v="0"/>
    <n v="1"/>
    <s v="Poor"/>
    <n v="48"/>
    <x v="2"/>
    <x v="0"/>
    <n v="35000"/>
    <n v="19"/>
    <n v="665000"/>
    <n v="35000"/>
    <n v="185.98"/>
    <x v="1"/>
    <n v="0"/>
    <n v="0"/>
    <n v="0"/>
    <n v="0"/>
  </r>
  <r>
    <s v="CUST0269"/>
    <s v="Tamuno Diaz"/>
    <d v="2025-01-25T00:00:00"/>
    <n v="41"/>
    <x v="2"/>
    <x v="8"/>
    <s v="Mobile SIM Card"/>
    <x v="0"/>
    <n v="1"/>
    <s v="Poor"/>
    <n v="48"/>
    <x v="2"/>
    <x v="16"/>
    <n v="900"/>
    <n v="14"/>
    <n v="12600"/>
    <n v="900"/>
    <n v="52.59"/>
    <x v="1"/>
    <n v="0"/>
    <n v="0"/>
    <n v="0"/>
    <n v="0"/>
  </r>
  <r>
    <s v="CUST0270"/>
    <s v="Michael Rodriguez"/>
    <d v="2025-01-25T00:00:00"/>
    <n v="29"/>
    <x v="0"/>
    <x v="23"/>
    <s v="5G Broadband Router"/>
    <x v="1"/>
    <n v="5"/>
    <s v="Excellent"/>
    <n v="22"/>
    <x v="1"/>
    <x v="17"/>
    <n v="75000"/>
    <n v="8"/>
    <n v="600000"/>
    <n v="75000"/>
    <n v="112.85"/>
    <x v="1"/>
    <n v="0"/>
    <n v="0"/>
    <n v="0"/>
    <n v="0"/>
  </r>
  <r>
    <s v="CUST0270"/>
    <s v="Michael Rodriguez"/>
    <d v="2025-01-25T00:00:00"/>
    <n v="29"/>
    <x v="0"/>
    <x v="23"/>
    <s v="Mobile SIM Card"/>
    <x v="1"/>
    <n v="5"/>
    <s v="Excellent"/>
    <n v="22"/>
    <x v="1"/>
    <x v="7"/>
    <n v="3500"/>
    <n v="15"/>
    <n v="52500"/>
    <n v="3500"/>
    <n v="192.27"/>
    <x v="1"/>
    <n v="0"/>
    <n v="0"/>
    <n v="0"/>
    <n v="0"/>
  </r>
  <r>
    <s v="CUST0270"/>
    <s v="Michael Rodriguez"/>
    <d v="2025-01-25T00:00:00"/>
    <n v="29"/>
    <x v="0"/>
    <x v="23"/>
    <s v="Mobile SIM Card"/>
    <x v="1"/>
    <n v="5"/>
    <s v="Excellent"/>
    <n v="22"/>
    <x v="1"/>
    <x v="0"/>
    <n v="35000"/>
    <n v="1"/>
    <n v="35000"/>
    <n v="35000"/>
    <n v="179.36"/>
    <x v="1"/>
    <n v="0"/>
    <n v="0"/>
    <n v="0"/>
    <n v="0"/>
  </r>
  <r>
    <s v="CUST0271"/>
    <s v="John Benson"/>
    <d v="2025-02-25T00:00:00"/>
    <n v="30"/>
    <x v="0"/>
    <x v="22"/>
    <s v="5G Broadband Router"/>
    <x v="0"/>
    <n v="2"/>
    <s v="Fair"/>
    <n v="25"/>
    <x v="2"/>
    <x v="4"/>
    <n v="9000"/>
    <n v="9"/>
    <n v="81000"/>
    <n v="9000"/>
    <n v="140.31"/>
    <x v="1"/>
    <n v="0"/>
    <n v="0"/>
    <n v="0"/>
    <n v="0"/>
  </r>
  <r>
    <s v="CUST0271"/>
    <s v="John Benson"/>
    <d v="2025-02-25T00:00:00"/>
    <n v="30"/>
    <x v="0"/>
    <x v="22"/>
    <s v="Mobile SIM Card"/>
    <x v="0"/>
    <n v="2"/>
    <s v="Fair"/>
    <n v="25"/>
    <x v="2"/>
    <x v="13"/>
    <n v="350"/>
    <n v="13"/>
    <n v="4550"/>
    <n v="350"/>
    <n v="57.81"/>
    <x v="1"/>
    <n v="0"/>
    <n v="0"/>
    <n v="0"/>
    <n v="0"/>
  </r>
  <r>
    <s v="CUST0272"/>
    <s v="Tega Cooper"/>
    <d v="2025-03-25T00:00:00"/>
    <n v="25"/>
    <x v="0"/>
    <x v="20"/>
    <s v="Mobile SIM Card"/>
    <x v="1"/>
    <n v="2"/>
    <s v="Fair"/>
    <n v="21"/>
    <x v="1"/>
    <x v="5"/>
    <n v="4500"/>
    <n v="7"/>
    <n v="31500"/>
    <n v="4500"/>
    <n v="100.05"/>
    <x v="1"/>
    <n v="0"/>
    <n v="0"/>
    <n v="0"/>
    <n v="0"/>
  </r>
  <r>
    <s v="CUST0272"/>
    <s v="Tega Cooper"/>
    <d v="2025-03-25T00:00:00"/>
    <n v="25"/>
    <x v="0"/>
    <x v="20"/>
    <s v="5G Broadband Router"/>
    <x v="1"/>
    <n v="2"/>
    <s v="Fair"/>
    <n v="21"/>
    <x v="1"/>
    <x v="12"/>
    <n v="14500"/>
    <n v="9"/>
    <n v="130500"/>
    <n v="14500"/>
    <n v="147.22"/>
    <x v="1"/>
    <n v="0"/>
    <n v="0"/>
    <n v="0"/>
    <n v="0"/>
  </r>
  <r>
    <s v="CUST0273"/>
    <s v="Fatima Lewis"/>
    <d v="2025-03-25T00:00:00"/>
    <n v="45"/>
    <x v="4"/>
    <x v="18"/>
    <s v="Broadband MiFi"/>
    <x v="0"/>
    <n v="2"/>
    <s v="Fair"/>
    <n v="54"/>
    <x v="2"/>
    <x v="12"/>
    <n v="14500"/>
    <n v="18"/>
    <n v="261000"/>
    <n v="14500"/>
    <n v="122.96"/>
    <x v="1"/>
    <n v="0"/>
    <n v="0"/>
    <n v="0"/>
    <n v="0"/>
  </r>
  <r>
    <s v="CUST0274"/>
    <s v="Bola Duffy"/>
    <d v="2025-03-25T00:00:00"/>
    <n v="77"/>
    <x v="3"/>
    <x v="3"/>
    <s v="5G Broadband Router"/>
    <x v="1"/>
    <n v="4"/>
    <s v="Very Good"/>
    <n v="32"/>
    <x v="2"/>
    <x v="11"/>
    <n v="30000"/>
    <n v="14"/>
    <n v="420000"/>
    <n v="30000"/>
    <n v="11.3"/>
    <x v="0"/>
    <n v="1"/>
    <n v="0"/>
    <n v="0"/>
    <n v="0"/>
  </r>
  <r>
    <s v="CUST0274"/>
    <s v="Bola Duffy"/>
    <d v="2025-03-25T00:00:00"/>
    <n v="77"/>
    <x v="3"/>
    <x v="3"/>
    <s v="Mobile SIM Card"/>
    <x v="1"/>
    <n v="4"/>
    <s v="Very Good"/>
    <n v="32"/>
    <x v="2"/>
    <x v="0"/>
    <n v="35000"/>
    <n v="2"/>
    <n v="70000"/>
    <n v="35000"/>
    <n v="187.96"/>
    <x v="0"/>
    <n v="1"/>
    <n v="0"/>
    <n v="0"/>
    <n v="0"/>
  </r>
  <r>
    <s v="CUST0274"/>
    <s v="Bola Duffy"/>
    <d v="2025-03-25T00:00:00"/>
    <n v="77"/>
    <x v="3"/>
    <x v="3"/>
    <s v="Broadband MiFi"/>
    <x v="1"/>
    <n v="4"/>
    <s v="Very Good"/>
    <n v="32"/>
    <x v="2"/>
    <x v="10"/>
    <n v="24000"/>
    <n v="6"/>
    <n v="144000"/>
    <n v="24000"/>
    <n v="69.78"/>
    <x v="0"/>
    <n v="1"/>
    <n v="0"/>
    <n v="0"/>
    <n v="0"/>
  </r>
  <r>
    <s v="CUST0275"/>
    <s v="Zina Gallegos"/>
    <d v="2025-01-25T00:00:00"/>
    <n v="31"/>
    <x v="0"/>
    <x v="8"/>
    <s v="Broadband MiFi"/>
    <x v="1"/>
    <n v="1"/>
    <s v="Poor"/>
    <n v="21"/>
    <x v="1"/>
    <x v="11"/>
    <n v="30000"/>
    <n v="9"/>
    <n v="270000"/>
    <n v="30000"/>
    <n v="122.75"/>
    <x v="1"/>
    <n v="0"/>
    <n v="0"/>
    <n v="0"/>
    <n v="0"/>
  </r>
  <r>
    <s v="CUST0275"/>
    <s v="Zina Gallegos"/>
    <d v="2025-01-25T00:00:00"/>
    <n v="31"/>
    <x v="0"/>
    <x v="8"/>
    <s v="Mobile SIM Card"/>
    <x v="1"/>
    <n v="1"/>
    <s v="Poor"/>
    <n v="21"/>
    <x v="1"/>
    <x v="5"/>
    <n v="4500"/>
    <n v="8"/>
    <n v="36000"/>
    <n v="4500"/>
    <n v="109.94"/>
    <x v="1"/>
    <n v="0"/>
    <n v="0"/>
    <n v="0"/>
    <n v="0"/>
  </r>
  <r>
    <s v="CUST0276"/>
    <s v="Zainab Rogers"/>
    <d v="2025-02-25T00:00:00"/>
    <n v="76"/>
    <x v="3"/>
    <x v="26"/>
    <s v="5G Broadband Router"/>
    <x v="1"/>
    <n v="4"/>
    <s v="Very Good"/>
    <n v="12"/>
    <x v="3"/>
    <x v="10"/>
    <n v="24000"/>
    <n v="19"/>
    <n v="456000"/>
    <n v="24000"/>
    <n v="90.42"/>
    <x v="0"/>
    <n v="1"/>
    <n v="0"/>
    <n v="0"/>
    <n v="0"/>
  </r>
  <r>
    <s v="CUST0276"/>
    <s v="Zainab Rogers"/>
    <d v="2025-02-25T00:00:00"/>
    <n v="76"/>
    <x v="3"/>
    <x v="26"/>
    <s v="4G Router"/>
    <x v="1"/>
    <n v="4"/>
    <s v="Very Good"/>
    <n v="12"/>
    <x v="3"/>
    <x v="5"/>
    <n v="4500"/>
    <n v="8"/>
    <n v="36000"/>
    <n v="4500"/>
    <n v="195.86"/>
    <x v="0"/>
    <n v="1"/>
    <n v="0"/>
    <n v="0"/>
    <n v="0"/>
  </r>
  <r>
    <s v="CUST0277"/>
    <s v="Ngozi Dunn"/>
    <d v="2025-02-25T00:00:00"/>
    <n v="50"/>
    <x v="4"/>
    <x v="7"/>
    <s v="Mobile SIM Card"/>
    <x v="1"/>
    <n v="2"/>
    <s v="Fair"/>
    <n v="55"/>
    <x v="2"/>
    <x v="16"/>
    <n v="900"/>
    <n v="16"/>
    <n v="14400"/>
    <n v="900"/>
    <n v="35.729999999999997"/>
    <x v="0"/>
    <n v="1"/>
    <n v="0"/>
    <n v="0"/>
    <n v="0"/>
  </r>
  <r>
    <s v="CUST0278"/>
    <s v="Amaka Johnson"/>
    <d v="2025-01-25T00:00:00"/>
    <n v="56"/>
    <x v="3"/>
    <x v="12"/>
    <s v="4G Router"/>
    <x v="1"/>
    <n v="4"/>
    <s v="Very Good"/>
    <n v="17"/>
    <x v="1"/>
    <x v="6"/>
    <n v="9000"/>
    <n v="4"/>
    <n v="36000"/>
    <n v="9000"/>
    <n v="95.57"/>
    <x v="0"/>
    <n v="1"/>
    <n v="0"/>
    <n v="0"/>
    <n v="0"/>
  </r>
  <r>
    <s v="CUST0279"/>
    <s v="Alabo Carlson"/>
    <d v="2025-03-25T00:00:00"/>
    <n v="58"/>
    <x v="3"/>
    <x v="22"/>
    <s v="Mobile SIM Card"/>
    <x v="1"/>
    <n v="3"/>
    <s v="Good"/>
    <n v="24"/>
    <x v="1"/>
    <x v="5"/>
    <n v="4500"/>
    <n v="10"/>
    <n v="45000"/>
    <n v="4500"/>
    <n v="195.88"/>
    <x v="0"/>
    <n v="1"/>
    <n v="0"/>
    <n v="0"/>
    <n v="0"/>
  </r>
  <r>
    <s v="CUST0279"/>
    <s v="Alabo Carlson"/>
    <d v="2025-03-25T00:00:00"/>
    <n v="58"/>
    <x v="3"/>
    <x v="22"/>
    <s v="5G Broadband Router"/>
    <x v="1"/>
    <n v="3"/>
    <s v="Good"/>
    <n v="24"/>
    <x v="1"/>
    <x v="18"/>
    <n v="25000"/>
    <n v="17"/>
    <n v="425000"/>
    <n v="25000"/>
    <n v="65.36"/>
    <x v="0"/>
    <n v="1"/>
    <n v="0"/>
    <n v="0"/>
    <n v="0"/>
  </r>
  <r>
    <s v="CUST0280"/>
    <s v="Grace Brock"/>
    <d v="2025-03-25T00:00:00"/>
    <n v="73"/>
    <x v="3"/>
    <x v="33"/>
    <s v="4G Router"/>
    <x v="1"/>
    <n v="4"/>
    <s v="Very Good"/>
    <n v="40"/>
    <x v="2"/>
    <x v="6"/>
    <n v="9000"/>
    <n v="20"/>
    <n v="180000"/>
    <n v="9000"/>
    <n v="84.65"/>
    <x v="1"/>
    <n v="0"/>
    <n v="0"/>
    <n v="0"/>
    <n v="0"/>
  </r>
  <r>
    <s v="CUST0281"/>
    <s v="Tamuno Ortiz"/>
    <d v="2025-02-25T00:00:00"/>
    <n v="25"/>
    <x v="0"/>
    <x v="33"/>
    <s v="5G Broadband Router"/>
    <x v="0"/>
    <n v="3"/>
    <s v="Good"/>
    <n v="22"/>
    <x v="1"/>
    <x v="17"/>
    <n v="75000"/>
    <n v="15"/>
    <n v="1125000"/>
    <n v="75000"/>
    <n v="54.61"/>
    <x v="1"/>
    <n v="0"/>
    <n v="0"/>
    <n v="0"/>
    <n v="0"/>
  </r>
  <r>
    <s v="CUST0281"/>
    <s v="Tamuno Ortiz"/>
    <d v="2025-02-25T00:00:00"/>
    <n v="25"/>
    <x v="0"/>
    <x v="33"/>
    <s v="Mobile SIM Card"/>
    <x v="0"/>
    <n v="3"/>
    <s v="Good"/>
    <n v="22"/>
    <x v="1"/>
    <x v="7"/>
    <n v="3500"/>
    <n v="17"/>
    <n v="59500"/>
    <n v="3500"/>
    <n v="149.71"/>
    <x v="1"/>
    <n v="0"/>
    <n v="0"/>
    <n v="0"/>
    <n v="0"/>
  </r>
  <r>
    <s v="CUST0282"/>
    <s v="Alabo Chavez"/>
    <d v="2025-01-25T00:00:00"/>
    <n v="68"/>
    <x v="3"/>
    <x v="1"/>
    <s v="5G Broadband Router"/>
    <x v="0"/>
    <n v="2"/>
    <s v="Fair"/>
    <n v="55"/>
    <x v="2"/>
    <x v="12"/>
    <n v="14500"/>
    <n v="4"/>
    <n v="58000"/>
    <n v="14500"/>
    <n v="33.799999999999997"/>
    <x v="1"/>
    <n v="0"/>
    <n v="0"/>
    <n v="0"/>
    <n v="0"/>
  </r>
  <r>
    <s v="CUST0282"/>
    <s v="Alabo Chavez"/>
    <d v="2025-01-25T00:00:00"/>
    <n v="68"/>
    <x v="3"/>
    <x v="1"/>
    <s v="Mobile SIM Card"/>
    <x v="0"/>
    <n v="2"/>
    <s v="Fair"/>
    <n v="55"/>
    <x v="2"/>
    <x v="14"/>
    <n v="1000"/>
    <n v="16"/>
    <n v="16000"/>
    <n v="1000"/>
    <n v="13.23"/>
    <x v="1"/>
    <n v="0"/>
    <n v="0"/>
    <n v="0"/>
    <n v="0"/>
  </r>
  <r>
    <s v="CUST0282"/>
    <s v="Alabo Chavez"/>
    <d v="2025-01-25T00:00:00"/>
    <n v="68"/>
    <x v="3"/>
    <x v="1"/>
    <s v="Broadband MiFi"/>
    <x v="0"/>
    <n v="2"/>
    <s v="Fair"/>
    <n v="55"/>
    <x v="2"/>
    <x v="10"/>
    <n v="24000"/>
    <n v="13"/>
    <n v="312000"/>
    <n v="24000"/>
    <n v="11.24"/>
    <x v="1"/>
    <n v="0"/>
    <n v="0"/>
    <n v="0"/>
    <n v="0"/>
  </r>
  <r>
    <s v="CUST0283"/>
    <s v="Sarah Ballard"/>
    <d v="2025-02-25T00:00:00"/>
    <n v="26"/>
    <x v="0"/>
    <x v="13"/>
    <s v="5G Broadband Router"/>
    <x v="1"/>
    <n v="1"/>
    <s v="Poor"/>
    <n v="40"/>
    <x v="2"/>
    <x v="12"/>
    <n v="14500"/>
    <n v="15"/>
    <n v="217500"/>
    <n v="14500"/>
    <n v="147.65"/>
    <x v="1"/>
    <n v="0"/>
    <n v="0"/>
    <n v="0"/>
    <n v="0"/>
  </r>
  <r>
    <s v="CUST0283"/>
    <s v="Sarah Ballard"/>
    <d v="2025-02-25T00:00:00"/>
    <n v="26"/>
    <x v="0"/>
    <x v="13"/>
    <s v="Broadband MiFi"/>
    <x v="1"/>
    <n v="1"/>
    <s v="Poor"/>
    <n v="40"/>
    <x v="2"/>
    <x v="2"/>
    <n v="20000"/>
    <n v="6"/>
    <n v="120000"/>
    <n v="20000"/>
    <n v="26.69"/>
    <x v="1"/>
    <n v="0"/>
    <n v="0"/>
    <n v="0"/>
    <n v="0"/>
  </r>
  <r>
    <s v="CUST0284"/>
    <s v="Funke Shaffer"/>
    <d v="2025-02-25T00:00:00"/>
    <n v="20"/>
    <x v="1"/>
    <x v="25"/>
    <s v="5G Broadband Router"/>
    <x v="1"/>
    <n v="4"/>
    <s v="Very Good"/>
    <n v="56"/>
    <x v="2"/>
    <x v="11"/>
    <n v="30000"/>
    <n v="18"/>
    <n v="540000"/>
    <n v="30000"/>
    <n v="193.92"/>
    <x v="1"/>
    <n v="0"/>
    <n v="0"/>
    <n v="0"/>
    <n v="0"/>
  </r>
  <r>
    <s v="CUST0284"/>
    <s v="Funke Shaffer"/>
    <d v="2025-02-25T00:00:00"/>
    <n v="20"/>
    <x v="1"/>
    <x v="25"/>
    <s v="Mobile SIM Card"/>
    <x v="1"/>
    <n v="4"/>
    <s v="Very Good"/>
    <n v="56"/>
    <x v="2"/>
    <x v="19"/>
    <n v="600"/>
    <n v="15"/>
    <n v="9000"/>
    <n v="600"/>
    <n v="118.37"/>
    <x v="1"/>
    <n v="0"/>
    <n v="0"/>
    <n v="0"/>
    <n v="0"/>
  </r>
  <r>
    <s v="CUST0284"/>
    <s v="Funke Shaffer"/>
    <d v="2025-02-25T00:00:00"/>
    <n v="20"/>
    <x v="1"/>
    <x v="25"/>
    <s v="4G Router"/>
    <x v="1"/>
    <n v="4"/>
    <s v="Very Good"/>
    <n v="56"/>
    <x v="2"/>
    <x v="0"/>
    <n v="35000"/>
    <n v="18"/>
    <n v="630000"/>
    <n v="35000"/>
    <n v="104.93"/>
    <x v="1"/>
    <n v="0"/>
    <n v="0"/>
    <n v="0"/>
    <n v="0"/>
  </r>
  <r>
    <s v="CUST0285"/>
    <s v="Maryam Gates"/>
    <d v="2025-01-25T00:00:00"/>
    <n v="60"/>
    <x v="3"/>
    <x v="31"/>
    <s v="5G Broadband Router"/>
    <x v="0"/>
    <n v="4"/>
    <s v="Very Good"/>
    <n v="52"/>
    <x v="2"/>
    <x v="10"/>
    <n v="24000"/>
    <n v="17"/>
    <n v="408000"/>
    <n v="24000"/>
    <n v="2.61"/>
    <x v="1"/>
    <n v="0"/>
    <n v="0"/>
    <n v="0"/>
    <n v="0"/>
  </r>
  <r>
    <s v="CUST0285"/>
    <s v="Maryam Gates"/>
    <d v="2025-01-25T00:00:00"/>
    <n v="60"/>
    <x v="3"/>
    <x v="31"/>
    <s v="Broadband MiFi"/>
    <x v="0"/>
    <n v="4"/>
    <s v="Very Good"/>
    <n v="52"/>
    <x v="2"/>
    <x v="2"/>
    <n v="20000"/>
    <n v="16"/>
    <n v="320000"/>
    <n v="20000"/>
    <n v="69.11"/>
    <x v="1"/>
    <n v="0"/>
    <n v="0"/>
    <n v="0"/>
    <n v="0"/>
  </r>
  <r>
    <s v="CUST0286"/>
    <s v="David George"/>
    <d v="2025-01-25T00:00:00"/>
    <n v="17"/>
    <x v="1"/>
    <x v="12"/>
    <s v="4G Router"/>
    <x v="1"/>
    <n v="4"/>
    <s v="Very Good"/>
    <n v="20"/>
    <x v="1"/>
    <x v="5"/>
    <n v="4500"/>
    <n v="18"/>
    <n v="81000"/>
    <n v="4500"/>
    <n v="82.64"/>
    <x v="1"/>
    <n v="0"/>
    <n v="0"/>
    <n v="0"/>
    <n v="0"/>
  </r>
  <r>
    <s v="CUST0286"/>
    <s v="David George"/>
    <d v="2025-01-25T00:00:00"/>
    <n v="17"/>
    <x v="1"/>
    <x v="12"/>
    <s v="Mobile SIM Card"/>
    <x v="1"/>
    <n v="4"/>
    <s v="Very Good"/>
    <n v="20"/>
    <x v="1"/>
    <x v="1"/>
    <n v="5500"/>
    <n v="6"/>
    <n v="33000"/>
    <n v="5500"/>
    <n v="79.25"/>
    <x v="1"/>
    <n v="0"/>
    <n v="0"/>
    <n v="0"/>
    <n v="0"/>
  </r>
  <r>
    <s v="CUST0287"/>
    <s v="Omamuzo Rivera"/>
    <d v="2025-02-25T00:00:00"/>
    <n v="64"/>
    <x v="3"/>
    <x v="16"/>
    <s v="5G Broadband Router"/>
    <x v="1"/>
    <n v="2"/>
    <s v="Fair"/>
    <n v="6"/>
    <x v="3"/>
    <x v="17"/>
    <n v="75000"/>
    <n v="3"/>
    <n v="225000"/>
    <n v="75000"/>
    <n v="38.01"/>
    <x v="1"/>
    <n v="0"/>
    <n v="0"/>
    <n v="0"/>
    <n v="0"/>
  </r>
  <r>
    <s v="CUST0287"/>
    <s v="Omamuzo Rivera"/>
    <d v="2025-02-25T00:00:00"/>
    <n v="64"/>
    <x v="3"/>
    <x v="16"/>
    <s v="4G Router"/>
    <x v="1"/>
    <n v="2"/>
    <s v="Fair"/>
    <n v="6"/>
    <x v="3"/>
    <x v="5"/>
    <n v="4500"/>
    <n v="4"/>
    <n v="18000"/>
    <n v="4500"/>
    <n v="27.76"/>
    <x v="1"/>
    <n v="0"/>
    <n v="0"/>
    <n v="0"/>
    <n v="0"/>
  </r>
  <r>
    <s v="CUST0287"/>
    <s v="Omamuzo Rivera"/>
    <d v="2025-02-25T00:00:00"/>
    <n v="64"/>
    <x v="3"/>
    <x v="16"/>
    <s v="Mobile SIM Card"/>
    <x v="1"/>
    <n v="2"/>
    <s v="Fair"/>
    <n v="6"/>
    <x v="3"/>
    <x v="1"/>
    <n v="5500"/>
    <n v="9"/>
    <n v="49500"/>
    <n v="5500"/>
    <n v="123.74"/>
    <x v="1"/>
    <n v="0"/>
    <n v="0"/>
    <n v="0"/>
    <n v="0"/>
  </r>
  <r>
    <s v="CUST0288"/>
    <s v="Grace Chaney"/>
    <d v="2025-01-25T00:00:00"/>
    <n v="40"/>
    <x v="2"/>
    <x v="32"/>
    <s v="5G Broadband Router"/>
    <x v="0"/>
    <n v="5"/>
    <s v="Excellent"/>
    <n v="10"/>
    <x v="3"/>
    <x v="8"/>
    <n v="150000"/>
    <n v="8"/>
    <n v="1200000"/>
    <n v="150000"/>
    <n v="145.56"/>
    <x v="0"/>
    <n v="1"/>
    <n v="0"/>
    <n v="0"/>
    <n v="0"/>
  </r>
  <r>
    <s v="CUST0288"/>
    <s v="Grace Chaney"/>
    <d v="2025-01-25T00:00:00"/>
    <n v="40"/>
    <x v="2"/>
    <x v="32"/>
    <s v="Broadband MiFi"/>
    <x v="0"/>
    <n v="5"/>
    <s v="Excellent"/>
    <n v="10"/>
    <x v="3"/>
    <x v="4"/>
    <n v="9000"/>
    <n v="16"/>
    <n v="144000"/>
    <n v="9000"/>
    <n v="30.56"/>
    <x v="0"/>
    <n v="1"/>
    <n v="0"/>
    <n v="0"/>
    <n v="0"/>
  </r>
  <r>
    <s v="CUST0289"/>
    <s v="Fatima Wheeler"/>
    <d v="2025-02-25T00:00:00"/>
    <n v="59"/>
    <x v="3"/>
    <x v="15"/>
    <s v="5G Broadband Router"/>
    <x v="1"/>
    <n v="3"/>
    <s v="Good"/>
    <n v="51"/>
    <x v="2"/>
    <x v="2"/>
    <n v="20000"/>
    <n v="5"/>
    <n v="100000"/>
    <n v="20000"/>
    <n v="168.79"/>
    <x v="1"/>
    <n v="0"/>
    <n v="0"/>
    <n v="0"/>
    <n v="0"/>
  </r>
  <r>
    <s v="CUST0290"/>
    <s v="Sade Ryan"/>
    <d v="2025-02-25T00:00:00"/>
    <n v="50"/>
    <x v="4"/>
    <x v="10"/>
    <s v="Mobile SIM Card"/>
    <x v="0"/>
    <n v="2"/>
    <s v="Fair"/>
    <n v="35"/>
    <x v="2"/>
    <x v="14"/>
    <n v="1000"/>
    <n v="8"/>
    <n v="8000"/>
    <n v="1000"/>
    <n v="194.93"/>
    <x v="0"/>
    <n v="1"/>
    <n v="0"/>
    <n v="0"/>
    <n v="0"/>
  </r>
  <r>
    <s v="CUST0290"/>
    <s v="Sade Ryan"/>
    <d v="2025-02-25T00:00:00"/>
    <n v="50"/>
    <x v="4"/>
    <x v="10"/>
    <s v="Broadband MiFi"/>
    <x v="0"/>
    <n v="2"/>
    <s v="Fair"/>
    <n v="35"/>
    <x v="2"/>
    <x v="12"/>
    <n v="14500"/>
    <n v="15"/>
    <n v="217500"/>
    <n v="14500"/>
    <n v="154.36000000000001"/>
    <x v="0"/>
    <n v="1"/>
    <n v="0"/>
    <n v="0"/>
    <n v="0"/>
  </r>
  <r>
    <s v="CUST0291"/>
    <s v="Halima Mahoney"/>
    <d v="2025-01-25T00:00:00"/>
    <n v="20"/>
    <x v="1"/>
    <x v="18"/>
    <s v="Mobile SIM Card"/>
    <x v="1"/>
    <n v="5"/>
    <s v="Excellent"/>
    <n v="48"/>
    <x v="2"/>
    <x v="15"/>
    <n v="7500"/>
    <n v="10"/>
    <n v="75000"/>
    <n v="7500"/>
    <n v="136.44999999999999"/>
    <x v="1"/>
    <n v="0"/>
    <n v="0"/>
    <n v="0"/>
    <n v="0"/>
  </r>
  <r>
    <s v="CUST0292"/>
    <s v="Ese Rose"/>
    <d v="2025-02-25T00:00:00"/>
    <n v="36"/>
    <x v="2"/>
    <x v="19"/>
    <s v="4G Router"/>
    <x v="0"/>
    <n v="3"/>
    <s v="Good"/>
    <n v="17"/>
    <x v="1"/>
    <x v="0"/>
    <n v="35000"/>
    <n v="6"/>
    <n v="210000"/>
    <n v="35000"/>
    <n v="65.239999999999995"/>
    <x v="0"/>
    <n v="1"/>
    <n v="0"/>
    <n v="0"/>
    <n v="0"/>
  </r>
  <r>
    <s v="CUST0292"/>
    <s v="Ese Rose"/>
    <d v="2025-02-25T00:00:00"/>
    <n v="36"/>
    <x v="2"/>
    <x v="19"/>
    <s v="Broadband MiFi"/>
    <x v="0"/>
    <n v="3"/>
    <s v="Good"/>
    <n v="17"/>
    <x v="1"/>
    <x v="11"/>
    <n v="30000"/>
    <n v="13"/>
    <n v="390000"/>
    <n v="30000"/>
    <n v="117.15"/>
    <x v="0"/>
    <n v="1"/>
    <n v="0"/>
    <n v="0"/>
    <n v="0"/>
  </r>
  <r>
    <s v="CUST0292"/>
    <s v="Ese Rose"/>
    <d v="2025-02-25T00:00:00"/>
    <n v="36"/>
    <x v="2"/>
    <x v="19"/>
    <s v="5G Broadband Router"/>
    <x v="0"/>
    <n v="3"/>
    <s v="Good"/>
    <n v="17"/>
    <x v="1"/>
    <x v="12"/>
    <n v="14500"/>
    <n v="2"/>
    <n v="29000"/>
    <n v="14500"/>
    <n v="2.2799999999999998"/>
    <x v="0"/>
    <n v="1"/>
    <n v="0"/>
    <n v="0"/>
    <n v="0"/>
  </r>
  <r>
    <s v="CUST0293"/>
    <s v="John Jones"/>
    <d v="2025-02-25T00:00:00"/>
    <n v="35"/>
    <x v="2"/>
    <x v="3"/>
    <s v="Broadband MiFi"/>
    <x v="0"/>
    <n v="4"/>
    <s v="Very Good"/>
    <n v="16"/>
    <x v="1"/>
    <x v="11"/>
    <n v="30000"/>
    <n v="18"/>
    <n v="540000"/>
    <n v="30000"/>
    <n v="129.09"/>
    <x v="0"/>
    <n v="1"/>
    <n v="0"/>
    <n v="0"/>
    <n v="0"/>
  </r>
  <r>
    <s v="CUST0293"/>
    <s v="John Jones"/>
    <d v="2025-02-25T00:00:00"/>
    <n v="35"/>
    <x v="2"/>
    <x v="3"/>
    <s v="Mobile SIM Card"/>
    <x v="0"/>
    <n v="4"/>
    <s v="Very Good"/>
    <n v="16"/>
    <x v="1"/>
    <x v="14"/>
    <n v="1000"/>
    <n v="8"/>
    <n v="8000"/>
    <n v="1000"/>
    <n v="25.6"/>
    <x v="0"/>
    <n v="1"/>
    <n v="0"/>
    <n v="0"/>
    <n v="0"/>
  </r>
  <r>
    <s v="CUST0294"/>
    <s v="Ese Bailey"/>
    <d v="2025-02-25T00:00:00"/>
    <n v="60"/>
    <x v="3"/>
    <x v="30"/>
    <s v="Broadband MiFi"/>
    <x v="0"/>
    <n v="3"/>
    <s v="Good"/>
    <n v="2"/>
    <x v="0"/>
    <x v="12"/>
    <n v="14500"/>
    <n v="18"/>
    <n v="261000"/>
    <n v="14500"/>
    <n v="112.03"/>
    <x v="1"/>
    <n v="0"/>
    <n v="0"/>
    <n v="0"/>
    <n v="0"/>
  </r>
  <r>
    <s v="CUST0294"/>
    <s v="Ese Bailey"/>
    <d v="2025-02-25T00:00:00"/>
    <n v="60"/>
    <x v="3"/>
    <x v="30"/>
    <s v="4G Router"/>
    <x v="0"/>
    <n v="3"/>
    <s v="Good"/>
    <n v="2"/>
    <x v="0"/>
    <x v="0"/>
    <n v="35000"/>
    <n v="6"/>
    <n v="210000"/>
    <n v="35000"/>
    <n v="38.36"/>
    <x v="1"/>
    <n v="0"/>
    <n v="0"/>
    <n v="0"/>
    <n v="0"/>
  </r>
  <r>
    <s v="CUST0295"/>
    <s v="David Higgins"/>
    <d v="2025-02-25T00:00:00"/>
    <n v="60"/>
    <x v="3"/>
    <x v="32"/>
    <s v="5G Broadband Router"/>
    <x v="1"/>
    <n v="1"/>
    <s v="Poor"/>
    <n v="18"/>
    <x v="1"/>
    <x v="18"/>
    <n v="25000"/>
    <n v="17"/>
    <n v="425000"/>
    <n v="25000"/>
    <n v="91.09"/>
    <x v="1"/>
    <n v="0"/>
    <n v="0"/>
    <n v="0"/>
    <n v="0"/>
  </r>
  <r>
    <s v="CUST0295"/>
    <s v="David Higgins"/>
    <d v="2025-02-25T00:00:00"/>
    <n v="60"/>
    <x v="3"/>
    <x v="32"/>
    <s v="4G Router"/>
    <x v="1"/>
    <n v="1"/>
    <s v="Poor"/>
    <n v="18"/>
    <x v="1"/>
    <x v="0"/>
    <n v="35000"/>
    <n v="1"/>
    <n v="35000"/>
    <n v="35000"/>
    <n v="146.86000000000001"/>
    <x v="1"/>
    <n v="0"/>
    <n v="0"/>
    <n v="0"/>
    <n v="0"/>
  </r>
  <r>
    <s v="CUST0296"/>
    <s v="Ejiro Scott"/>
    <d v="2025-02-25T00:00:00"/>
    <n v="46"/>
    <x v="4"/>
    <x v="32"/>
    <s v="4G Router"/>
    <x v="0"/>
    <n v="2"/>
    <s v="Fair"/>
    <n v="43"/>
    <x v="2"/>
    <x v="6"/>
    <n v="9000"/>
    <n v="11"/>
    <n v="99000"/>
    <n v="9000"/>
    <n v="64.86"/>
    <x v="1"/>
    <n v="0"/>
    <n v="0"/>
    <n v="0"/>
    <n v="0"/>
  </r>
  <r>
    <s v="CUST0296"/>
    <s v="Ejiro Scott"/>
    <d v="2025-02-25T00:00:00"/>
    <n v="46"/>
    <x v="4"/>
    <x v="32"/>
    <s v="5G Broadband Router"/>
    <x v="0"/>
    <n v="2"/>
    <s v="Fair"/>
    <n v="43"/>
    <x v="2"/>
    <x v="2"/>
    <n v="20000"/>
    <n v="3"/>
    <n v="60000"/>
    <n v="20000"/>
    <n v="19.7"/>
    <x v="1"/>
    <n v="0"/>
    <n v="0"/>
    <n v="0"/>
    <n v="0"/>
  </r>
  <r>
    <s v="CUST0297"/>
    <s v="Bola Spencer"/>
    <d v="2025-01-25T00:00:00"/>
    <n v="32"/>
    <x v="0"/>
    <x v="20"/>
    <s v="Mobile SIM Card"/>
    <x v="0"/>
    <n v="4"/>
    <s v="Very Good"/>
    <n v="13"/>
    <x v="1"/>
    <x v="20"/>
    <n v="6500"/>
    <n v="19"/>
    <n v="123500"/>
    <n v="6500"/>
    <n v="124.98"/>
    <x v="0"/>
    <n v="1"/>
    <n v="0"/>
    <n v="0"/>
    <n v="0"/>
  </r>
  <r>
    <s v="CUST0297"/>
    <s v="Bola Spencer"/>
    <d v="2025-01-25T00:00:00"/>
    <n v="32"/>
    <x v="0"/>
    <x v="20"/>
    <s v="5G Broadband Router"/>
    <x v="0"/>
    <n v="4"/>
    <s v="Very Good"/>
    <n v="13"/>
    <x v="1"/>
    <x v="10"/>
    <n v="24000"/>
    <n v="8"/>
    <n v="192000"/>
    <n v="24000"/>
    <n v="10.29"/>
    <x v="0"/>
    <n v="1"/>
    <n v="0"/>
    <n v="0"/>
    <n v="0"/>
  </r>
  <r>
    <s v="CUST0297"/>
    <s v="Bola Spencer"/>
    <d v="2025-01-25T00:00:00"/>
    <n v="32"/>
    <x v="0"/>
    <x v="20"/>
    <s v="4G Router"/>
    <x v="0"/>
    <n v="4"/>
    <s v="Very Good"/>
    <n v="13"/>
    <x v="1"/>
    <x v="9"/>
    <n v="16000"/>
    <n v="7"/>
    <n v="112000"/>
    <n v="16000"/>
    <n v="3.11"/>
    <x v="0"/>
    <n v="1"/>
    <n v="0"/>
    <n v="0"/>
    <n v="0"/>
  </r>
  <r>
    <s v="CUST0298"/>
    <s v="Grace Davis"/>
    <d v="2025-02-25T00:00:00"/>
    <n v="26"/>
    <x v="0"/>
    <x v="2"/>
    <s v="5G Broadband Router"/>
    <x v="0"/>
    <n v="3"/>
    <s v="Good"/>
    <n v="24"/>
    <x v="1"/>
    <x v="4"/>
    <n v="9000"/>
    <n v="10"/>
    <n v="90000"/>
    <n v="9000"/>
    <n v="146.99"/>
    <x v="1"/>
    <n v="0"/>
    <n v="0"/>
    <n v="0"/>
    <n v="0"/>
  </r>
  <r>
    <s v="CUST0299"/>
    <s v="Kunle Fuller"/>
    <d v="2025-02-25T00:00:00"/>
    <n v="43"/>
    <x v="2"/>
    <x v="8"/>
    <s v="4G Router"/>
    <x v="0"/>
    <n v="5"/>
    <s v="Excellent"/>
    <n v="7"/>
    <x v="3"/>
    <x v="5"/>
    <n v="4500"/>
    <n v="18"/>
    <n v="81000"/>
    <n v="4500"/>
    <n v="111.91"/>
    <x v="1"/>
    <n v="0"/>
    <n v="0"/>
    <n v="0"/>
    <n v="0"/>
  </r>
  <r>
    <s v="CUST0300"/>
    <s v="Ibim Wilkerson"/>
    <d v="2025-02-25T00:00:00"/>
    <n v="29"/>
    <x v="0"/>
    <x v="25"/>
    <s v="Mobile SIM Card"/>
    <x v="1"/>
    <n v="1"/>
    <s v="Poor"/>
    <n v="45"/>
    <x v="2"/>
    <x v="19"/>
    <n v="600"/>
    <n v="20"/>
    <n v="12000"/>
    <n v="600"/>
    <n v="107.01"/>
    <x v="0"/>
    <n v="1"/>
    <n v="0"/>
    <n v="0"/>
    <n v="0"/>
  </r>
  <r>
    <s v="CUST0300"/>
    <s v="Ibim Wilkerson"/>
    <d v="2025-02-25T00:00:00"/>
    <n v="29"/>
    <x v="0"/>
    <x v="25"/>
    <s v="5G Broadband Router"/>
    <x v="1"/>
    <n v="1"/>
    <s v="Poor"/>
    <n v="45"/>
    <x v="2"/>
    <x v="8"/>
    <n v="150000"/>
    <n v="11"/>
    <n v="1650000"/>
    <n v="150000"/>
    <n v="186.74"/>
    <x v="0"/>
    <n v="1"/>
    <n v="0"/>
    <n v="0"/>
    <n v="0"/>
  </r>
  <r>
    <s v="CUST0300"/>
    <s v="Ibim Wilkerson"/>
    <d v="2025-02-25T00:00:00"/>
    <n v="29"/>
    <x v="0"/>
    <x v="25"/>
    <s v="4G Router"/>
    <x v="1"/>
    <n v="1"/>
    <s v="Poor"/>
    <n v="45"/>
    <x v="2"/>
    <x v="6"/>
    <n v="9000"/>
    <n v="14"/>
    <n v="126000"/>
    <n v="9000"/>
    <n v="169.05"/>
    <x v="0"/>
    <n v="1"/>
    <n v="0"/>
    <n v="0"/>
    <n v="0"/>
  </r>
  <r>
    <s v="CUST0301"/>
    <s v="Boma Knight"/>
    <d v="2025-03-25T00:00:00"/>
    <n v="57"/>
    <x v="3"/>
    <x v="7"/>
    <s v="Mobile SIM Card"/>
    <x v="0"/>
    <n v="3"/>
    <s v="Good"/>
    <n v="25"/>
    <x v="2"/>
    <x v="16"/>
    <n v="900"/>
    <n v="20"/>
    <n v="18000"/>
    <n v="900"/>
    <n v="196.6"/>
    <x v="1"/>
    <n v="0"/>
    <n v="0"/>
    <n v="0"/>
    <n v="0"/>
  </r>
  <r>
    <s v="CUST0301"/>
    <s v="Boma Knight"/>
    <d v="2025-03-25T00:00:00"/>
    <n v="57"/>
    <x v="3"/>
    <x v="7"/>
    <s v="Broadband MiFi"/>
    <x v="0"/>
    <n v="3"/>
    <s v="Good"/>
    <n v="25"/>
    <x v="2"/>
    <x v="4"/>
    <n v="9000"/>
    <n v="10"/>
    <n v="90000"/>
    <n v="9000"/>
    <n v="103.76"/>
    <x v="1"/>
    <n v="0"/>
    <n v="0"/>
    <n v="0"/>
    <n v="0"/>
  </r>
  <r>
    <s v="CUST0302"/>
    <s v="Tunde Wallace"/>
    <d v="2025-03-25T00:00:00"/>
    <n v="54"/>
    <x v="4"/>
    <x v="16"/>
    <s v="5G Broadband Router"/>
    <x v="0"/>
    <n v="1"/>
    <s v="Poor"/>
    <n v="55"/>
    <x v="2"/>
    <x v="2"/>
    <n v="20000"/>
    <n v="12"/>
    <n v="240000"/>
    <n v="20000"/>
    <n v="8.0299999999999994"/>
    <x v="1"/>
    <n v="0"/>
    <n v="0"/>
    <n v="0"/>
    <n v="0"/>
  </r>
  <r>
    <s v="CUST0302"/>
    <s v="Tunde Wallace"/>
    <d v="2025-03-25T00:00:00"/>
    <n v="54"/>
    <x v="4"/>
    <x v="16"/>
    <s v="Mobile SIM Card"/>
    <x v="0"/>
    <n v="1"/>
    <s v="Poor"/>
    <n v="55"/>
    <x v="2"/>
    <x v="19"/>
    <n v="600"/>
    <n v="12"/>
    <n v="7200"/>
    <n v="600"/>
    <n v="28.11"/>
    <x v="1"/>
    <n v="0"/>
    <n v="0"/>
    <n v="0"/>
    <n v="0"/>
  </r>
  <r>
    <s v="CUST0302"/>
    <s v="Tunde Wallace"/>
    <d v="2025-03-25T00:00:00"/>
    <n v="54"/>
    <x v="4"/>
    <x v="16"/>
    <s v="Broadband MiFi"/>
    <x v="0"/>
    <n v="1"/>
    <s v="Poor"/>
    <n v="55"/>
    <x v="2"/>
    <x v="10"/>
    <n v="24000"/>
    <n v="9"/>
    <n v="216000"/>
    <n v="24000"/>
    <n v="50.35"/>
    <x v="1"/>
    <n v="0"/>
    <n v="0"/>
    <n v="0"/>
    <n v="0"/>
  </r>
  <r>
    <s v="CUST0303"/>
    <s v="Maryam Walker"/>
    <d v="2025-01-25T00:00:00"/>
    <n v="27"/>
    <x v="0"/>
    <x v="10"/>
    <s v="Mobile SIM Card"/>
    <x v="0"/>
    <n v="3"/>
    <s v="Good"/>
    <n v="47"/>
    <x v="2"/>
    <x v="14"/>
    <n v="1000"/>
    <n v="10"/>
    <n v="10000"/>
    <n v="1000"/>
    <n v="119.25"/>
    <x v="1"/>
    <n v="0"/>
    <n v="0"/>
    <n v="0"/>
    <n v="0"/>
  </r>
  <r>
    <s v="CUST0304"/>
    <s v="Bola Castro"/>
    <d v="2025-03-25T00:00:00"/>
    <n v="64"/>
    <x v="3"/>
    <x v="33"/>
    <s v="Mobile SIM Card"/>
    <x v="0"/>
    <n v="3"/>
    <s v="Good"/>
    <n v="59"/>
    <x v="2"/>
    <x v="13"/>
    <n v="350"/>
    <n v="20"/>
    <n v="7000"/>
    <n v="350"/>
    <n v="149.66"/>
    <x v="1"/>
    <n v="0"/>
    <n v="0"/>
    <n v="0"/>
    <n v="0"/>
  </r>
  <r>
    <s v="CUST0304"/>
    <s v="Bola Castro"/>
    <d v="2025-03-25T00:00:00"/>
    <n v="64"/>
    <x v="3"/>
    <x v="33"/>
    <s v="Broadband MiFi"/>
    <x v="0"/>
    <n v="3"/>
    <s v="Good"/>
    <n v="59"/>
    <x v="2"/>
    <x v="4"/>
    <n v="9000"/>
    <n v="13"/>
    <n v="117000"/>
    <n v="9000"/>
    <n v="126.96"/>
    <x v="1"/>
    <n v="0"/>
    <n v="0"/>
    <n v="0"/>
    <n v="0"/>
  </r>
  <r>
    <s v="CUST0305"/>
    <s v="Sade Shepard"/>
    <d v="2025-02-25T00:00:00"/>
    <n v="55"/>
    <x v="3"/>
    <x v="8"/>
    <s v="Mobile SIM Card"/>
    <x v="0"/>
    <n v="3"/>
    <s v="Good"/>
    <n v="21"/>
    <x v="1"/>
    <x v="9"/>
    <n v="16000"/>
    <n v="13"/>
    <n v="208000"/>
    <n v="16000"/>
    <n v="134.88999999999999"/>
    <x v="1"/>
    <n v="0"/>
    <n v="0"/>
    <n v="0"/>
    <n v="0"/>
  </r>
  <r>
    <s v="CUST0306"/>
    <s v="Alabo Cortez"/>
    <d v="2025-03-25T00:00:00"/>
    <n v="80"/>
    <x v="3"/>
    <x v="33"/>
    <s v="Mobile SIM Card"/>
    <x v="0"/>
    <n v="4"/>
    <s v="Very Good"/>
    <n v="28"/>
    <x v="2"/>
    <x v="16"/>
    <n v="900"/>
    <n v="9"/>
    <n v="8100"/>
    <n v="900"/>
    <n v="109.86"/>
    <x v="0"/>
    <n v="1"/>
    <n v="0"/>
    <n v="0"/>
    <n v="0"/>
  </r>
  <r>
    <s v="CUST0307"/>
    <s v="Chinedu Hoffman"/>
    <d v="2025-02-25T00:00:00"/>
    <n v="67"/>
    <x v="3"/>
    <x v="28"/>
    <s v="Mobile SIM Card"/>
    <x v="1"/>
    <n v="2"/>
    <s v="Fair"/>
    <n v="50"/>
    <x v="2"/>
    <x v="15"/>
    <n v="7500"/>
    <n v="7"/>
    <n v="52500"/>
    <n v="7500"/>
    <n v="130.62"/>
    <x v="1"/>
    <n v="0"/>
    <n v="0"/>
    <n v="0"/>
    <n v="0"/>
  </r>
  <r>
    <s v="CUST0308"/>
    <s v="Sarah Flores"/>
    <d v="2025-02-25T00:00:00"/>
    <n v="47"/>
    <x v="4"/>
    <x v="7"/>
    <s v="Broadband MiFi"/>
    <x v="0"/>
    <n v="3"/>
    <s v="Good"/>
    <n v="18"/>
    <x v="1"/>
    <x v="12"/>
    <n v="14500"/>
    <n v="7"/>
    <n v="101500"/>
    <n v="14500"/>
    <n v="73.37"/>
    <x v="1"/>
    <n v="0"/>
    <n v="0"/>
    <n v="0"/>
    <n v="0"/>
  </r>
  <r>
    <s v="CUST0308"/>
    <s v="Sarah Flores"/>
    <d v="2025-02-25T00:00:00"/>
    <n v="47"/>
    <x v="4"/>
    <x v="7"/>
    <s v="Mobile SIM Card"/>
    <x v="0"/>
    <n v="3"/>
    <s v="Good"/>
    <n v="18"/>
    <x v="1"/>
    <x v="7"/>
    <n v="3500"/>
    <n v="1"/>
    <n v="3500"/>
    <n v="3500"/>
    <n v="69.23"/>
    <x v="1"/>
    <n v="0"/>
    <n v="0"/>
    <n v="0"/>
    <n v="0"/>
  </r>
  <r>
    <s v="CUST0308"/>
    <s v="Sarah Flores"/>
    <d v="2025-02-25T00:00:00"/>
    <n v="47"/>
    <x v="4"/>
    <x v="7"/>
    <s v="4G Router"/>
    <x v="0"/>
    <n v="3"/>
    <s v="Good"/>
    <n v="18"/>
    <x v="1"/>
    <x v="6"/>
    <n v="9000"/>
    <n v="12"/>
    <n v="108000"/>
    <n v="9000"/>
    <n v="34.270000000000003"/>
    <x v="1"/>
    <n v="0"/>
    <n v="0"/>
    <n v="0"/>
    <n v="0"/>
  </r>
  <r>
    <s v="CUST0309"/>
    <s v="Alabo Guerra"/>
    <d v="2025-02-25T00:00:00"/>
    <n v="34"/>
    <x v="0"/>
    <x v="30"/>
    <s v="Broadband MiFi"/>
    <x v="0"/>
    <n v="2"/>
    <s v="Fair"/>
    <n v="60"/>
    <x v="2"/>
    <x v="4"/>
    <n v="9000"/>
    <n v="8"/>
    <n v="72000"/>
    <n v="9000"/>
    <n v="148.05000000000001"/>
    <x v="1"/>
    <n v="0"/>
    <n v="0"/>
    <n v="0"/>
    <n v="0"/>
  </r>
  <r>
    <s v="CUST0310"/>
    <s v="Obinna Ballard"/>
    <d v="2025-01-25T00:00:00"/>
    <n v="52"/>
    <x v="4"/>
    <x v="34"/>
    <s v="5G Broadband Router"/>
    <x v="1"/>
    <n v="3"/>
    <s v="Good"/>
    <n v="45"/>
    <x v="2"/>
    <x v="12"/>
    <n v="14500"/>
    <n v="7"/>
    <n v="101500"/>
    <n v="14500"/>
    <n v="148.13"/>
    <x v="1"/>
    <n v="0"/>
    <n v="0"/>
    <n v="0"/>
    <n v="0"/>
  </r>
  <r>
    <s v="CUST0311"/>
    <s v="Fatima Freeman"/>
    <d v="2025-01-25T00:00:00"/>
    <n v="49"/>
    <x v="4"/>
    <x v="31"/>
    <s v="Broadband MiFi"/>
    <x v="0"/>
    <n v="4"/>
    <s v="Very Good"/>
    <n v="45"/>
    <x v="2"/>
    <x v="4"/>
    <n v="9000"/>
    <n v="20"/>
    <n v="180000"/>
    <n v="9000"/>
    <n v="57.16"/>
    <x v="1"/>
    <n v="0"/>
    <n v="0"/>
    <n v="0"/>
    <n v="0"/>
  </r>
  <r>
    <s v="CUST0311"/>
    <s v="Fatima Freeman"/>
    <d v="2025-01-25T00:00:00"/>
    <n v="49"/>
    <x v="4"/>
    <x v="31"/>
    <s v="4G Router"/>
    <x v="0"/>
    <n v="4"/>
    <s v="Very Good"/>
    <n v="45"/>
    <x v="2"/>
    <x v="6"/>
    <n v="9000"/>
    <n v="1"/>
    <n v="9000"/>
    <n v="9000"/>
    <n v="11.09"/>
    <x v="1"/>
    <n v="0"/>
    <n v="0"/>
    <n v="0"/>
    <n v="0"/>
  </r>
  <r>
    <s v="CUST0311"/>
    <s v="Fatima Freeman"/>
    <d v="2025-01-25T00:00:00"/>
    <n v="49"/>
    <x v="4"/>
    <x v="31"/>
    <s v="Mobile SIM Card"/>
    <x v="0"/>
    <n v="4"/>
    <s v="Very Good"/>
    <n v="45"/>
    <x v="2"/>
    <x v="14"/>
    <n v="1000"/>
    <n v="9"/>
    <n v="9000"/>
    <n v="1000"/>
    <n v="78.03"/>
    <x v="1"/>
    <n v="0"/>
    <n v="0"/>
    <n v="0"/>
    <n v="0"/>
  </r>
  <r>
    <s v="CUST0312"/>
    <s v="Ejiro Barker"/>
    <d v="2025-02-25T00:00:00"/>
    <n v="29"/>
    <x v="0"/>
    <x v="17"/>
    <s v="Broadband MiFi"/>
    <x v="1"/>
    <n v="2"/>
    <s v="Fair"/>
    <n v="56"/>
    <x v="2"/>
    <x v="10"/>
    <n v="24000"/>
    <n v="6"/>
    <n v="144000"/>
    <n v="24000"/>
    <n v="106.55"/>
    <x v="1"/>
    <n v="0"/>
    <n v="0"/>
    <n v="0"/>
    <n v="0"/>
  </r>
  <r>
    <s v="CUST0312"/>
    <s v="Ejiro Barker"/>
    <d v="2025-02-25T00:00:00"/>
    <n v="29"/>
    <x v="0"/>
    <x v="17"/>
    <s v="4G Router"/>
    <x v="1"/>
    <n v="2"/>
    <s v="Fair"/>
    <n v="56"/>
    <x v="2"/>
    <x v="5"/>
    <n v="4500"/>
    <n v="15"/>
    <n v="67500"/>
    <n v="4500"/>
    <n v="100.38"/>
    <x v="1"/>
    <n v="0"/>
    <n v="0"/>
    <n v="0"/>
    <n v="0"/>
  </r>
  <r>
    <s v="CUST0312"/>
    <s v="Ejiro Barker"/>
    <d v="2025-02-25T00:00:00"/>
    <n v="29"/>
    <x v="0"/>
    <x v="17"/>
    <s v="5G Broadband Router"/>
    <x v="1"/>
    <n v="2"/>
    <s v="Fair"/>
    <n v="56"/>
    <x v="2"/>
    <x v="4"/>
    <n v="9000"/>
    <n v="17"/>
    <n v="153000"/>
    <n v="9000"/>
    <n v="8.43"/>
    <x v="1"/>
    <n v="0"/>
    <n v="0"/>
    <n v="0"/>
    <n v="0"/>
  </r>
  <r>
    <s v="CUST0313"/>
    <s v="Maryam Hernandez"/>
    <d v="2025-02-25T00:00:00"/>
    <n v="58"/>
    <x v="3"/>
    <x v="12"/>
    <s v="5G Broadband Router"/>
    <x v="1"/>
    <n v="1"/>
    <s v="Poor"/>
    <n v="48"/>
    <x v="2"/>
    <x v="10"/>
    <n v="24000"/>
    <n v="17"/>
    <n v="408000"/>
    <n v="24000"/>
    <n v="47.62"/>
    <x v="1"/>
    <n v="0"/>
    <n v="0"/>
    <n v="0"/>
    <n v="0"/>
  </r>
  <r>
    <s v="CUST0313"/>
    <s v="Maryam Hernandez"/>
    <d v="2025-02-25T00:00:00"/>
    <n v="58"/>
    <x v="3"/>
    <x v="12"/>
    <s v="Mobile SIM Card"/>
    <x v="1"/>
    <n v="1"/>
    <s v="Poor"/>
    <n v="48"/>
    <x v="2"/>
    <x v="3"/>
    <n v="500"/>
    <n v="9"/>
    <n v="4500"/>
    <n v="500"/>
    <n v="162.47"/>
    <x v="1"/>
    <n v="0"/>
    <n v="0"/>
    <n v="0"/>
    <n v="0"/>
  </r>
  <r>
    <s v="CUST0314"/>
    <s v="Omamuzo King"/>
    <d v="2025-03-25T00:00:00"/>
    <n v="19"/>
    <x v="1"/>
    <x v="29"/>
    <s v="Mobile SIM Card"/>
    <x v="0"/>
    <n v="4"/>
    <s v="Very Good"/>
    <n v="10"/>
    <x v="3"/>
    <x v="13"/>
    <n v="350"/>
    <n v="19"/>
    <n v="6650"/>
    <n v="350"/>
    <n v="83.76"/>
    <x v="1"/>
    <n v="0"/>
    <n v="0"/>
    <n v="0"/>
    <n v="0"/>
  </r>
  <r>
    <s v="CUST0315"/>
    <s v="Obinna Anderson"/>
    <d v="2025-02-25T00:00:00"/>
    <n v="70"/>
    <x v="3"/>
    <x v="24"/>
    <s v="4G Router"/>
    <x v="1"/>
    <n v="2"/>
    <s v="Fair"/>
    <n v="29"/>
    <x v="2"/>
    <x v="5"/>
    <n v="4500"/>
    <n v="5"/>
    <n v="22500"/>
    <n v="4500"/>
    <n v="86.3"/>
    <x v="1"/>
    <n v="0"/>
    <n v="0"/>
    <n v="0"/>
    <n v="0"/>
  </r>
  <r>
    <s v="CUST0315"/>
    <s v="Obinna Anderson"/>
    <d v="2025-02-25T00:00:00"/>
    <n v="70"/>
    <x v="3"/>
    <x v="24"/>
    <s v="Broadband MiFi"/>
    <x v="1"/>
    <n v="2"/>
    <s v="Fair"/>
    <n v="29"/>
    <x v="2"/>
    <x v="10"/>
    <n v="24000"/>
    <n v="11"/>
    <n v="264000"/>
    <n v="24000"/>
    <n v="183.46"/>
    <x v="1"/>
    <n v="0"/>
    <n v="0"/>
    <n v="0"/>
    <n v="0"/>
  </r>
  <r>
    <s v="CUST0315"/>
    <s v="Obinna Anderson"/>
    <d v="2025-02-25T00:00:00"/>
    <n v="70"/>
    <x v="3"/>
    <x v="24"/>
    <s v="Mobile SIM Card"/>
    <x v="1"/>
    <n v="2"/>
    <s v="Fair"/>
    <n v="29"/>
    <x v="2"/>
    <x v="14"/>
    <n v="1000"/>
    <n v="4"/>
    <n v="4000"/>
    <n v="1000"/>
    <n v="111.69"/>
    <x v="1"/>
    <n v="0"/>
    <n v="0"/>
    <n v="0"/>
    <n v="0"/>
  </r>
  <r>
    <s v="CUST0316"/>
    <s v="Shehu Rogers"/>
    <d v="2025-03-25T00:00:00"/>
    <n v="56"/>
    <x v="3"/>
    <x v="5"/>
    <s v="Mobile SIM Card"/>
    <x v="0"/>
    <n v="4"/>
    <s v="Very Good"/>
    <n v="49"/>
    <x v="2"/>
    <x v="3"/>
    <n v="500"/>
    <n v="7"/>
    <n v="3500"/>
    <n v="500"/>
    <n v="30.82"/>
    <x v="1"/>
    <n v="0"/>
    <n v="0"/>
    <n v="0"/>
    <n v="0"/>
  </r>
  <r>
    <s v="CUST0316"/>
    <s v="Shehu Rogers"/>
    <d v="2025-03-25T00:00:00"/>
    <n v="56"/>
    <x v="3"/>
    <x v="5"/>
    <s v="5G Broadband Router"/>
    <x v="0"/>
    <n v="4"/>
    <s v="Very Good"/>
    <n v="49"/>
    <x v="2"/>
    <x v="2"/>
    <n v="20000"/>
    <n v="1"/>
    <n v="20000"/>
    <n v="20000"/>
    <n v="26.74"/>
    <x v="1"/>
    <n v="0"/>
    <n v="0"/>
    <n v="0"/>
    <n v="0"/>
  </r>
  <r>
    <s v="CUST0317"/>
    <s v="Zainab Shaw"/>
    <d v="2025-01-25T00:00:00"/>
    <n v="45"/>
    <x v="4"/>
    <x v="16"/>
    <s v="4G Router"/>
    <x v="0"/>
    <n v="3"/>
    <s v="Good"/>
    <n v="44"/>
    <x v="2"/>
    <x v="0"/>
    <n v="35000"/>
    <n v="12"/>
    <n v="420000"/>
    <n v="35000"/>
    <n v="142.55000000000001"/>
    <x v="0"/>
    <n v="1"/>
    <n v="0"/>
    <n v="0"/>
    <n v="0"/>
  </r>
  <r>
    <s v="CUST0317"/>
    <s v="Zainab Shaw"/>
    <d v="2025-01-25T00:00:00"/>
    <n v="45"/>
    <x v="4"/>
    <x v="16"/>
    <s v="5G Broadband Router"/>
    <x v="0"/>
    <n v="3"/>
    <s v="Good"/>
    <n v="44"/>
    <x v="2"/>
    <x v="11"/>
    <n v="30000"/>
    <n v="16"/>
    <n v="480000"/>
    <n v="30000"/>
    <n v="170.5"/>
    <x v="0"/>
    <n v="1"/>
    <n v="0"/>
    <n v="0"/>
    <n v="0"/>
  </r>
  <r>
    <s v="CUST0318"/>
    <s v="John Martinez"/>
    <d v="2025-01-25T00:00:00"/>
    <n v="33"/>
    <x v="0"/>
    <x v="1"/>
    <s v="5G Broadband Router"/>
    <x v="0"/>
    <n v="4"/>
    <s v="Very Good"/>
    <n v="15"/>
    <x v="1"/>
    <x v="17"/>
    <n v="75000"/>
    <n v="7"/>
    <n v="525000"/>
    <n v="75000"/>
    <n v="44.9"/>
    <x v="1"/>
    <n v="0"/>
    <n v="0"/>
    <n v="0"/>
    <n v="0"/>
  </r>
  <r>
    <s v="CUST0319"/>
    <s v="Fatima Powell"/>
    <d v="2025-02-25T00:00:00"/>
    <n v="24"/>
    <x v="1"/>
    <x v="20"/>
    <s v="Mobile SIM Card"/>
    <x v="1"/>
    <n v="3"/>
    <s v="Good"/>
    <n v="56"/>
    <x v="2"/>
    <x v="15"/>
    <n v="7500"/>
    <n v="20"/>
    <n v="150000"/>
    <n v="7500"/>
    <n v="155.35"/>
    <x v="1"/>
    <n v="0"/>
    <n v="0"/>
    <n v="0"/>
    <n v="0"/>
  </r>
  <r>
    <s v="CUST0320"/>
    <s v="Omamuzo Perez"/>
    <d v="2025-01-25T00:00:00"/>
    <n v="56"/>
    <x v="3"/>
    <x v="10"/>
    <s v="4G Router"/>
    <x v="0"/>
    <n v="4"/>
    <s v="Very Good"/>
    <n v="34"/>
    <x v="2"/>
    <x v="0"/>
    <n v="35000"/>
    <n v="2"/>
    <n v="70000"/>
    <n v="35000"/>
    <n v="196.77"/>
    <x v="1"/>
    <n v="0"/>
    <n v="0"/>
    <n v="0"/>
    <n v="0"/>
  </r>
  <r>
    <s v="CUST0321"/>
    <s v="Omamuzo Schwartz"/>
    <d v="2025-02-25T00:00:00"/>
    <n v="22"/>
    <x v="1"/>
    <x v="18"/>
    <s v="Mobile SIM Card"/>
    <x v="1"/>
    <n v="3"/>
    <s v="Good"/>
    <n v="29"/>
    <x v="2"/>
    <x v="15"/>
    <n v="7500"/>
    <n v="2"/>
    <n v="15000"/>
    <n v="7500"/>
    <n v="59.24"/>
    <x v="1"/>
    <n v="0"/>
    <n v="0"/>
    <n v="0"/>
    <n v="0"/>
  </r>
  <r>
    <s v="CUST0321"/>
    <s v="Omamuzo Schwartz"/>
    <d v="2025-02-25T00:00:00"/>
    <n v="22"/>
    <x v="1"/>
    <x v="18"/>
    <s v="Broadband MiFi"/>
    <x v="1"/>
    <n v="3"/>
    <s v="Good"/>
    <n v="29"/>
    <x v="2"/>
    <x v="10"/>
    <n v="24000"/>
    <n v="15"/>
    <n v="360000"/>
    <n v="24000"/>
    <n v="180.78"/>
    <x v="1"/>
    <n v="0"/>
    <n v="0"/>
    <n v="0"/>
    <n v="0"/>
  </r>
  <r>
    <s v="CUST0322"/>
    <s v="Alabo Jackson"/>
    <d v="2025-02-25T00:00:00"/>
    <n v="27"/>
    <x v="0"/>
    <x v="28"/>
    <s v="Broadband MiFi"/>
    <x v="0"/>
    <n v="4"/>
    <s v="Very Good"/>
    <n v="12"/>
    <x v="3"/>
    <x v="12"/>
    <n v="14500"/>
    <n v="7"/>
    <n v="101500"/>
    <n v="14500"/>
    <n v="118.27"/>
    <x v="1"/>
    <n v="0"/>
    <n v="0"/>
    <n v="0"/>
    <n v="0"/>
  </r>
  <r>
    <s v="CUST0322"/>
    <s v="Alabo Jackson"/>
    <d v="2025-02-25T00:00:00"/>
    <n v="27"/>
    <x v="0"/>
    <x v="28"/>
    <s v="Mobile SIM Card"/>
    <x v="0"/>
    <n v="4"/>
    <s v="Very Good"/>
    <n v="12"/>
    <x v="3"/>
    <x v="1"/>
    <n v="5500"/>
    <n v="11"/>
    <n v="60500"/>
    <n v="5500"/>
    <n v="18.489999999999998"/>
    <x v="1"/>
    <n v="0"/>
    <n v="0"/>
    <n v="0"/>
    <n v="0"/>
  </r>
  <r>
    <s v="CUST0323"/>
    <s v="Amina Nguyen"/>
    <d v="2025-02-25T00:00:00"/>
    <n v="31"/>
    <x v="0"/>
    <x v="33"/>
    <s v="4G Router"/>
    <x v="0"/>
    <n v="3"/>
    <s v="Good"/>
    <n v="46"/>
    <x v="2"/>
    <x v="0"/>
    <n v="35000"/>
    <n v="6"/>
    <n v="210000"/>
    <n v="35000"/>
    <n v="9.26"/>
    <x v="0"/>
    <n v="1"/>
    <n v="0"/>
    <n v="0"/>
    <n v="0"/>
  </r>
  <r>
    <s v="CUST0323"/>
    <s v="Amina Nguyen"/>
    <d v="2025-02-25T00:00:00"/>
    <n v="31"/>
    <x v="0"/>
    <x v="33"/>
    <s v="Mobile SIM Card"/>
    <x v="0"/>
    <n v="3"/>
    <s v="Good"/>
    <n v="46"/>
    <x v="2"/>
    <x v="7"/>
    <n v="3500"/>
    <n v="5"/>
    <n v="17500"/>
    <n v="3500"/>
    <n v="113.32"/>
    <x v="0"/>
    <n v="1"/>
    <n v="0"/>
    <n v="0"/>
    <n v="0"/>
  </r>
  <r>
    <s v="CUST0324"/>
    <s v="Amina Taylor"/>
    <d v="2025-03-25T00:00:00"/>
    <n v="34"/>
    <x v="0"/>
    <x v="20"/>
    <s v="5G Broadband Router"/>
    <x v="0"/>
    <n v="3"/>
    <s v="Good"/>
    <n v="27"/>
    <x v="2"/>
    <x v="11"/>
    <n v="30000"/>
    <n v="5"/>
    <n v="150000"/>
    <n v="30000"/>
    <n v="23.95"/>
    <x v="1"/>
    <n v="0"/>
    <n v="0"/>
    <n v="0"/>
    <n v="0"/>
  </r>
  <r>
    <s v="CUST0324"/>
    <s v="Amina Taylor"/>
    <d v="2025-03-25T00:00:00"/>
    <n v="34"/>
    <x v="0"/>
    <x v="20"/>
    <s v="Mobile SIM Card"/>
    <x v="0"/>
    <n v="3"/>
    <s v="Good"/>
    <n v="27"/>
    <x v="2"/>
    <x v="13"/>
    <n v="350"/>
    <n v="9"/>
    <n v="3150"/>
    <n v="350"/>
    <n v="1.2"/>
    <x v="1"/>
    <n v="0"/>
    <n v="0"/>
    <n v="0"/>
    <n v="0"/>
  </r>
  <r>
    <s v="CUST0325"/>
    <s v="Tunde Terry"/>
    <d v="2025-01-25T00:00:00"/>
    <n v="74"/>
    <x v="3"/>
    <x v="12"/>
    <s v="4G Router"/>
    <x v="1"/>
    <n v="5"/>
    <s v="Excellent"/>
    <n v="35"/>
    <x v="2"/>
    <x v="0"/>
    <n v="35000"/>
    <n v="15"/>
    <n v="525000"/>
    <n v="35000"/>
    <n v="91.02"/>
    <x v="1"/>
    <n v="0"/>
    <n v="0"/>
    <n v="0"/>
    <n v="0"/>
  </r>
  <r>
    <s v="CUST0326"/>
    <s v="Chinedu Krueger"/>
    <d v="2025-02-25T00:00:00"/>
    <n v="16"/>
    <x v="1"/>
    <x v="7"/>
    <s v="Mobile SIM Card"/>
    <x v="1"/>
    <n v="1"/>
    <s v="Poor"/>
    <n v="40"/>
    <x v="2"/>
    <x v="16"/>
    <n v="900"/>
    <n v="20"/>
    <n v="18000"/>
    <n v="900"/>
    <n v="133.57"/>
    <x v="0"/>
    <n v="1"/>
    <n v="0"/>
    <n v="0"/>
    <n v="0"/>
  </r>
  <r>
    <s v="CUST0327"/>
    <s v="Maryam Rhodes"/>
    <d v="2025-02-25T00:00:00"/>
    <n v="58"/>
    <x v="3"/>
    <x v="33"/>
    <s v="4G Router"/>
    <x v="0"/>
    <n v="2"/>
    <s v="Fair"/>
    <n v="7"/>
    <x v="3"/>
    <x v="9"/>
    <n v="16000"/>
    <n v="10"/>
    <n v="160000"/>
    <n v="16000"/>
    <n v="19.079999999999998"/>
    <x v="0"/>
    <n v="1"/>
    <n v="0"/>
    <n v="0"/>
    <n v="0"/>
  </r>
  <r>
    <s v="CUST0327"/>
    <s v="Maryam Rhodes"/>
    <d v="2025-02-25T00:00:00"/>
    <n v="58"/>
    <x v="3"/>
    <x v="33"/>
    <s v="Mobile SIM Card"/>
    <x v="0"/>
    <n v="2"/>
    <s v="Fair"/>
    <n v="7"/>
    <x v="3"/>
    <x v="7"/>
    <n v="3500"/>
    <n v="13"/>
    <n v="45500"/>
    <n v="3500"/>
    <n v="74.03"/>
    <x v="0"/>
    <n v="1"/>
    <n v="0"/>
    <n v="0"/>
    <n v="0"/>
  </r>
  <r>
    <s v="CUST0327"/>
    <s v="Maryam Rhodes"/>
    <d v="2025-02-25T00:00:00"/>
    <n v="58"/>
    <x v="3"/>
    <x v="33"/>
    <s v="5G Broadband Router"/>
    <x v="0"/>
    <n v="2"/>
    <s v="Fair"/>
    <n v="7"/>
    <x v="3"/>
    <x v="2"/>
    <n v="20000"/>
    <n v="18"/>
    <n v="360000"/>
    <n v="20000"/>
    <n v="151.81"/>
    <x v="0"/>
    <n v="1"/>
    <n v="0"/>
    <n v="0"/>
    <n v="0"/>
  </r>
  <r>
    <s v="CUST0328"/>
    <s v="Kunle Liu"/>
    <d v="2025-03-25T00:00:00"/>
    <n v="53"/>
    <x v="4"/>
    <x v="31"/>
    <s v="4G Router"/>
    <x v="0"/>
    <n v="3"/>
    <s v="Good"/>
    <n v="8"/>
    <x v="3"/>
    <x v="9"/>
    <n v="16000"/>
    <n v="17"/>
    <n v="272000"/>
    <n v="16000"/>
    <n v="22.31"/>
    <x v="1"/>
    <n v="0"/>
    <n v="0"/>
    <n v="0"/>
    <n v="0"/>
  </r>
  <r>
    <s v="CUST0328"/>
    <s v="Kunle Liu"/>
    <d v="2025-03-25T00:00:00"/>
    <n v="53"/>
    <x v="4"/>
    <x v="31"/>
    <s v="5G Broadband Router"/>
    <x v="0"/>
    <n v="3"/>
    <s v="Good"/>
    <n v="8"/>
    <x v="3"/>
    <x v="2"/>
    <n v="20000"/>
    <n v="20"/>
    <n v="400000"/>
    <n v="20000"/>
    <n v="96.99"/>
    <x v="1"/>
    <n v="0"/>
    <n v="0"/>
    <n v="0"/>
    <n v="0"/>
  </r>
  <r>
    <s v="CUST0328"/>
    <s v="Kunle Liu"/>
    <d v="2025-03-25T00:00:00"/>
    <n v="53"/>
    <x v="4"/>
    <x v="31"/>
    <s v="Broadband MiFi"/>
    <x v="0"/>
    <n v="3"/>
    <s v="Good"/>
    <n v="8"/>
    <x v="3"/>
    <x v="11"/>
    <n v="30000"/>
    <n v="11"/>
    <n v="330000"/>
    <n v="30000"/>
    <n v="85.7"/>
    <x v="1"/>
    <n v="0"/>
    <n v="0"/>
    <n v="0"/>
    <n v="0"/>
  </r>
  <r>
    <s v="CUST0329"/>
    <s v="Saidu Anderson"/>
    <d v="2025-02-25T00:00:00"/>
    <n v="61"/>
    <x v="3"/>
    <x v="21"/>
    <s v="4G Router"/>
    <x v="1"/>
    <n v="4"/>
    <s v="Very Good"/>
    <n v="34"/>
    <x v="2"/>
    <x v="5"/>
    <n v="4500"/>
    <n v="1"/>
    <n v="4500"/>
    <n v="4500"/>
    <n v="0.82"/>
    <x v="1"/>
    <n v="0"/>
    <n v="0"/>
    <n v="0"/>
    <n v="0"/>
  </r>
  <r>
    <s v="CUST0329"/>
    <s v="Saidu Anderson"/>
    <d v="2025-02-25T00:00:00"/>
    <n v="61"/>
    <x v="3"/>
    <x v="21"/>
    <s v="5G Broadband Router"/>
    <x v="1"/>
    <n v="4"/>
    <s v="Very Good"/>
    <n v="34"/>
    <x v="2"/>
    <x v="8"/>
    <n v="150000"/>
    <n v="4"/>
    <n v="600000"/>
    <n v="150000"/>
    <n v="125.28"/>
    <x v="1"/>
    <n v="0"/>
    <n v="0"/>
    <n v="0"/>
    <n v="0"/>
  </r>
  <r>
    <s v="CUST0329"/>
    <s v="Saidu Anderson"/>
    <d v="2025-02-25T00:00:00"/>
    <n v="61"/>
    <x v="3"/>
    <x v="21"/>
    <s v="Mobile SIM Card"/>
    <x v="1"/>
    <n v="4"/>
    <s v="Very Good"/>
    <n v="34"/>
    <x v="2"/>
    <x v="13"/>
    <n v="350"/>
    <n v="14"/>
    <n v="4900"/>
    <n v="350"/>
    <n v="160.01"/>
    <x v="1"/>
    <n v="0"/>
    <n v="0"/>
    <n v="0"/>
    <n v="0"/>
  </r>
  <r>
    <s v="CUST0330"/>
    <s v="Ibim Harrison"/>
    <d v="2025-02-25T00:00:00"/>
    <n v="21"/>
    <x v="1"/>
    <x v="26"/>
    <s v="5G Broadband Router"/>
    <x v="1"/>
    <n v="1"/>
    <s v="Poor"/>
    <n v="36"/>
    <x v="2"/>
    <x v="10"/>
    <n v="24000"/>
    <n v="18"/>
    <n v="432000"/>
    <n v="24000"/>
    <n v="60.41"/>
    <x v="1"/>
    <n v="0"/>
    <n v="0"/>
    <n v="0"/>
    <n v="0"/>
  </r>
  <r>
    <s v="CUST0330"/>
    <s v="Ibim Harrison"/>
    <d v="2025-02-25T00:00:00"/>
    <n v="21"/>
    <x v="1"/>
    <x v="26"/>
    <s v="4G Router"/>
    <x v="1"/>
    <n v="1"/>
    <s v="Poor"/>
    <n v="36"/>
    <x v="2"/>
    <x v="6"/>
    <n v="9000"/>
    <n v="4"/>
    <n v="36000"/>
    <n v="9000"/>
    <n v="153.52000000000001"/>
    <x v="1"/>
    <n v="0"/>
    <n v="0"/>
    <n v="0"/>
    <n v="0"/>
  </r>
  <r>
    <s v="CUST0330"/>
    <s v="Ibim Harrison"/>
    <d v="2025-02-25T00:00:00"/>
    <n v="21"/>
    <x v="1"/>
    <x v="26"/>
    <s v="Broadband MiFi"/>
    <x v="1"/>
    <n v="1"/>
    <s v="Poor"/>
    <n v="36"/>
    <x v="2"/>
    <x v="11"/>
    <n v="30000"/>
    <n v="19"/>
    <n v="570000"/>
    <n v="30000"/>
    <n v="68.599999999999994"/>
    <x v="1"/>
    <n v="0"/>
    <n v="0"/>
    <n v="0"/>
    <n v="0"/>
  </r>
  <r>
    <s v="CUST0331"/>
    <s v="Funke Francis"/>
    <d v="2025-03-25T00:00:00"/>
    <n v="38"/>
    <x v="2"/>
    <x v="18"/>
    <s v="4G Router"/>
    <x v="1"/>
    <n v="4"/>
    <s v="Very Good"/>
    <n v="54"/>
    <x v="2"/>
    <x v="0"/>
    <n v="35000"/>
    <n v="15"/>
    <n v="525000"/>
    <n v="35000"/>
    <n v="31.5"/>
    <x v="1"/>
    <n v="0"/>
    <n v="0"/>
    <n v="0"/>
    <n v="0"/>
  </r>
  <r>
    <s v="CUST0332"/>
    <s v="David Ward"/>
    <d v="2025-01-25T00:00:00"/>
    <n v="58"/>
    <x v="3"/>
    <x v="2"/>
    <s v="5G Broadband Router"/>
    <x v="1"/>
    <n v="5"/>
    <s v="Excellent"/>
    <n v="60"/>
    <x v="2"/>
    <x v="12"/>
    <n v="14500"/>
    <n v="11"/>
    <n v="159500"/>
    <n v="14500"/>
    <n v="115.69"/>
    <x v="0"/>
    <n v="1"/>
    <n v="0"/>
    <n v="0"/>
    <n v="0"/>
  </r>
  <r>
    <s v="CUST0332"/>
    <s v="David Ward"/>
    <d v="2025-01-25T00:00:00"/>
    <n v="58"/>
    <x v="3"/>
    <x v="2"/>
    <s v="Mobile SIM Card"/>
    <x v="1"/>
    <n v="5"/>
    <s v="Excellent"/>
    <n v="60"/>
    <x v="2"/>
    <x v="7"/>
    <n v="3500"/>
    <n v="5"/>
    <n v="17500"/>
    <n v="3500"/>
    <n v="13.71"/>
    <x v="0"/>
    <n v="1"/>
    <n v="0"/>
    <n v="0"/>
    <n v="0"/>
  </r>
  <r>
    <s v="CUST0332"/>
    <s v="David Ward"/>
    <d v="2025-01-25T00:00:00"/>
    <n v="58"/>
    <x v="3"/>
    <x v="2"/>
    <s v="Broadband MiFi"/>
    <x v="1"/>
    <n v="5"/>
    <s v="Excellent"/>
    <n v="60"/>
    <x v="2"/>
    <x v="11"/>
    <n v="30000"/>
    <n v="11"/>
    <n v="330000"/>
    <n v="30000"/>
    <n v="168.23"/>
    <x v="0"/>
    <n v="1"/>
    <n v="0"/>
    <n v="0"/>
    <n v="0"/>
  </r>
  <r>
    <s v="CUST0333"/>
    <s v="Omamuzo Miller"/>
    <d v="2025-01-25T00:00:00"/>
    <n v="37"/>
    <x v="2"/>
    <x v="6"/>
    <s v="Broadband MiFi"/>
    <x v="0"/>
    <n v="3"/>
    <s v="Good"/>
    <n v="39"/>
    <x v="2"/>
    <x v="12"/>
    <n v="14500"/>
    <n v="8"/>
    <n v="116000"/>
    <n v="14500"/>
    <n v="17.82"/>
    <x v="1"/>
    <n v="0"/>
    <n v="0"/>
    <n v="0"/>
    <n v="0"/>
  </r>
  <r>
    <s v="CUST0333"/>
    <s v="Omamuzo Miller"/>
    <d v="2025-01-25T00:00:00"/>
    <n v="37"/>
    <x v="2"/>
    <x v="6"/>
    <s v="4G Router"/>
    <x v="0"/>
    <n v="3"/>
    <s v="Good"/>
    <n v="39"/>
    <x v="2"/>
    <x v="6"/>
    <n v="9000"/>
    <n v="10"/>
    <n v="90000"/>
    <n v="9000"/>
    <n v="90.66"/>
    <x v="1"/>
    <n v="0"/>
    <n v="0"/>
    <n v="0"/>
    <n v="0"/>
  </r>
  <r>
    <s v="CUST0334"/>
    <s v="Fatima Carter"/>
    <d v="2025-01-25T00:00:00"/>
    <n v="54"/>
    <x v="4"/>
    <x v="20"/>
    <s v="Broadband MiFi"/>
    <x v="0"/>
    <n v="2"/>
    <s v="Fair"/>
    <n v="24"/>
    <x v="1"/>
    <x v="10"/>
    <n v="24000"/>
    <n v="11"/>
    <n v="264000"/>
    <n v="24000"/>
    <n v="31.24"/>
    <x v="1"/>
    <n v="0"/>
    <n v="0"/>
    <n v="0"/>
    <n v="0"/>
  </r>
  <r>
    <s v="CUST0334"/>
    <s v="Fatima Carter"/>
    <d v="2025-01-25T00:00:00"/>
    <n v="54"/>
    <x v="4"/>
    <x v="20"/>
    <s v="4G Router"/>
    <x v="0"/>
    <n v="2"/>
    <s v="Fair"/>
    <n v="24"/>
    <x v="1"/>
    <x v="0"/>
    <n v="35000"/>
    <n v="17"/>
    <n v="595000"/>
    <n v="35000"/>
    <n v="146.62"/>
    <x v="1"/>
    <n v="0"/>
    <n v="0"/>
    <n v="0"/>
    <n v="0"/>
  </r>
  <r>
    <s v="CUST0335"/>
    <s v="Maryam Patterson"/>
    <d v="2025-02-25T00:00:00"/>
    <n v="57"/>
    <x v="3"/>
    <x v="5"/>
    <s v="Mobile SIM Card"/>
    <x v="0"/>
    <n v="2"/>
    <s v="Fair"/>
    <n v="53"/>
    <x v="2"/>
    <x v="20"/>
    <n v="6500"/>
    <n v="10"/>
    <n v="65000"/>
    <n v="6500"/>
    <n v="23.61"/>
    <x v="1"/>
    <n v="0"/>
    <n v="0"/>
    <n v="0"/>
    <n v="0"/>
  </r>
  <r>
    <s v="CUST0335"/>
    <s v="Maryam Patterson"/>
    <d v="2025-02-25T00:00:00"/>
    <n v="57"/>
    <x v="3"/>
    <x v="5"/>
    <s v="5G Broadband Router"/>
    <x v="0"/>
    <n v="2"/>
    <s v="Fair"/>
    <n v="53"/>
    <x v="2"/>
    <x v="4"/>
    <n v="9000"/>
    <n v="20"/>
    <n v="180000"/>
    <n v="9000"/>
    <n v="137.57"/>
    <x v="1"/>
    <n v="0"/>
    <n v="0"/>
    <n v="0"/>
    <n v="0"/>
  </r>
  <r>
    <s v="CUST0336"/>
    <s v="Chinedu Reynolds"/>
    <d v="2025-03-25T00:00:00"/>
    <n v="58"/>
    <x v="3"/>
    <x v="2"/>
    <s v="4G Router"/>
    <x v="0"/>
    <n v="1"/>
    <s v="Poor"/>
    <n v="7"/>
    <x v="3"/>
    <x v="5"/>
    <n v="4500"/>
    <n v="9"/>
    <n v="40500"/>
    <n v="4500"/>
    <n v="38.909999999999997"/>
    <x v="1"/>
    <n v="0"/>
    <n v="0"/>
    <n v="0"/>
    <n v="0"/>
  </r>
  <r>
    <s v="CUST0336"/>
    <s v="Chinedu Reynolds"/>
    <d v="2025-03-25T00:00:00"/>
    <n v="58"/>
    <x v="3"/>
    <x v="2"/>
    <s v="Mobile SIM Card"/>
    <x v="0"/>
    <n v="1"/>
    <s v="Poor"/>
    <n v="7"/>
    <x v="3"/>
    <x v="20"/>
    <n v="6500"/>
    <n v="15"/>
    <n v="97500"/>
    <n v="6500"/>
    <n v="64.17"/>
    <x v="1"/>
    <n v="0"/>
    <n v="0"/>
    <n v="0"/>
    <n v="0"/>
  </r>
  <r>
    <s v="CUST0337"/>
    <s v="Ifeanyi Cunningham"/>
    <d v="2025-01-25T00:00:00"/>
    <n v="50"/>
    <x v="4"/>
    <x v="5"/>
    <s v="Broadband MiFi"/>
    <x v="0"/>
    <n v="1"/>
    <s v="Poor"/>
    <n v="18"/>
    <x v="1"/>
    <x v="10"/>
    <n v="24000"/>
    <n v="5"/>
    <n v="120000"/>
    <n v="24000"/>
    <n v="64.040000000000006"/>
    <x v="1"/>
    <n v="0"/>
    <n v="0"/>
    <n v="0"/>
    <n v="0"/>
  </r>
  <r>
    <s v="CUST0337"/>
    <s v="Ifeanyi Cunningham"/>
    <d v="2025-01-25T00:00:00"/>
    <n v="50"/>
    <x v="4"/>
    <x v="5"/>
    <s v="Mobile SIM Card"/>
    <x v="0"/>
    <n v="1"/>
    <s v="Poor"/>
    <n v="18"/>
    <x v="1"/>
    <x v="3"/>
    <n v="500"/>
    <n v="6"/>
    <n v="3000"/>
    <n v="500"/>
    <n v="115.03"/>
    <x v="1"/>
    <n v="0"/>
    <n v="0"/>
    <n v="0"/>
    <n v="0"/>
  </r>
  <r>
    <s v="CUST0337"/>
    <s v="Ifeanyi Cunningham"/>
    <d v="2025-01-25T00:00:00"/>
    <n v="50"/>
    <x v="4"/>
    <x v="5"/>
    <s v="4G Router"/>
    <x v="0"/>
    <n v="1"/>
    <s v="Poor"/>
    <n v="18"/>
    <x v="1"/>
    <x v="9"/>
    <n v="16000"/>
    <n v="11"/>
    <n v="176000"/>
    <n v="16000"/>
    <n v="62.62"/>
    <x v="1"/>
    <n v="0"/>
    <n v="0"/>
    <n v="0"/>
    <n v="0"/>
  </r>
  <r>
    <s v="CUST0338"/>
    <s v="David Crosby"/>
    <d v="2025-02-25T00:00:00"/>
    <n v="72"/>
    <x v="3"/>
    <x v="4"/>
    <s v="Mobile SIM Card"/>
    <x v="0"/>
    <n v="1"/>
    <s v="Poor"/>
    <n v="2"/>
    <x v="0"/>
    <x v="15"/>
    <n v="7500"/>
    <n v="20"/>
    <n v="150000"/>
    <n v="7500"/>
    <n v="36.21"/>
    <x v="0"/>
    <n v="1"/>
    <n v="0"/>
    <n v="0"/>
    <n v="0"/>
  </r>
  <r>
    <s v="CUST0339"/>
    <s v="Alabo Davis"/>
    <d v="2025-02-25T00:00:00"/>
    <n v="61"/>
    <x v="3"/>
    <x v="24"/>
    <s v="4G Router"/>
    <x v="1"/>
    <n v="5"/>
    <s v="Excellent"/>
    <n v="53"/>
    <x v="2"/>
    <x v="0"/>
    <n v="35000"/>
    <n v="10"/>
    <n v="350000"/>
    <n v="35000"/>
    <n v="19.899999999999999"/>
    <x v="0"/>
    <n v="1"/>
    <n v="0"/>
    <n v="0"/>
    <n v="0"/>
  </r>
  <r>
    <s v="CUST0339"/>
    <s v="Alabo Davis"/>
    <d v="2025-02-25T00:00:00"/>
    <n v="61"/>
    <x v="3"/>
    <x v="24"/>
    <s v="Broadband MiFi"/>
    <x v="1"/>
    <n v="5"/>
    <s v="Excellent"/>
    <n v="53"/>
    <x v="2"/>
    <x v="12"/>
    <n v="14500"/>
    <n v="8"/>
    <n v="116000"/>
    <n v="14500"/>
    <n v="94.37"/>
    <x v="0"/>
    <n v="1"/>
    <n v="0"/>
    <n v="0"/>
    <n v="0"/>
  </r>
  <r>
    <s v="CUST0340"/>
    <s v="Obinna Thomas"/>
    <d v="2025-03-25T00:00:00"/>
    <n v="49"/>
    <x v="4"/>
    <x v="3"/>
    <s v="Broadband MiFi"/>
    <x v="1"/>
    <n v="3"/>
    <s v="Good"/>
    <n v="12"/>
    <x v="3"/>
    <x v="12"/>
    <n v="14500"/>
    <n v="16"/>
    <n v="232000"/>
    <n v="14500"/>
    <n v="23.02"/>
    <x v="1"/>
    <n v="0"/>
    <n v="0"/>
    <n v="0"/>
    <n v="0"/>
  </r>
  <r>
    <s v="CUST0341"/>
    <s v="Zina Valenzuela"/>
    <d v="2025-02-25T00:00:00"/>
    <n v="37"/>
    <x v="2"/>
    <x v="14"/>
    <s v="Broadband MiFi"/>
    <x v="1"/>
    <n v="5"/>
    <s v="Excellent"/>
    <n v="39"/>
    <x v="2"/>
    <x v="11"/>
    <n v="30000"/>
    <n v="13"/>
    <n v="390000"/>
    <n v="30000"/>
    <n v="106.78"/>
    <x v="0"/>
    <n v="1"/>
    <n v="0"/>
    <n v="0"/>
    <n v="0"/>
  </r>
  <r>
    <s v="CUST0341"/>
    <s v="Zina Valenzuela"/>
    <d v="2025-02-25T00:00:00"/>
    <n v="37"/>
    <x v="2"/>
    <x v="14"/>
    <s v="4G Router"/>
    <x v="1"/>
    <n v="5"/>
    <s v="Excellent"/>
    <n v="39"/>
    <x v="2"/>
    <x v="0"/>
    <n v="35000"/>
    <n v="8"/>
    <n v="280000"/>
    <n v="35000"/>
    <n v="48.1"/>
    <x v="0"/>
    <n v="1"/>
    <n v="0"/>
    <n v="0"/>
    <n v="0"/>
  </r>
  <r>
    <s v="CUST0341"/>
    <s v="Zina Valenzuela"/>
    <d v="2025-02-25T00:00:00"/>
    <n v="37"/>
    <x v="2"/>
    <x v="14"/>
    <s v="Mobile SIM Card"/>
    <x v="1"/>
    <n v="5"/>
    <s v="Excellent"/>
    <n v="39"/>
    <x v="2"/>
    <x v="20"/>
    <n v="6500"/>
    <n v="16"/>
    <n v="104000"/>
    <n v="6500"/>
    <n v="32.22"/>
    <x v="0"/>
    <n v="1"/>
    <n v="0"/>
    <n v="0"/>
    <n v="0"/>
  </r>
  <r>
    <s v="CUST0342"/>
    <s v="Omamuzo Holmes"/>
    <d v="2025-02-25T00:00:00"/>
    <n v="24"/>
    <x v="1"/>
    <x v="26"/>
    <s v="4G Router"/>
    <x v="0"/>
    <n v="4"/>
    <s v="Very Good"/>
    <n v="53"/>
    <x v="2"/>
    <x v="9"/>
    <n v="16000"/>
    <n v="19"/>
    <n v="304000"/>
    <n v="16000"/>
    <n v="148"/>
    <x v="1"/>
    <n v="0"/>
    <n v="0"/>
    <n v="0"/>
    <n v="0"/>
  </r>
  <r>
    <s v="CUST0342"/>
    <s v="Omamuzo Holmes"/>
    <d v="2025-02-25T00:00:00"/>
    <n v="24"/>
    <x v="1"/>
    <x v="26"/>
    <s v="Broadband MiFi"/>
    <x v="0"/>
    <n v="4"/>
    <s v="Very Good"/>
    <n v="53"/>
    <x v="2"/>
    <x v="12"/>
    <n v="14500"/>
    <n v="20"/>
    <n v="290000"/>
    <n v="14500"/>
    <n v="23.31"/>
    <x v="1"/>
    <n v="0"/>
    <n v="0"/>
    <n v="0"/>
    <n v="0"/>
  </r>
  <r>
    <s v="CUST0343"/>
    <s v="Zina Diaz"/>
    <d v="2025-03-25T00:00:00"/>
    <n v="57"/>
    <x v="3"/>
    <x v="13"/>
    <s v="Mobile SIM Card"/>
    <x v="1"/>
    <n v="4"/>
    <s v="Very Good"/>
    <n v="12"/>
    <x v="3"/>
    <x v="16"/>
    <n v="900"/>
    <n v="5"/>
    <n v="4500"/>
    <n v="900"/>
    <n v="18.559999999999999"/>
    <x v="0"/>
    <n v="1"/>
    <n v="0"/>
    <n v="0"/>
    <n v="0"/>
  </r>
  <r>
    <s v="CUST0343"/>
    <s v="Zina Diaz"/>
    <d v="2025-03-25T00:00:00"/>
    <n v="57"/>
    <x v="3"/>
    <x v="13"/>
    <s v="4G Router"/>
    <x v="1"/>
    <n v="4"/>
    <s v="Very Good"/>
    <n v="12"/>
    <x v="3"/>
    <x v="9"/>
    <n v="16000"/>
    <n v="5"/>
    <n v="80000"/>
    <n v="16000"/>
    <n v="151.54"/>
    <x v="0"/>
    <n v="1"/>
    <n v="0"/>
    <n v="0"/>
    <n v="0"/>
  </r>
  <r>
    <s v="CUST0343"/>
    <s v="Zina Diaz"/>
    <d v="2025-03-25T00:00:00"/>
    <n v="57"/>
    <x v="3"/>
    <x v="13"/>
    <s v="5G Broadband Router"/>
    <x v="1"/>
    <n v="4"/>
    <s v="Very Good"/>
    <n v="12"/>
    <x v="3"/>
    <x v="8"/>
    <n v="150000"/>
    <n v="13"/>
    <n v="1950000"/>
    <n v="150000"/>
    <n v="106.49"/>
    <x v="0"/>
    <n v="1"/>
    <n v="0"/>
    <n v="0"/>
    <n v="0"/>
  </r>
  <r>
    <s v="CUST0344"/>
    <s v="Alabo Baker"/>
    <d v="2025-03-25T00:00:00"/>
    <n v="41"/>
    <x v="2"/>
    <x v="9"/>
    <s v="Broadband MiFi"/>
    <x v="1"/>
    <n v="4"/>
    <s v="Very Good"/>
    <n v="20"/>
    <x v="1"/>
    <x v="4"/>
    <n v="9000"/>
    <n v="17"/>
    <n v="153000"/>
    <n v="9000"/>
    <n v="122.49"/>
    <x v="1"/>
    <n v="0"/>
    <n v="0"/>
    <n v="0"/>
    <n v="0"/>
  </r>
  <r>
    <s v="CUST0344"/>
    <s v="Alabo Baker"/>
    <d v="2025-03-25T00:00:00"/>
    <n v="41"/>
    <x v="2"/>
    <x v="9"/>
    <s v="5G Broadband Router"/>
    <x v="1"/>
    <n v="4"/>
    <s v="Very Good"/>
    <n v="20"/>
    <x v="1"/>
    <x v="17"/>
    <n v="75000"/>
    <n v="10"/>
    <n v="750000"/>
    <n v="75000"/>
    <n v="169.6"/>
    <x v="1"/>
    <n v="0"/>
    <n v="0"/>
    <n v="0"/>
    <n v="0"/>
  </r>
  <r>
    <s v="CUST0345"/>
    <s v="Sade Mercer"/>
    <d v="2025-03-25T00:00:00"/>
    <n v="63"/>
    <x v="3"/>
    <x v="4"/>
    <s v="4G Router"/>
    <x v="0"/>
    <n v="1"/>
    <s v="Poor"/>
    <n v="46"/>
    <x v="2"/>
    <x v="0"/>
    <n v="35000"/>
    <n v="13"/>
    <n v="455000"/>
    <n v="35000"/>
    <n v="140.59"/>
    <x v="1"/>
    <n v="0"/>
    <n v="0"/>
    <n v="0"/>
    <n v="0"/>
  </r>
  <r>
    <s v="CUST0346"/>
    <s v="Ese Harper"/>
    <d v="2025-02-25T00:00:00"/>
    <n v="64"/>
    <x v="3"/>
    <x v="10"/>
    <s v="Mobile SIM Card"/>
    <x v="1"/>
    <n v="2"/>
    <s v="Fair"/>
    <n v="28"/>
    <x v="2"/>
    <x v="7"/>
    <n v="3500"/>
    <n v="5"/>
    <n v="17500"/>
    <n v="3500"/>
    <n v="168.07"/>
    <x v="1"/>
    <n v="0"/>
    <n v="0"/>
    <n v="0"/>
    <n v="0"/>
  </r>
  <r>
    <s v="CUST0347"/>
    <s v="Abubakar Mcknight"/>
    <d v="2025-01-25T00:00:00"/>
    <n v="32"/>
    <x v="0"/>
    <x v="21"/>
    <s v="Mobile SIM Card"/>
    <x v="0"/>
    <n v="2"/>
    <s v="Fair"/>
    <n v="5"/>
    <x v="0"/>
    <x v="14"/>
    <n v="1000"/>
    <n v="14"/>
    <n v="14000"/>
    <n v="1000"/>
    <n v="27.88"/>
    <x v="1"/>
    <n v="0"/>
    <n v="0"/>
    <n v="0"/>
    <n v="0"/>
  </r>
  <r>
    <s v="CUST0347"/>
    <s v="Abubakar Mcknight"/>
    <d v="2025-01-25T00:00:00"/>
    <n v="32"/>
    <x v="0"/>
    <x v="21"/>
    <s v="Broadband MiFi"/>
    <x v="0"/>
    <n v="2"/>
    <s v="Fair"/>
    <n v="5"/>
    <x v="0"/>
    <x v="12"/>
    <n v="14500"/>
    <n v="20"/>
    <n v="290000"/>
    <n v="14500"/>
    <n v="178.77"/>
    <x v="1"/>
    <n v="0"/>
    <n v="0"/>
    <n v="0"/>
    <n v="0"/>
  </r>
  <r>
    <s v="CUST0348"/>
    <s v="Boma Anderson"/>
    <d v="2025-02-25T00:00:00"/>
    <n v="39"/>
    <x v="2"/>
    <x v="2"/>
    <s v="Mobile SIM Card"/>
    <x v="1"/>
    <n v="4"/>
    <s v="Very Good"/>
    <n v="36"/>
    <x v="2"/>
    <x v="16"/>
    <n v="900"/>
    <n v="8"/>
    <n v="7200"/>
    <n v="900"/>
    <n v="115.8"/>
    <x v="1"/>
    <n v="0"/>
    <n v="0"/>
    <n v="0"/>
    <n v="0"/>
  </r>
  <r>
    <s v="CUST0349"/>
    <s v="Michael Smith"/>
    <d v="2025-01-25T00:00:00"/>
    <n v="50"/>
    <x v="4"/>
    <x v="15"/>
    <s v="Broadband MiFi"/>
    <x v="1"/>
    <n v="5"/>
    <s v="Excellent"/>
    <n v="3"/>
    <x v="0"/>
    <x v="12"/>
    <n v="14500"/>
    <n v="3"/>
    <n v="43500"/>
    <n v="14500"/>
    <n v="192.37"/>
    <x v="1"/>
    <n v="0"/>
    <n v="0"/>
    <n v="0"/>
    <n v="0"/>
  </r>
  <r>
    <s v="CUST0349"/>
    <s v="Michael Smith"/>
    <d v="2025-01-25T00:00:00"/>
    <n v="50"/>
    <x v="4"/>
    <x v="15"/>
    <s v="5G Broadband Router"/>
    <x v="1"/>
    <n v="5"/>
    <s v="Excellent"/>
    <n v="3"/>
    <x v="0"/>
    <x v="11"/>
    <n v="30000"/>
    <n v="17"/>
    <n v="510000"/>
    <n v="30000"/>
    <n v="146.16999999999999"/>
    <x v="1"/>
    <n v="0"/>
    <n v="0"/>
    <n v="0"/>
    <n v="0"/>
  </r>
  <r>
    <s v="CUST0350"/>
    <s v="Zainab Compton"/>
    <d v="2025-01-25T00:00:00"/>
    <n v="75"/>
    <x v="3"/>
    <x v="8"/>
    <s v="Broadband MiFi"/>
    <x v="0"/>
    <n v="2"/>
    <s v="Fair"/>
    <n v="34"/>
    <x v="2"/>
    <x v="10"/>
    <n v="24000"/>
    <n v="11"/>
    <n v="264000"/>
    <n v="24000"/>
    <n v="11.03"/>
    <x v="1"/>
    <n v="0"/>
    <n v="0"/>
    <n v="0"/>
    <n v="0"/>
  </r>
  <r>
    <s v="CUST0350"/>
    <s v="Zainab Compton"/>
    <d v="2025-01-25T00:00:00"/>
    <n v="75"/>
    <x v="3"/>
    <x v="8"/>
    <s v="5G Broadband Router"/>
    <x v="0"/>
    <n v="2"/>
    <s v="Fair"/>
    <n v="34"/>
    <x v="2"/>
    <x v="4"/>
    <n v="9000"/>
    <n v="17"/>
    <n v="153000"/>
    <n v="9000"/>
    <n v="94.04"/>
    <x v="1"/>
    <n v="0"/>
    <n v="0"/>
    <n v="0"/>
    <n v="0"/>
  </r>
  <r>
    <s v="CUST0350"/>
    <s v="Zainab Compton"/>
    <d v="2025-01-25T00:00:00"/>
    <n v="75"/>
    <x v="3"/>
    <x v="8"/>
    <s v="4G Router"/>
    <x v="0"/>
    <n v="2"/>
    <s v="Fair"/>
    <n v="34"/>
    <x v="2"/>
    <x v="0"/>
    <n v="35000"/>
    <n v="11"/>
    <n v="385000"/>
    <n v="35000"/>
    <n v="115.01"/>
    <x v="1"/>
    <n v="0"/>
    <n v="0"/>
    <n v="0"/>
    <n v="0"/>
  </r>
  <r>
    <s v="CUST0351"/>
    <s v="Ibim Mills"/>
    <d v="2025-01-25T00:00:00"/>
    <n v="61"/>
    <x v="3"/>
    <x v="14"/>
    <s v="5G Broadband Router"/>
    <x v="1"/>
    <n v="5"/>
    <s v="Excellent"/>
    <n v="11"/>
    <x v="3"/>
    <x v="11"/>
    <n v="30000"/>
    <n v="10"/>
    <n v="300000"/>
    <n v="30000"/>
    <n v="114.79"/>
    <x v="1"/>
    <n v="0"/>
    <n v="0"/>
    <n v="0"/>
    <n v="0"/>
  </r>
  <r>
    <s v="CUST0351"/>
    <s v="Ibim Mills"/>
    <d v="2025-01-25T00:00:00"/>
    <n v="61"/>
    <x v="3"/>
    <x v="14"/>
    <s v="Broadband MiFi"/>
    <x v="1"/>
    <n v="5"/>
    <s v="Excellent"/>
    <n v="11"/>
    <x v="3"/>
    <x v="10"/>
    <n v="24000"/>
    <n v="16"/>
    <n v="384000"/>
    <n v="24000"/>
    <n v="5.95"/>
    <x v="1"/>
    <n v="0"/>
    <n v="0"/>
    <n v="0"/>
    <n v="0"/>
  </r>
  <r>
    <s v="CUST0351"/>
    <s v="Ibim Mills"/>
    <d v="2025-01-25T00:00:00"/>
    <n v="61"/>
    <x v="3"/>
    <x v="14"/>
    <s v="4G Router"/>
    <x v="1"/>
    <n v="5"/>
    <s v="Excellent"/>
    <n v="11"/>
    <x v="3"/>
    <x v="9"/>
    <n v="16000"/>
    <n v="3"/>
    <n v="48000"/>
    <n v="16000"/>
    <n v="25.8"/>
    <x v="1"/>
    <n v="0"/>
    <n v="0"/>
    <n v="0"/>
    <n v="0"/>
  </r>
  <r>
    <s v="CUST0352"/>
    <s v="Zainab Rivera"/>
    <d v="2025-03-25T00:00:00"/>
    <n v="48"/>
    <x v="4"/>
    <x v="21"/>
    <s v="4G Router"/>
    <x v="1"/>
    <n v="1"/>
    <s v="Poor"/>
    <n v="18"/>
    <x v="1"/>
    <x v="0"/>
    <n v="35000"/>
    <n v="6"/>
    <n v="210000"/>
    <n v="35000"/>
    <n v="74.27"/>
    <x v="1"/>
    <n v="0"/>
    <n v="0"/>
    <n v="0"/>
    <n v="0"/>
  </r>
  <r>
    <s v="CUST0352"/>
    <s v="Zainab Rivera"/>
    <d v="2025-03-25T00:00:00"/>
    <n v="48"/>
    <x v="4"/>
    <x v="21"/>
    <s v="5G Broadband Router"/>
    <x v="1"/>
    <n v="1"/>
    <s v="Poor"/>
    <n v="18"/>
    <x v="1"/>
    <x v="10"/>
    <n v="24000"/>
    <n v="8"/>
    <n v="192000"/>
    <n v="24000"/>
    <n v="156.61000000000001"/>
    <x v="1"/>
    <n v="0"/>
    <n v="0"/>
    <n v="0"/>
    <n v="0"/>
  </r>
  <r>
    <s v="CUST0352"/>
    <s v="Zainab Rivera"/>
    <d v="2025-03-25T00:00:00"/>
    <n v="48"/>
    <x v="4"/>
    <x v="21"/>
    <s v="Broadband MiFi"/>
    <x v="1"/>
    <n v="1"/>
    <s v="Poor"/>
    <n v="18"/>
    <x v="1"/>
    <x v="12"/>
    <n v="14500"/>
    <n v="17"/>
    <n v="246500"/>
    <n v="14500"/>
    <n v="36.57"/>
    <x v="1"/>
    <n v="0"/>
    <n v="0"/>
    <n v="0"/>
    <n v="0"/>
  </r>
  <r>
    <s v="CUST0353"/>
    <s v="Bola Patterson"/>
    <d v="2025-02-25T00:00:00"/>
    <n v="59"/>
    <x v="3"/>
    <x v="33"/>
    <s v="Mobile SIM Card"/>
    <x v="0"/>
    <n v="4"/>
    <s v="Very Good"/>
    <n v="39"/>
    <x v="2"/>
    <x v="1"/>
    <n v="5500"/>
    <n v="6"/>
    <n v="33000"/>
    <n v="5500"/>
    <n v="145.34"/>
    <x v="1"/>
    <n v="0"/>
    <n v="0"/>
    <n v="0"/>
    <n v="0"/>
  </r>
  <r>
    <s v="CUST0353"/>
    <s v="Bola Patterson"/>
    <d v="2025-02-25T00:00:00"/>
    <n v="59"/>
    <x v="3"/>
    <x v="33"/>
    <s v="Broadband MiFi"/>
    <x v="0"/>
    <n v="4"/>
    <s v="Very Good"/>
    <n v="39"/>
    <x v="2"/>
    <x v="2"/>
    <n v="20000"/>
    <n v="12"/>
    <n v="240000"/>
    <n v="20000"/>
    <n v="115.76"/>
    <x v="1"/>
    <n v="0"/>
    <n v="0"/>
    <n v="0"/>
    <n v="0"/>
  </r>
  <r>
    <s v="CUST0354"/>
    <s v="Sade Brown"/>
    <d v="2025-02-25T00:00:00"/>
    <n v="49"/>
    <x v="4"/>
    <x v="27"/>
    <s v="4G Router"/>
    <x v="0"/>
    <n v="4"/>
    <s v="Very Good"/>
    <n v="11"/>
    <x v="3"/>
    <x v="0"/>
    <n v="35000"/>
    <n v="5"/>
    <n v="175000"/>
    <n v="35000"/>
    <n v="95.18"/>
    <x v="1"/>
    <n v="0"/>
    <n v="0"/>
    <n v="0"/>
    <n v="0"/>
  </r>
  <r>
    <s v="CUST0354"/>
    <s v="Sade Brown"/>
    <d v="2025-02-25T00:00:00"/>
    <n v="49"/>
    <x v="4"/>
    <x v="27"/>
    <s v="Mobile SIM Card"/>
    <x v="0"/>
    <n v="4"/>
    <s v="Very Good"/>
    <n v="11"/>
    <x v="3"/>
    <x v="20"/>
    <n v="6500"/>
    <n v="1"/>
    <n v="6500"/>
    <n v="6500"/>
    <n v="174.12"/>
    <x v="1"/>
    <n v="0"/>
    <n v="0"/>
    <n v="0"/>
    <n v="0"/>
  </r>
  <r>
    <s v="CUST0355"/>
    <s v="Abubakar Martin"/>
    <d v="2025-01-25T00:00:00"/>
    <n v="73"/>
    <x v="3"/>
    <x v="6"/>
    <s v="5G Broadband Router"/>
    <x v="1"/>
    <n v="1"/>
    <s v="Poor"/>
    <n v="34"/>
    <x v="2"/>
    <x v="18"/>
    <n v="25000"/>
    <n v="4"/>
    <n v="100000"/>
    <n v="25000"/>
    <n v="54.43"/>
    <x v="1"/>
    <n v="0"/>
    <n v="0"/>
    <n v="0"/>
    <n v="0"/>
  </r>
  <r>
    <s v="CUST0355"/>
    <s v="Abubakar Martin"/>
    <d v="2025-01-25T00:00:00"/>
    <n v="73"/>
    <x v="3"/>
    <x v="6"/>
    <s v="4G Router"/>
    <x v="1"/>
    <n v="1"/>
    <s v="Poor"/>
    <n v="34"/>
    <x v="2"/>
    <x v="6"/>
    <n v="9000"/>
    <n v="13"/>
    <n v="117000"/>
    <n v="9000"/>
    <n v="131.04"/>
    <x v="1"/>
    <n v="0"/>
    <n v="0"/>
    <n v="0"/>
    <n v="0"/>
  </r>
  <r>
    <s v="CUST0355"/>
    <s v="Abubakar Martin"/>
    <d v="2025-01-25T00:00:00"/>
    <n v="73"/>
    <x v="3"/>
    <x v="6"/>
    <s v="Mobile SIM Card"/>
    <x v="1"/>
    <n v="1"/>
    <s v="Poor"/>
    <n v="34"/>
    <x v="2"/>
    <x v="1"/>
    <n v="5500"/>
    <n v="8"/>
    <n v="44000"/>
    <n v="5500"/>
    <n v="154.74"/>
    <x v="1"/>
    <n v="0"/>
    <n v="0"/>
    <n v="0"/>
    <n v="0"/>
  </r>
  <r>
    <s v="CUST0356"/>
    <s v="Bala Gibson"/>
    <d v="2025-01-25T00:00:00"/>
    <n v="59"/>
    <x v="3"/>
    <x v="20"/>
    <s v="Mobile SIM Card"/>
    <x v="1"/>
    <n v="1"/>
    <s v="Poor"/>
    <n v="36"/>
    <x v="2"/>
    <x v="14"/>
    <n v="1000"/>
    <n v="15"/>
    <n v="15000"/>
    <n v="1000"/>
    <n v="105.29"/>
    <x v="1"/>
    <n v="0"/>
    <n v="0"/>
    <n v="0"/>
    <n v="0"/>
  </r>
  <r>
    <s v="CUST0357"/>
    <s v="Oghene Winters"/>
    <d v="2025-01-25T00:00:00"/>
    <n v="44"/>
    <x v="2"/>
    <x v="14"/>
    <s v="4G Router"/>
    <x v="1"/>
    <n v="1"/>
    <s v="Poor"/>
    <n v="13"/>
    <x v="1"/>
    <x v="9"/>
    <n v="16000"/>
    <n v="4"/>
    <n v="64000"/>
    <n v="16000"/>
    <n v="141.76"/>
    <x v="1"/>
    <n v="0"/>
    <n v="0"/>
    <n v="0"/>
    <n v="0"/>
  </r>
  <r>
    <s v="CUST0358"/>
    <s v="Chinedu Smith"/>
    <d v="2025-01-25T00:00:00"/>
    <n v="32"/>
    <x v="0"/>
    <x v="6"/>
    <s v="Broadband MiFi"/>
    <x v="0"/>
    <n v="2"/>
    <s v="Fair"/>
    <n v="58"/>
    <x v="2"/>
    <x v="11"/>
    <n v="30000"/>
    <n v="11"/>
    <n v="330000"/>
    <n v="30000"/>
    <n v="153.99"/>
    <x v="0"/>
    <n v="1"/>
    <n v="0"/>
    <n v="0"/>
    <n v="0"/>
  </r>
  <r>
    <s v="CUST0358"/>
    <s v="Chinedu Smith"/>
    <d v="2025-01-25T00:00:00"/>
    <n v="32"/>
    <x v="0"/>
    <x v="6"/>
    <s v="5G Broadband Router"/>
    <x v="0"/>
    <n v="2"/>
    <s v="Fair"/>
    <n v="58"/>
    <x v="2"/>
    <x v="10"/>
    <n v="24000"/>
    <n v="3"/>
    <n v="72000"/>
    <n v="24000"/>
    <n v="32.81"/>
    <x v="0"/>
    <n v="1"/>
    <n v="0"/>
    <n v="0"/>
    <n v="0"/>
  </r>
  <r>
    <s v="CUST0358"/>
    <s v="Chinedu Smith"/>
    <d v="2025-01-25T00:00:00"/>
    <n v="32"/>
    <x v="0"/>
    <x v="6"/>
    <s v="4G Router"/>
    <x v="0"/>
    <n v="2"/>
    <s v="Fair"/>
    <n v="58"/>
    <x v="2"/>
    <x v="6"/>
    <n v="9000"/>
    <n v="13"/>
    <n v="117000"/>
    <n v="9000"/>
    <n v="155.53"/>
    <x v="0"/>
    <n v="1"/>
    <n v="0"/>
    <n v="0"/>
    <n v="0"/>
  </r>
  <r>
    <s v="CUST0359"/>
    <s v="Omamuzo Juarez"/>
    <d v="2025-03-25T00:00:00"/>
    <n v="58"/>
    <x v="3"/>
    <x v="4"/>
    <s v="4G Router"/>
    <x v="1"/>
    <n v="2"/>
    <s v="Fair"/>
    <n v="53"/>
    <x v="2"/>
    <x v="0"/>
    <n v="35000"/>
    <n v="16"/>
    <n v="560000"/>
    <n v="35000"/>
    <n v="36.1"/>
    <x v="1"/>
    <n v="0"/>
    <n v="0"/>
    <n v="0"/>
    <n v="0"/>
  </r>
  <r>
    <s v="CUST0359"/>
    <s v="Omamuzo Juarez"/>
    <d v="2025-03-25T00:00:00"/>
    <n v="58"/>
    <x v="3"/>
    <x v="4"/>
    <s v="5G Broadband Router"/>
    <x v="1"/>
    <n v="2"/>
    <s v="Fair"/>
    <n v="53"/>
    <x v="2"/>
    <x v="2"/>
    <n v="20000"/>
    <n v="14"/>
    <n v="280000"/>
    <n v="20000"/>
    <n v="29.2"/>
    <x v="1"/>
    <n v="0"/>
    <n v="0"/>
    <n v="0"/>
    <n v="0"/>
  </r>
  <r>
    <s v="CUST0360"/>
    <s v="Fatima Webb"/>
    <d v="2025-01-25T00:00:00"/>
    <n v="29"/>
    <x v="0"/>
    <x v="30"/>
    <s v="Mobile SIM Card"/>
    <x v="1"/>
    <n v="1"/>
    <s v="Poor"/>
    <n v="7"/>
    <x v="3"/>
    <x v="1"/>
    <n v="5500"/>
    <n v="1"/>
    <n v="5500"/>
    <n v="5500"/>
    <n v="30.2"/>
    <x v="0"/>
    <n v="1"/>
    <n v="0"/>
    <n v="0"/>
    <n v="0"/>
  </r>
  <r>
    <s v="CUST0360"/>
    <s v="Fatima Webb"/>
    <d v="2025-01-25T00:00:00"/>
    <n v="29"/>
    <x v="0"/>
    <x v="30"/>
    <s v="Broadband MiFi"/>
    <x v="1"/>
    <n v="1"/>
    <s v="Poor"/>
    <n v="7"/>
    <x v="3"/>
    <x v="4"/>
    <n v="9000"/>
    <n v="9"/>
    <n v="81000"/>
    <n v="9000"/>
    <n v="133.09"/>
    <x v="0"/>
    <n v="1"/>
    <n v="0"/>
    <n v="0"/>
    <n v="0"/>
  </r>
  <r>
    <s v="CUST0361"/>
    <s v="Obinna Andrews"/>
    <d v="2025-02-25T00:00:00"/>
    <n v="58"/>
    <x v="3"/>
    <x v="10"/>
    <s v="Broadband MiFi"/>
    <x v="0"/>
    <n v="4"/>
    <s v="Very Good"/>
    <n v="33"/>
    <x v="2"/>
    <x v="4"/>
    <n v="9000"/>
    <n v="16"/>
    <n v="144000"/>
    <n v="9000"/>
    <n v="77.19"/>
    <x v="1"/>
    <n v="0"/>
    <n v="0"/>
    <n v="0"/>
    <n v="0"/>
  </r>
  <r>
    <s v="CUST0361"/>
    <s v="Obinna Andrews"/>
    <d v="2025-02-25T00:00:00"/>
    <n v="58"/>
    <x v="3"/>
    <x v="10"/>
    <s v="5G Broadband Router"/>
    <x v="0"/>
    <n v="4"/>
    <s v="Very Good"/>
    <n v="33"/>
    <x v="2"/>
    <x v="2"/>
    <n v="20000"/>
    <n v="12"/>
    <n v="240000"/>
    <n v="20000"/>
    <n v="113.67"/>
    <x v="1"/>
    <n v="0"/>
    <n v="0"/>
    <n v="0"/>
    <n v="0"/>
  </r>
  <r>
    <s v="CUST0361"/>
    <s v="Obinna Andrews"/>
    <d v="2025-02-25T00:00:00"/>
    <n v="58"/>
    <x v="3"/>
    <x v="10"/>
    <s v="Mobile SIM Card"/>
    <x v="0"/>
    <n v="4"/>
    <s v="Very Good"/>
    <n v="33"/>
    <x v="2"/>
    <x v="7"/>
    <n v="3500"/>
    <n v="13"/>
    <n v="45500"/>
    <n v="3500"/>
    <n v="136.53"/>
    <x v="1"/>
    <n v="0"/>
    <n v="0"/>
    <n v="0"/>
    <n v="0"/>
  </r>
  <r>
    <s v="CUST0362"/>
    <s v="Sade Donaldson"/>
    <d v="2025-02-25T00:00:00"/>
    <n v="27"/>
    <x v="0"/>
    <x v="3"/>
    <s v="Broadband MiFi"/>
    <x v="1"/>
    <n v="3"/>
    <s v="Good"/>
    <n v="6"/>
    <x v="3"/>
    <x v="12"/>
    <n v="14500"/>
    <n v="10"/>
    <n v="145000"/>
    <n v="14500"/>
    <n v="132.32"/>
    <x v="1"/>
    <n v="0"/>
    <n v="0"/>
    <n v="0"/>
    <n v="0"/>
  </r>
  <r>
    <s v="CUST0363"/>
    <s v="Omamuzo Alexander"/>
    <d v="2025-02-25T00:00:00"/>
    <n v="29"/>
    <x v="0"/>
    <x v="25"/>
    <s v="4G Router"/>
    <x v="1"/>
    <n v="2"/>
    <s v="Fair"/>
    <n v="6"/>
    <x v="3"/>
    <x v="0"/>
    <n v="35000"/>
    <n v="18"/>
    <n v="630000"/>
    <n v="35000"/>
    <n v="78.06"/>
    <x v="0"/>
    <n v="1"/>
    <n v="0"/>
    <n v="0"/>
    <n v="0"/>
  </r>
  <r>
    <s v="CUST0364"/>
    <s v="Maryam Harmon"/>
    <d v="2025-01-25T00:00:00"/>
    <n v="79"/>
    <x v="3"/>
    <x v="11"/>
    <s v="Broadband MiFi"/>
    <x v="1"/>
    <n v="3"/>
    <s v="Good"/>
    <n v="2"/>
    <x v="0"/>
    <x v="2"/>
    <n v="20000"/>
    <n v="17"/>
    <n v="340000"/>
    <n v="20000"/>
    <n v="161.52000000000001"/>
    <x v="0"/>
    <n v="1"/>
    <n v="0"/>
    <n v="0"/>
    <n v="0"/>
  </r>
  <r>
    <s v="CUST0364"/>
    <s v="Maryam Harmon"/>
    <d v="2025-01-25T00:00:00"/>
    <n v="79"/>
    <x v="3"/>
    <x v="11"/>
    <s v="4G Router"/>
    <x v="1"/>
    <n v="3"/>
    <s v="Good"/>
    <n v="2"/>
    <x v="0"/>
    <x v="0"/>
    <n v="35000"/>
    <n v="18"/>
    <n v="630000"/>
    <n v="35000"/>
    <n v="188.05"/>
    <x v="0"/>
    <n v="1"/>
    <n v="0"/>
    <n v="0"/>
    <n v="0"/>
  </r>
  <r>
    <s v="CUST0364"/>
    <s v="Maryam Harmon"/>
    <d v="2025-01-25T00:00:00"/>
    <n v="79"/>
    <x v="3"/>
    <x v="11"/>
    <s v="Mobile SIM Card"/>
    <x v="1"/>
    <n v="3"/>
    <s v="Good"/>
    <n v="2"/>
    <x v="0"/>
    <x v="19"/>
    <n v="600"/>
    <n v="8"/>
    <n v="4800"/>
    <n v="600"/>
    <n v="148.34"/>
    <x v="0"/>
    <n v="1"/>
    <n v="0"/>
    <n v="0"/>
    <n v="0"/>
  </r>
  <r>
    <s v="CUST0365"/>
    <s v="Kunle Myers"/>
    <d v="2025-01-25T00:00:00"/>
    <n v="20"/>
    <x v="1"/>
    <x v="5"/>
    <s v="Broadband MiFi"/>
    <x v="1"/>
    <n v="4"/>
    <s v="Very Good"/>
    <n v="42"/>
    <x v="2"/>
    <x v="4"/>
    <n v="9000"/>
    <n v="2"/>
    <n v="18000"/>
    <n v="9000"/>
    <n v="34.86"/>
    <x v="1"/>
    <n v="0"/>
    <n v="0"/>
    <n v="0"/>
    <n v="0"/>
  </r>
  <r>
    <s v="CUST0365"/>
    <s v="Kunle Myers"/>
    <d v="2025-01-25T00:00:00"/>
    <n v="20"/>
    <x v="1"/>
    <x v="5"/>
    <s v="Mobile SIM Card"/>
    <x v="1"/>
    <n v="4"/>
    <s v="Very Good"/>
    <n v="42"/>
    <x v="2"/>
    <x v="3"/>
    <n v="500"/>
    <n v="4"/>
    <n v="2000"/>
    <n v="500"/>
    <n v="164.24"/>
    <x v="1"/>
    <n v="0"/>
    <n v="0"/>
    <n v="0"/>
    <n v="0"/>
  </r>
  <r>
    <s v="CUST0365"/>
    <s v="Kunle Myers"/>
    <d v="2025-01-25T00:00:00"/>
    <n v="20"/>
    <x v="1"/>
    <x v="5"/>
    <s v="5G Broadband Router"/>
    <x v="1"/>
    <n v="4"/>
    <s v="Very Good"/>
    <n v="42"/>
    <x v="2"/>
    <x v="8"/>
    <n v="150000"/>
    <n v="19"/>
    <n v="2850000"/>
    <n v="150000"/>
    <n v="122.44"/>
    <x v="1"/>
    <n v="0"/>
    <n v="0"/>
    <n v="0"/>
    <n v="0"/>
  </r>
  <r>
    <s v="CUST0366"/>
    <s v="Kunle Brady"/>
    <d v="2025-02-25T00:00:00"/>
    <n v="29"/>
    <x v="0"/>
    <x v="27"/>
    <s v="5G Broadband Router"/>
    <x v="1"/>
    <n v="1"/>
    <s v="Poor"/>
    <n v="39"/>
    <x v="2"/>
    <x v="17"/>
    <n v="75000"/>
    <n v="19"/>
    <n v="1425000"/>
    <n v="75000"/>
    <n v="65.180000000000007"/>
    <x v="1"/>
    <n v="0"/>
    <n v="0"/>
    <n v="0"/>
    <n v="0"/>
  </r>
  <r>
    <s v="CUST0366"/>
    <s v="Kunle Brady"/>
    <d v="2025-02-25T00:00:00"/>
    <n v="29"/>
    <x v="0"/>
    <x v="27"/>
    <s v="Mobile SIM Card"/>
    <x v="1"/>
    <n v="1"/>
    <s v="Poor"/>
    <n v="39"/>
    <x v="2"/>
    <x v="20"/>
    <n v="6500"/>
    <n v="7"/>
    <n v="45500"/>
    <n v="6500"/>
    <n v="27.9"/>
    <x v="1"/>
    <n v="0"/>
    <n v="0"/>
    <n v="0"/>
    <n v="0"/>
  </r>
  <r>
    <s v="CUST0367"/>
    <s v="Bola Carpenter"/>
    <d v="2025-03-25T00:00:00"/>
    <n v="38"/>
    <x v="2"/>
    <x v="26"/>
    <s v="5G Broadband Router"/>
    <x v="0"/>
    <n v="2"/>
    <s v="Fair"/>
    <n v="8"/>
    <x v="3"/>
    <x v="11"/>
    <n v="30000"/>
    <n v="19"/>
    <n v="570000"/>
    <n v="30000"/>
    <n v="88.01"/>
    <x v="1"/>
    <n v="0"/>
    <n v="0"/>
    <n v="0"/>
    <n v="0"/>
  </r>
  <r>
    <s v="CUST0368"/>
    <s v="Bola Meadows"/>
    <d v="2025-02-25T00:00:00"/>
    <n v="33"/>
    <x v="0"/>
    <x v="13"/>
    <s v="Broadband MiFi"/>
    <x v="1"/>
    <n v="1"/>
    <s v="Poor"/>
    <n v="50"/>
    <x v="2"/>
    <x v="4"/>
    <n v="9000"/>
    <n v="3"/>
    <n v="27000"/>
    <n v="9000"/>
    <n v="36.29"/>
    <x v="1"/>
    <n v="0"/>
    <n v="0"/>
    <n v="0"/>
    <n v="0"/>
  </r>
  <r>
    <s v="CUST0369"/>
    <s v="Abubakar Rodriguez"/>
    <d v="2025-02-25T00:00:00"/>
    <n v="69"/>
    <x v="3"/>
    <x v="31"/>
    <s v="4G Router"/>
    <x v="0"/>
    <n v="3"/>
    <s v="Good"/>
    <n v="14"/>
    <x v="1"/>
    <x v="9"/>
    <n v="16000"/>
    <n v="16"/>
    <n v="256000"/>
    <n v="16000"/>
    <n v="119.46"/>
    <x v="1"/>
    <n v="0"/>
    <n v="0"/>
    <n v="0"/>
    <n v="0"/>
  </r>
  <r>
    <s v="CUST0369"/>
    <s v="Abubakar Rodriguez"/>
    <d v="2025-02-25T00:00:00"/>
    <n v="69"/>
    <x v="3"/>
    <x v="31"/>
    <s v="Broadband MiFi"/>
    <x v="0"/>
    <n v="3"/>
    <s v="Good"/>
    <n v="14"/>
    <x v="1"/>
    <x v="10"/>
    <n v="24000"/>
    <n v="10"/>
    <n v="240000"/>
    <n v="24000"/>
    <n v="190.08"/>
    <x v="1"/>
    <n v="0"/>
    <n v="0"/>
    <n v="0"/>
    <n v="0"/>
  </r>
  <r>
    <s v="CUST0370"/>
    <s v="Oghene Bush"/>
    <d v="2025-01-25T00:00:00"/>
    <n v="69"/>
    <x v="3"/>
    <x v="34"/>
    <s v="5G Broadband Router"/>
    <x v="0"/>
    <n v="5"/>
    <s v="Excellent"/>
    <n v="13"/>
    <x v="1"/>
    <x v="8"/>
    <n v="150000"/>
    <n v="7"/>
    <n v="1050000"/>
    <n v="150000"/>
    <n v="154.18"/>
    <x v="1"/>
    <n v="0"/>
    <n v="0"/>
    <n v="0"/>
    <n v="0"/>
  </r>
  <r>
    <s v="CUST0370"/>
    <s v="Oghene Bush"/>
    <d v="2025-01-25T00:00:00"/>
    <n v="69"/>
    <x v="3"/>
    <x v="34"/>
    <s v="Mobile SIM Card"/>
    <x v="0"/>
    <n v="5"/>
    <s v="Excellent"/>
    <n v="13"/>
    <x v="1"/>
    <x v="3"/>
    <n v="500"/>
    <n v="4"/>
    <n v="2000"/>
    <n v="500"/>
    <n v="11.09"/>
    <x v="1"/>
    <n v="0"/>
    <n v="0"/>
    <n v="0"/>
    <n v="0"/>
  </r>
  <r>
    <s v="CUST0370"/>
    <s v="Oghene Bush"/>
    <d v="2025-01-25T00:00:00"/>
    <n v="69"/>
    <x v="3"/>
    <x v="34"/>
    <s v="Broadband MiFi"/>
    <x v="0"/>
    <n v="5"/>
    <s v="Excellent"/>
    <n v="13"/>
    <x v="1"/>
    <x v="2"/>
    <n v="20000"/>
    <n v="16"/>
    <n v="320000"/>
    <n v="20000"/>
    <n v="137.21"/>
    <x v="1"/>
    <n v="0"/>
    <n v="0"/>
    <n v="0"/>
    <n v="0"/>
  </r>
  <r>
    <s v="CUST0371"/>
    <s v="Grace Wilkerson"/>
    <d v="2025-03-25T00:00:00"/>
    <n v="38"/>
    <x v="2"/>
    <x v="1"/>
    <s v="Mobile SIM Card"/>
    <x v="0"/>
    <n v="3"/>
    <s v="Good"/>
    <n v="4"/>
    <x v="0"/>
    <x v="14"/>
    <n v="1000"/>
    <n v="18"/>
    <n v="18000"/>
    <n v="1000"/>
    <n v="148.21"/>
    <x v="0"/>
    <n v="1"/>
    <n v="0"/>
    <n v="0"/>
    <n v="0"/>
  </r>
  <r>
    <s v="CUST0371"/>
    <s v="Grace Wilkerson"/>
    <d v="2025-03-25T00:00:00"/>
    <n v="38"/>
    <x v="2"/>
    <x v="1"/>
    <s v="Broadband MiFi"/>
    <x v="0"/>
    <n v="3"/>
    <s v="Good"/>
    <n v="4"/>
    <x v="0"/>
    <x v="2"/>
    <n v="20000"/>
    <n v="1"/>
    <n v="20000"/>
    <n v="20000"/>
    <n v="32.03"/>
    <x v="0"/>
    <n v="1"/>
    <n v="0"/>
    <n v="0"/>
    <n v="0"/>
  </r>
  <r>
    <s v="CUST0372"/>
    <s v="Grace Salas"/>
    <d v="2025-02-25T00:00:00"/>
    <n v="30"/>
    <x v="0"/>
    <x v="23"/>
    <s v="4G Router"/>
    <x v="0"/>
    <n v="5"/>
    <s v="Excellent"/>
    <n v="47"/>
    <x v="2"/>
    <x v="6"/>
    <n v="9000"/>
    <n v="4"/>
    <n v="36000"/>
    <n v="9000"/>
    <n v="46.4"/>
    <x v="1"/>
    <n v="0"/>
    <n v="0"/>
    <n v="0"/>
    <n v="0"/>
  </r>
  <r>
    <s v="CUST0372"/>
    <s v="Grace Salas"/>
    <d v="2025-02-25T00:00:00"/>
    <n v="30"/>
    <x v="0"/>
    <x v="23"/>
    <s v="5G Broadband Router"/>
    <x v="0"/>
    <n v="5"/>
    <s v="Excellent"/>
    <n v="47"/>
    <x v="2"/>
    <x v="18"/>
    <n v="25000"/>
    <n v="8"/>
    <n v="200000"/>
    <n v="25000"/>
    <n v="45.94"/>
    <x v="1"/>
    <n v="0"/>
    <n v="0"/>
    <n v="0"/>
    <n v="0"/>
  </r>
  <r>
    <s v="CUST0373"/>
    <s v="Ibim Adams"/>
    <d v="2025-02-25T00:00:00"/>
    <n v="41"/>
    <x v="2"/>
    <x v="6"/>
    <s v="4G Router"/>
    <x v="0"/>
    <n v="5"/>
    <s v="Excellent"/>
    <n v="5"/>
    <x v="0"/>
    <x v="0"/>
    <n v="35000"/>
    <n v="12"/>
    <n v="420000"/>
    <n v="35000"/>
    <n v="36.020000000000003"/>
    <x v="1"/>
    <n v="0"/>
    <n v="0"/>
    <n v="0"/>
    <n v="0"/>
  </r>
  <r>
    <s v="CUST0373"/>
    <s v="Ibim Adams"/>
    <d v="2025-02-25T00:00:00"/>
    <n v="41"/>
    <x v="2"/>
    <x v="6"/>
    <s v="Broadband MiFi"/>
    <x v="0"/>
    <n v="5"/>
    <s v="Excellent"/>
    <n v="5"/>
    <x v="0"/>
    <x v="2"/>
    <n v="20000"/>
    <n v="7"/>
    <n v="140000"/>
    <n v="20000"/>
    <n v="91.82"/>
    <x v="1"/>
    <n v="0"/>
    <n v="0"/>
    <n v="0"/>
    <n v="0"/>
  </r>
  <r>
    <s v="CUST0374"/>
    <s v="Oghene Oliver"/>
    <d v="2025-01-25T00:00:00"/>
    <n v="50"/>
    <x v="4"/>
    <x v="18"/>
    <s v="Mobile SIM Card"/>
    <x v="1"/>
    <n v="5"/>
    <s v="Excellent"/>
    <n v="9"/>
    <x v="3"/>
    <x v="1"/>
    <n v="5500"/>
    <n v="11"/>
    <n v="60500"/>
    <n v="5500"/>
    <n v="83.94"/>
    <x v="0"/>
    <n v="1"/>
    <n v="0"/>
    <n v="0"/>
    <n v="0"/>
  </r>
  <r>
    <s v="CUST0375"/>
    <s v="Nura Oconnell"/>
    <d v="2025-02-25T00:00:00"/>
    <n v="53"/>
    <x v="4"/>
    <x v="1"/>
    <s v="Mobile SIM Card"/>
    <x v="0"/>
    <n v="1"/>
    <s v="Poor"/>
    <n v="37"/>
    <x v="2"/>
    <x v="1"/>
    <n v="5500"/>
    <n v="14"/>
    <n v="77000"/>
    <n v="5500"/>
    <n v="56.19"/>
    <x v="1"/>
    <n v="0"/>
    <n v="0"/>
    <n v="0"/>
    <n v="0"/>
  </r>
  <r>
    <s v="CUST0375"/>
    <s v="Nura Oconnell"/>
    <d v="2025-02-25T00:00:00"/>
    <n v="53"/>
    <x v="4"/>
    <x v="1"/>
    <s v="Broadband MiFi"/>
    <x v="0"/>
    <n v="1"/>
    <s v="Poor"/>
    <n v="37"/>
    <x v="2"/>
    <x v="2"/>
    <n v="20000"/>
    <n v="14"/>
    <n v="280000"/>
    <n v="20000"/>
    <n v="49.94"/>
    <x v="1"/>
    <n v="0"/>
    <n v="0"/>
    <n v="0"/>
    <n v="0"/>
  </r>
  <r>
    <s v="CUST0375"/>
    <s v="Nura Oconnell"/>
    <d v="2025-02-25T00:00:00"/>
    <n v="53"/>
    <x v="4"/>
    <x v="1"/>
    <s v="4G Router"/>
    <x v="0"/>
    <n v="1"/>
    <s v="Poor"/>
    <n v="37"/>
    <x v="2"/>
    <x v="5"/>
    <n v="4500"/>
    <n v="19"/>
    <n v="85500"/>
    <n v="4500"/>
    <n v="178.42"/>
    <x v="1"/>
    <n v="0"/>
    <n v="0"/>
    <n v="0"/>
    <n v="0"/>
  </r>
  <r>
    <s v="CUST0376"/>
    <s v="Obinna Miller"/>
    <d v="2025-02-25T00:00:00"/>
    <n v="16"/>
    <x v="1"/>
    <x v="15"/>
    <s v="Mobile SIM Card"/>
    <x v="0"/>
    <n v="5"/>
    <s v="Excellent"/>
    <n v="3"/>
    <x v="0"/>
    <x v="14"/>
    <n v="1000"/>
    <n v="8"/>
    <n v="8000"/>
    <n v="1000"/>
    <n v="90.76"/>
    <x v="0"/>
    <n v="1"/>
    <n v="0"/>
    <n v="0"/>
    <n v="0"/>
  </r>
  <r>
    <s v="CUST0377"/>
    <s v="Chinedu Christian"/>
    <d v="2025-03-25T00:00:00"/>
    <n v="17"/>
    <x v="1"/>
    <x v="15"/>
    <s v="Mobile SIM Card"/>
    <x v="0"/>
    <n v="3"/>
    <s v="Good"/>
    <n v="9"/>
    <x v="3"/>
    <x v="3"/>
    <n v="500"/>
    <n v="15"/>
    <n v="7500"/>
    <n v="500"/>
    <n v="32.78"/>
    <x v="0"/>
    <n v="1"/>
    <n v="0"/>
    <n v="0"/>
    <n v="0"/>
  </r>
  <r>
    <s v="CUST0378"/>
    <s v="Funke Carlson"/>
    <d v="2025-02-25T00:00:00"/>
    <n v="74"/>
    <x v="3"/>
    <x v="2"/>
    <s v="Mobile SIM Card"/>
    <x v="0"/>
    <n v="2"/>
    <s v="Fair"/>
    <n v="56"/>
    <x v="2"/>
    <x v="16"/>
    <n v="900"/>
    <n v="3"/>
    <n v="2700"/>
    <n v="900"/>
    <n v="172.15"/>
    <x v="1"/>
    <n v="0"/>
    <n v="0"/>
    <n v="0"/>
    <n v="0"/>
  </r>
  <r>
    <s v="CUST0378"/>
    <s v="Funke Carlson"/>
    <d v="2025-02-25T00:00:00"/>
    <n v="74"/>
    <x v="3"/>
    <x v="2"/>
    <s v="5G Broadband Router"/>
    <x v="0"/>
    <n v="2"/>
    <s v="Fair"/>
    <n v="56"/>
    <x v="2"/>
    <x v="17"/>
    <n v="75000"/>
    <n v="11"/>
    <n v="825000"/>
    <n v="75000"/>
    <n v="178.74"/>
    <x v="1"/>
    <n v="0"/>
    <n v="0"/>
    <n v="0"/>
    <n v="0"/>
  </r>
  <r>
    <s v="CUST0379"/>
    <s v="Sarah Woods"/>
    <d v="2025-03-25T00:00:00"/>
    <n v="20"/>
    <x v="1"/>
    <x v="14"/>
    <s v="Broadband MiFi"/>
    <x v="1"/>
    <n v="5"/>
    <s v="Excellent"/>
    <n v="49"/>
    <x v="2"/>
    <x v="10"/>
    <n v="24000"/>
    <n v="2"/>
    <n v="48000"/>
    <n v="24000"/>
    <n v="176.23"/>
    <x v="1"/>
    <n v="0"/>
    <n v="0"/>
    <n v="0"/>
    <n v="0"/>
  </r>
  <r>
    <s v="CUST0380"/>
    <s v="Michael Jacobs"/>
    <d v="2025-03-25T00:00:00"/>
    <n v="62"/>
    <x v="3"/>
    <x v="4"/>
    <s v="5G Broadband Router"/>
    <x v="0"/>
    <n v="4"/>
    <s v="Very Good"/>
    <n v="25"/>
    <x v="2"/>
    <x v="2"/>
    <n v="20000"/>
    <n v="7"/>
    <n v="140000"/>
    <n v="20000"/>
    <n v="112.37"/>
    <x v="1"/>
    <n v="0"/>
    <n v="0"/>
    <n v="0"/>
    <n v="0"/>
  </r>
  <r>
    <s v="CUST0380"/>
    <s v="Michael Jacobs"/>
    <d v="2025-03-25T00:00:00"/>
    <n v="62"/>
    <x v="3"/>
    <x v="4"/>
    <s v="Broadband MiFi"/>
    <x v="0"/>
    <n v="4"/>
    <s v="Very Good"/>
    <n v="25"/>
    <x v="2"/>
    <x v="2"/>
    <n v="20000"/>
    <n v="8"/>
    <n v="160000"/>
    <n v="20000"/>
    <n v="196.26"/>
    <x v="1"/>
    <n v="0"/>
    <n v="0"/>
    <n v="0"/>
    <n v="0"/>
  </r>
  <r>
    <s v="CUST0381"/>
    <s v="David Murphy"/>
    <d v="2025-02-25T00:00:00"/>
    <n v="30"/>
    <x v="0"/>
    <x v="31"/>
    <s v="Mobile SIM Card"/>
    <x v="0"/>
    <n v="3"/>
    <s v="Good"/>
    <n v="49"/>
    <x v="2"/>
    <x v="16"/>
    <n v="900"/>
    <n v="12"/>
    <n v="10800"/>
    <n v="900"/>
    <n v="13.14"/>
    <x v="1"/>
    <n v="0"/>
    <n v="0"/>
    <n v="0"/>
    <n v="0"/>
  </r>
  <r>
    <s v="CUST0381"/>
    <s v="David Murphy"/>
    <d v="2025-02-25T00:00:00"/>
    <n v="30"/>
    <x v="0"/>
    <x v="31"/>
    <s v="4G Router"/>
    <x v="0"/>
    <n v="3"/>
    <s v="Good"/>
    <n v="49"/>
    <x v="2"/>
    <x v="0"/>
    <n v="35000"/>
    <n v="17"/>
    <n v="595000"/>
    <n v="35000"/>
    <n v="97.5"/>
    <x v="1"/>
    <n v="0"/>
    <n v="0"/>
    <n v="0"/>
    <n v="0"/>
  </r>
  <r>
    <s v="CUST0382"/>
    <s v="Ifeanyi Cooper"/>
    <d v="2025-03-25T00:00:00"/>
    <n v="76"/>
    <x v="3"/>
    <x v="11"/>
    <s v="Broadband MiFi"/>
    <x v="1"/>
    <n v="1"/>
    <s v="Poor"/>
    <n v="29"/>
    <x v="2"/>
    <x v="12"/>
    <n v="14500"/>
    <n v="10"/>
    <n v="145000"/>
    <n v="14500"/>
    <n v="179.64"/>
    <x v="0"/>
    <n v="1"/>
    <n v="0"/>
    <n v="0"/>
    <n v="0"/>
  </r>
  <r>
    <s v="CUST0383"/>
    <s v="Kunle Manning"/>
    <d v="2025-02-25T00:00:00"/>
    <n v="29"/>
    <x v="0"/>
    <x v="1"/>
    <s v="Broadband MiFi"/>
    <x v="1"/>
    <n v="4"/>
    <s v="Very Good"/>
    <n v="8"/>
    <x v="3"/>
    <x v="10"/>
    <n v="24000"/>
    <n v="16"/>
    <n v="384000"/>
    <n v="24000"/>
    <n v="186.38"/>
    <x v="0"/>
    <n v="1"/>
    <n v="0"/>
    <n v="0"/>
    <n v="0"/>
  </r>
  <r>
    <s v="CUST0383"/>
    <s v="Kunle Manning"/>
    <d v="2025-02-25T00:00:00"/>
    <n v="29"/>
    <x v="0"/>
    <x v="1"/>
    <s v="4G Router"/>
    <x v="1"/>
    <n v="4"/>
    <s v="Very Good"/>
    <n v="8"/>
    <x v="3"/>
    <x v="6"/>
    <n v="9000"/>
    <n v="1"/>
    <n v="9000"/>
    <n v="9000"/>
    <n v="84.32"/>
    <x v="0"/>
    <n v="1"/>
    <n v="0"/>
    <n v="0"/>
    <n v="0"/>
  </r>
  <r>
    <s v="CUST0383"/>
    <s v="Kunle Manning"/>
    <d v="2025-02-25T00:00:00"/>
    <n v="29"/>
    <x v="0"/>
    <x v="1"/>
    <s v="5G Broadband Router"/>
    <x v="1"/>
    <n v="4"/>
    <s v="Very Good"/>
    <n v="8"/>
    <x v="3"/>
    <x v="10"/>
    <n v="24000"/>
    <n v="1"/>
    <n v="24000"/>
    <n v="24000"/>
    <n v="38.22"/>
    <x v="0"/>
    <n v="1"/>
    <n v="0"/>
    <n v="0"/>
    <n v="0"/>
  </r>
  <r>
    <s v="CUST0384"/>
    <s v="Nura Rodriguez"/>
    <d v="2025-03-25T00:00:00"/>
    <n v="58"/>
    <x v="3"/>
    <x v="15"/>
    <s v="Mobile SIM Card"/>
    <x v="1"/>
    <n v="4"/>
    <s v="Very Good"/>
    <n v="42"/>
    <x v="2"/>
    <x v="19"/>
    <n v="600"/>
    <n v="10"/>
    <n v="6000"/>
    <n v="600"/>
    <n v="179.71"/>
    <x v="1"/>
    <n v="0"/>
    <n v="0"/>
    <n v="0"/>
    <n v="0"/>
  </r>
  <r>
    <s v="CUST0384"/>
    <s v="Nura Rodriguez"/>
    <d v="2025-03-25T00:00:00"/>
    <n v="58"/>
    <x v="3"/>
    <x v="15"/>
    <s v="4G Router"/>
    <x v="1"/>
    <n v="4"/>
    <s v="Very Good"/>
    <n v="42"/>
    <x v="2"/>
    <x v="5"/>
    <n v="4500"/>
    <n v="8"/>
    <n v="36000"/>
    <n v="4500"/>
    <n v="157.96"/>
    <x v="1"/>
    <n v="0"/>
    <n v="0"/>
    <n v="0"/>
    <n v="0"/>
  </r>
  <r>
    <s v="CUST0384"/>
    <s v="Nura Rodriguez"/>
    <d v="2025-03-25T00:00:00"/>
    <n v="58"/>
    <x v="3"/>
    <x v="15"/>
    <s v="5G Broadband Router"/>
    <x v="1"/>
    <n v="4"/>
    <s v="Very Good"/>
    <n v="42"/>
    <x v="2"/>
    <x v="8"/>
    <n v="150000"/>
    <n v="10"/>
    <n v="1500000"/>
    <n v="150000"/>
    <n v="74.69"/>
    <x v="1"/>
    <n v="0"/>
    <n v="0"/>
    <n v="0"/>
    <n v="0"/>
  </r>
  <r>
    <s v="CUST0385"/>
    <s v="Sade George"/>
    <d v="2025-02-25T00:00:00"/>
    <n v="34"/>
    <x v="0"/>
    <x v="25"/>
    <s v="5G Broadband Router"/>
    <x v="1"/>
    <n v="5"/>
    <s v="Excellent"/>
    <n v="30"/>
    <x v="2"/>
    <x v="11"/>
    <n v="30000"/>
    <n v="4"/>
    <n v="120000"/>
    <n v="30000"/>
    <n v="32.67"/>
    <x v="1"/>
    <n v="0"/>
    <n v="0"/>
    <n v="0"/>
    <n v="0"/>
  </r>
  <r>
    <s v="CUST0385"/>
    <s v="Sade George"/>
    <d v="2025-02-25T00:00:00"/>
    <n v="34"/>
    <x v="0"/>
    <x v="25"/>
    <s v="Broadband MiFi"/>
    <x v="1"/>
    <n v="5"/>
    <s v="Excellent"/>
    <n v="30"/>
    <x v="2"/>
    <x v="4"/>
    <n v="9000"/>
    <n v="19"/>
    <n v="171000"/>
    <n v="9000"/>
    <n v="198.76"/>
    <x v="1"/>
    <n v="0"/>
    <n v="0"/>
    <n v="0"/>
    <n v="0"/>
  </r>
  <r>
    <s v="CUST0385"/>
    <s v="Sade George"/>
    <d v="2025-02-25T00:00:00"/>
    <n v="34"/>
    <x v="0"/>
    <x v="25"/>
    <s v="Mobile SIM Card"/>
    <x v="1"/>
    <n v="5"/>
    <s v="Excellent"/>
    <n v="30"/>
    <x v="2"/>
    <x v="19"/>
    <n v="600"/>
    <n v="12"/>
    <n v="7200"/>
    <n v="600"/>
    <n v="88.46"/>
    <x v="1"/>
    <n v="0"/>
    <n v="0"/>
    <n v="0"/>
    <n v="0"/>
  </r>
  <r>
    <s v="CUST0386"/>
    <s v="Shehu Torres"/>
    <d v="2025-02-25T00:00:00"/>
    <n v="42"/>
    <x v="2"/>
    <x v="19"/>
    <s v="5G Broadband Router"/>
    <x v="1"/>
    <n v="3"/>
    <s v="Good"/>
    <n v="23"/>
    <x v="1"/>
    <x v="2"/>
    <n v="20000"/>
    <n v="13"/>
    <n v="260000"/>
    <n v="20000"/>
    <n v="184.13"/>
    <x v="1"/>
    <n v="0"/>
    <n v="0"/>
    <n v="0"/>
    <n v="0"/>
  </r>
  <r>
    <s v="CUST0387"/>
    <s v="Grace Walsh"/>
    <d v="2025-01-25T00:00:00"/>
    <n v="34"/>
    <x v="0"/>
    <x v="2"/>
    <s v="5G Broadband Router"/>
    <x v="1"/>
    <n v="5"/>
    <s v="Excellent"/>
    <n v="10"/>
    <x v="3"/>
    <x v="10"/>
    <n v="24000"/>
    <n v="19"/>
    <n v="456000"/>
    <n v="24000"/>
    <n v="193.94"/>
    <x v="1"/>
    <n v="0"/>
    <n v="0"/>
    <n v="0"/>
    <n v="0"/>
  </r>
  <r>
    <s v="CUST0387"/>
    <s v="Grace Walsh"/>
    <d v="2025-01-25T00:00:00"/>
    <n v="34"/>
    <x v="0"/>
    <x v="2"/>
    <s v="4G Router"/>
    <x v="1"/>
    <n v="5"/>
    <s v="Excellent"/>
    <n v="10"/>
    <x v="3"/>
    <x v="5"/>
    <n v="4500"/>
    <n v="15"/>
    <n v="67500"/>
    <n v="4500"/>
    <n v="160.02000000000001"/>
    <x v="1"/>
    <n v="0"/>
    <n v="0"/>
    <n v="0"/>
    <n v="0"/>
  </r>
  <r>
    <s v="CUST0388"/>
    <s v="Tega Cervantes"/>
    <d v="2025-01-25T00:00:00"/>
    <n v="30"/>
    <x v="0"/>
    <x v="31"/>
    <s v="Mobile SIM Card"/>
    <x v="0"/>
    <n v="3"/>
    <s v="Good"/>
    <n v="9"/>
    <x v="3"/>
    <x v="7"/>
    <n v="3500"/>
    <n v="2"/>
    <n v="7000"/>
    <n v="3500"/>
    <n v="18.95"/>
    <x v="0"/>
    <n v="1"/>
    <n v="0"/>
    <n v="0"/>
    <n v="0"/>
  </r>
  <r>
    <s v="CUST0389"/>
    <s v="Bala Dunn"/>
    <d v="2025-01-25T00:00:00"/>
    <n v="44"/>
    <x v="2"/>
    <x v="29"/>
    <s v="Broadband MiFi"/>
    <x v="0"/>
    <n v="5"/>
    <s v="Excellent"/>
    <n v="2"/>
    <x v="0"/>
    <x v="2"/>
    <n v="20000"/>
    <n v="20"/>
    <n v="400000"/>
    <n v="20000"/>
    <n v="98.35"/>
    <x v="1"/>
    <n v="0"/>
    <n v="0"/>
    <n v="0"/>
    <n v="0"/>
  </r>
  <r>
    <s v="CUST0389"/>
    <s v="Bala Dunn"/>
    <d v="2025-01-25T00:00:00"/>
    <n v="44"/>
    <x v="2"/>
    <x v="29"/>
    <s v="5G Broadband Router"/>
    <x v="0"/>
    <n v="5"/>
    <s v="Excellent"/>
    <n v="2"/>
    <x v="0"/>
    <x v="4"/>
    <n v="9000"/>
    <n v="12"/>
    <n v="108000"/>
    <n v="9000"/>
    <n v="181.74"/>
    <x v="1"/>
    <n v="0"/>
    <n v="0"/>
    <n v="0"/>
    <n v="0"/>
  </r>
  <r>
    <s v="CUST0389"/>
    <s v="Bala Dunn"/>
    <d v="2025-01-25T00:00:00"/>
    <n v="44"/>
    <x v="2"/>
    <x v="29"/>
    <s v="4G Router"/>
    <x v="0"/>
    <n v="5"/>
    <s v="Excellent"/>
    <n v="2"/>
    <x v="0"/>
    <x v="0"/>
    <n v="35000"/>
    <n v="14"/>
    <n v="490000"/>
    <n v="35000"/>
    <n v="30.02"/>
    <x v="1"/>
    <n v="0"/>
    <n v="0"/>
    <n v="0"/>
    <n v="0"/>
  </r>
  <r>
    <s v="CUST0390"/>
    <s v="Ejiro Gonzalez"/>
    <d v="2025-03-25T00:00:00"/>
    <n v="65"/>
    <x v="3"/>
    <x v="3"/>
    <s v="Broadband MiFi"/>
    <x v="0"/>
    <n v="3"/>
    <s v="Good"/>
    <n v="19"/>
    <x v="1"/>
    <x v="12"/>
    <n v="14500"/>
    <n v="14"/>
    <n v="203000"/>
    <n v="14500"/>
    <n v="148.43"/>
    <x v="1"/>
    <n v="0"/>
    <n v="0"/>
    <n v="0"/>
    <n v="0"/>
  </r>
  <r>
    <s v="CUST0390"/>
    <s v="Ejiro Gonzalez"/>
    <d v="2025-03-25T00:00:00"/>
    <n v="65"/>
    <x v="3"/>
    <x v="3"/>
    <s v="Mobile SIM Card"/>
    <x v="0"/>
    <n v="3"/>
    <s v="Good"/>
    <n v="19"/>
    <x v="1"/>
    <x v="1"/>
    <n v="5500"/>
    <n v="14"/>
    <n v="77000"/>
    <n v="5500"/>
    <n v="58.08"/>
    <x v="1"/>
    <n v="0"/>
    <n v="0"/>
    <n v="0"/>
    <n v="0"/>
  </r>
  <r>
    <s v="CUST0391"/>
    <s v="Ibim Schwartz"/>
    <d v="2025-03-25T00:00:00"/>
    <n v="33"/>
    <x v="0"/>
    <x v="33"/>
    <s v="5G Broadband Router"/>
    <x v="0"/>
    <n v="4"/>
    <s v="Very Good"/>
    <n v="14"/>
    <x v="1"/>
    <x v="2"/>
    <n v="20000"/>
    <n v="9"/>
    <n v="180000"/>
    <n v="20000"/>
    <n v="1.82"/>
    <x v="1"/>
    <n v="0"/>
    <n v="0"/>
    <n v="0"/>
    <n v="0"/>
  </r>
  <r>
    <s v="CUST0391"/>
    <s v="Ibim Schwartz"/>
    <d v="2025-03-25T00:00:00"/>
    <n v="33"/>
    <x v="0"/>
    <x v="33"/>
    <s v="Broadband MiFi"/>
    <x v="0"/>
    <n v="4"/>
    <s v="Very Good"/>
    <n v="14"/>
    <x v="1"/>
    <x v="12"/>
    <n v="14500"/>
    <n v="15"/>
    <n v="217500"/>
    <n v="14500"/>
    <n v="35.39"/>
    <x v="1"/>
    <n v="0"/>
    <n v="0"/>
    <n v="0"/>
    <n v="0"/>
  </r>
  <r>
    <s v="CUST0391"/>
    <s v="Ibim Schwartz"/>
    <d v="2025-03-25T00:00:00"/>
    <n v="33"/>
    <x v="0"/>
    <x v="33"/>
    <s v="4G Router"/>
    <x v="0"/>
    <n v="4"/>
    <s v="Very Good"/>
    <n v="14"/>
    <x v="1"/>
    <x v="5"/>
    <n v="4500"/>
    <n v="13"/>
    <n v="58500"/>
    <n v="4500"/>
    <n v="40.25"/>
    <x v="1"/>
    <n v="0"/>
    <n v="0"/>
    <n v="0"/>
    <n v="0"/>
  </r>
  <r>
    <s v="CUST0392"/>
    <s v="Abubakar Hayes"/>
    <d v="2025-03-25T00:00:00"/>
    <n v="78"/>
    <x v="3"/>
    <x v="19"/>
    <s v="4G Router"/>
    <x v="1"/>
    <n v="4"/>
    <s v="Very Good"/>
    <n v="54"/>
    <x v="2"/>
    <x v="9"/>
    <n v="16000"/>
    <n v="10"/>
    <n v="160000"/>
    <n v="16000"/>
    <n v="31.23"/>
    <x v="1"/>
    <n v="0"/>
    <n v="0"/>
    <n v="0"/>
    <n v="0"/>
  </r>
  <r>
    <s v="CUST0392"/>
    <s v="Abubakar Hayes"/>
    <d v="2025-03-25T00:00:00"/>
    <n v="78"/>
    <x v="3"/>
    <x v="19"/>
    <s v="Broadband MiFi"/>
    <x v="1"/>
    <n v="4"/>
    <s v="Very Good"/>
    <n v="54"/>
    <x v="2"/>
    <x v="12"/>
    <n v="14500"/>
    <n v="10"/>
    <n v="145000"/>
    <n v="14500"/>
    <n v="25.27"/>
    <x v="1"/>
    <n v="0"/>
    <n v="0"/>
    <n v="0"/>
    <n v="0"/>
  </r>
  <r>
    <s v="CUST0393"/>
    <s v="Ibim Ballard"/>
    <d v="2025-01-25T00:00:00"/>
    <n v="38"/>
    <x v="2"/>
    <x v="12"/>
    <s v="5G Broadband Router"/>
    <x v="0"/>
    <n v="3"/>
    <s v="Good"/>
    <n v="2"/>
    <x v="0"/>
    <x v="8"/>
    <n v="150000"/>
    <n v="9"/>
    <n v="1350000"/>
    <n v="150000"/>
    <n v="113.33"/>
    <x v="1"/>
    <n v="0"/>
    <n v="0"/>
    <n v="0"/>
    <n v="0"/>
  </r>
  <r>
    <s v="CUST0394"/>
    <s v="John Nielsen"/>
    <d v="2025-03-25T00:00:00"/>
    <n v="31"/>
    <x v="0"/>
    <x v="3"/>
    <s v="5G Broadband Router"/>
    <x v="0"/>
    <n v="2"/>
    <s v="Fair"/>
    <n v="55"/>
    <x v="2"/>
    <x v="8"/>
    <n v="150000"/>
    <n v="5"/>
    <n v="750000"/>
    <n v="150000"/>
    <n v="175.72"/>
    <x v="1"/>
    <n v="0"/>
    <n v="0"/>
    <n v="0"/>
    <n v="0"/>
  </r>
  <r>
    <s v="CUST0395"/>
    <s v="Oghene Pacheco"/>
    <d v="2025-02-25T00:00:00"/>
    <n v="36"/>
    <x v="2"/>
    <x v="4"/>
    <s v="Broadband MiFi"/>
    <x v="1"/>
    <n v="3"/>
    <s v="Good"/>
    <n v="24"/>
    <x v="1"/>
    <x v="2"/>
    <n v="20000"/>
    <n v="20"/>
    <n v="400000"/>
    <n v="20000"/>
    <n v="153.06"/>
    <x v="0"/>
    <n v="1"/>
    <n v="0"/>
    <n v="0"/>
    <n v="0"/>
  </r>
  <r>
    <s v="CUST0395"/>
    <s v="Oghene Pacheco"/>
    <d v="2025-02-25T00:00:00"/>
    <n v="36"/>
    <x v="2"/>
    <x v="4"/>
    <s v="5G Broadband Router"/>
    <x v="1"/>
    <n v="3"/>
    <s v="Good"/>
    <n v="24"/>
    <x v="1"/>
    <x v="11"/>
    <n v="30000"/>
    <n v="11"/>
    <n v="330000"/>
    <n v="30000"/>
    <n v="108.97"/>
    <x v="0"/>
    <n v="1"/>
    <n v="0"/>
    <n v="0"/>
    <n v="0"/>
  </r>
  <r>
    <s v="CUST0395"/>
    <s v="Oghene Pacheco"/>
    <d v="2025-02-25T00:00:00"/>
    <n v="36"/>
    <x v="2"/>
    <x v="4"/>
    <s v="Mobile SIM Card"/>
    <x v="1"/>
    <n v="3"/>
    <s v="Good"/>
    <n v="24"/>
    <x v="1"/>
    <x v="3"/>
    <n v="500"/>
    <n v="12"/>
    <n v="6000"/>
    <n v="500"/>
    <n v="54.66"/>
    <x v="0"/>
    <n v="1"/>
    <n v="0"/>
    <n v="0"/>
    <n v="0"/>
  </r>
  <r>
    <s v="CUST0396"/>
    <s v="Ngozi Johnson"/>
    <d v="2025-03-25T00:00:00"/>
    <n v="61"/>
    <x v="3"/>
    <x v="5"/>
    <s v="5G Broadband Router"/>
    <x v="0"/>
    <n v="3"/>
    <s v="Good"/>
    <n v="9"/>
    <x v="3"/>
    <x v="2"/>
    <n v="20000"/>
    <n v="17"/>
    <n v="340000"/>
    <n v="20000"/>
    <n v="43.97"/>
    <x v="1"/>
    <n v="0"/>
    <n v="0"/>
    <n v="0"/>
    <n v="0"/>
  </r>
  <r>
    <s v="CUST0396"/>
    <s v="Ngozi Johnson"/>
    <d v="2025-03-25T00:00:00"/>
    <n v="61"/>
    <x v="3"/>
    <x v="5"/>
    <s v="Broadband MiFi"/>
    <x v="0"/>
    <n v="3"/>
    <s v="Good"/>
    <n v="9"/>
    <x v="3"/>
    <x v="2"/>
    <n v="20000"/>
    <n v="18"/>
    <n v="360000"/>
    <n v="20000"/>
    <n v="166.4"/>
    <x v="1"/>
    <n v="0"/>
    <n v="0"/>
    <n v="0"/>
    <n v="0"/>
  </r>
  <r>
    <s v="CUST0397"/>
    <s v="Sarah Perry"/>
    <d v="2025-01-25T00:00:00"/>
    <n v="30"/>
    <x v="0"/>
    <x v="15"/>
    <s v="Mobile SIM Card"/>
    <x v="1"/>
    <n v="1"/>
    <s v="Poor"/>
    <n v="59"/>
    <x v="2"/>
    <x v="7"/>
    <n v="3500"/>
    <n v="12"/>
    <n v="42000"/>
    <n v="3500"/>
    <n v="62.66"/>
    <x v="1"/>
    <n v="0"/>
    <n v="0"/>
    <n v="0"/>
    <n v="0"/>
  </r>
  <r>
    <s v="CUST0398"/>
    <s v="Amaka Shannon"/>
    <d v="2025-03-25T00:00:00"/>
    <n v="72"/>
    <x v="3"/>
    <x v="8"/>
    <s v="4G Router"/>
    <x v="1"/>
    <n v="1"/>
    <s v="Poor"/>
    <n v="12"/>
    <x v="3"/>
    <x v="5"/>
    <n v="4500"/>
    <n v="5"/>
    <n v="22500"/>
    <n v="4500"/>
    <n v="171.43"/>
    <x v="1"/>
    <n v="0"/>
    <n v="0"/>
    <n v="0"/>
    <n v="0"/>
  </r>
  <r>
    <s v="CUST0399"/>
    <s v="Nura Delgado"/>
    <d v="2025-01-25T00:00:00"/>
    <n v="55"/>
    <x v="3"/>
    <x v="21"/>
    <s v="Broadband MiFi"/>
    <x v="0"/>
    <n v="4"/>
    <s v="Very Good"/>
    <n v="9"/>
    <x v="3"/>
    <x v="4"/>
    <n v="9000"/>
    <n v="14"/>
    <n v="126000"/>
    <n v="9000"/>
    <n v="155.05000000000001"/>
    <x v="1"/>
    <n v="0"/>
    <n v="0"/>
    <n v="0"/>
    <n v="0"/>
  </r>
  <r>
    <s v="CUST0400"/>
    <s v="Bola Vincent"/>
    <d v="2025-01-25T00:00:00"/>
    <n v="41"/>
    <x v="2"/>
    <x v="13"/>
    <s v="Broadband MiFi"/>
    <x v="0"/>
    <n v="4"/>
    <s v="Very Good"/>
    <n v="51"/>
    <x v="2"/>
    <x v="11"/>
    <n v="30000"/>
    <n v="4"/>
    <n v="120000"/>
    <n v="30000"/>
    <n v="133.68"/>
    <x v="0"/>
    <n v="1"/>
    <n v="0"/>
    <n v="0"/>
    <n v="0"/>
  </r>
  <r>
    <s v="CUST0401"/>
    <s v="Ifeanyi Adkins"/>
    <d v="2025-03-25T00:00:00"/>
    <n v="42"/>
    <x v="2"/>
    <x v="18"/>
    <s v="5G Broadband Router"/>
    <x v="0"/>
    <n v="1"/>
    <s v="Poor"/>
    <n v="43"/>
    <x v="2"/>
    <x v="18"/>
    <n v="25000"/>
    <n v="17"/>
    <n v="425000"/>
    <n v="25000"/>
    <n v="32.53"/>
    <x v="0"/>
    <n v="1"/>
    <n v="0"/>
    <n v="0"/>
    <n v="0"/>
  </r>
  <r>
    <s v="CUST0401"/>
    <s v="Ifeanyi Adkins"/>
    <d v="2025-03-25T00:00:00"/>
    <n v="42"/>
    <x v="2"/>
    <x v="18"/>
    <s v="Mobile SIM Card"/>
    <x v="0"/>
    <n v="1"/>
    <s v="Poor"/>
    <n v="43"/>
    <x v="2"/>
    <x v="13"/>
    <n v="350"/>
    <n v="3"/>
    <n v="1050"/>
    <n v="350"/>
    <n v="101.23"/>
    <x v="0"/>
    <n v="1"/>
    <n v="0"/>
    <n v="0"/>
    <n v="0"/>
  </r>
  <r>
    <s v="CUST0401"/>
    <s v="Ifeanyi Adkins"/>
    <d v="2025-03-25T00:00:00"/>
    <n v="42"/>
    <x v="2"/>
    <x v="18"/>
    <s v="4G Router"/>
    <x v="0"/>
    <n v="1"/>
    <s v="Poor"/>
    <n v="43"/>
    <x v="2"/>
    <x v="9"/>
    <n v="16000"/>
    <n v="1"/>
    <n v="16000"/>
    <n v="16000"/>
    <n v="164.01"/>
    <x v="0"/>
    <n v="1"/>
    <n v="0"/>
    <n v="0"/>
    <n v="0"/>
  </r>
  <r>
    <s v="CUST0402"/>
    <s v="Sarah Oconnor"/>
    <d v="2025-01-25T00:00:00"/>
    <n v="43"/>
    <x v="2"/>
    <x v="18"/>
    <s v="Mobile SIM Card"/>
    <x v="1"/>
    <n v="1"/>
    <s v="Poor"/>
    <n v="11"/>
    <x v="3"/>
    <x v="1"/>
    <n v="5500"/>
    <n v="4"/>
    <n v="22000"/>
    <n v="5500"/>
    <n v="134.87"/>
    <x v="1"/>
    <n v="0"/>
    <n v="0"/>
    <n v="0"/>
    <n v="0"/>
  </r>
  <r>
    <s v="CUST0402"/>
    <s v="Sarah Oconnor"/>
    <d v="2025-01-25T00:00:00"/>
    <n v="43"/>
    <x v="2"/>
    <x v="18"/>
    <s v="4G Router"/>
    <x v="1"/>
    <n v="1"/>
    <s v="Poor"/>
    <n v="11"/>
    <x v="3"/>
    <x v="5"/>
    <n v="4500"/>
    <n v="13"/>
    <n v="58500"/>
    <n v="4500"/>
    <n v="167.03"/>
    <x v="1"/>
    <n v="0"/>
    <n v="0"/>
    <n v="0"/>
    <n v="0"/>
  </r>
  <r>
    <s v="CUST0402"/>
    <s v="Sarah Oconnor"/>
    <d v="2025-01-25T00:00:00"/>
    <n v="43"/>
    <x v="2"/>
    <x v="18"/>
    <s v="Broadband MiFi"/>
    <x v="1"/>
    <n v="1"/>
    <s v="Poor"/>
    <n v="11"/>
    <x v="3"/>
    <x v="12"/>
    <n v="14500"/>
    <n v="8"/>
    <n v="116000"/>
    <n v="14500"/>
    <n v="43.25"/>
    <x v="1"/>
    <n v="0"/>
    <n v="0"/>
    <n v="0"/>
    <n v="0"/>
  </r>
  <r>
    <s v="CUST0403"/>
    <s v="Ibim Soto"/>
    <d v="2025-01-25T00:00:00"/>
    <n v="30"/>
    <x v="0"/>
    <x v="32"/>
    <s v="5G Broadband Router"/>
    <x v="0"/>
    <n v="5"/>
    <s v="Excellent"/>
    <n v="30"/>
    <x v="2"/>
    <x v="4"/>
    <n v="9000"/>
    <n v="16"/>
    <n v="144000"/>
    <n v="9000"/>
    <n v="16.91"/>
    <x v="0"/>
    <n v="1"/>
    <n v="0"/>
    <n v="0"/>
    <n v="0"/>
  </r>
  <r>
    <s v="CUST0403"/>
    <s v="Ibim Soto"/>
    <d v="2025-01-25T00:00:00"/>
    <n v="30"/>
    <x v="0"/>
    <x v="32"/>
    <s v="Mobile SIM Card"/>
    <x v="0"/>
    <n v="5"/>
    <s v="Excellent"/>
    <n v="30"/>
    <x v="2"/>
    <x v="14"/>
    <n v="1000"/>
    <n v="15"/>
    <n v="15000"/>
    <n v="1000"/>
    <n v="77.260000000000005"/>
    <x v="0"/>
    <n v="1"/>
    <n v="0"/>
    <n v="0"/>
    <n v="0"/>
  </r>
  <r>
    <s v="CUST0404"/>
    <s v="Maryam Buck"/>
    <d v="2025-02-25T00:00:00"/>
    <n v="72"/>
    <x v="3"/>
    <x v="16"/>
    <s v="5G Broadband Router"/>
    <x v="1"/>
    <n v="2"/>
    <s v="Fair"/>
    <n v="19"/>
    <x v="1"/>
    <x v="4"/>
    <n v="9000"/>
    <n v="16"/>
    <n v="144000"/>
    <n v="9000"/>
    <n v="199.75"/>
    <x v="1"/>
    <n v="0"/>
    <n v="0"/>
    <n v="0"/>
    <n v="0"/>
  </r>
  <r>
    <s v="CUST0404"/>
    <s v="Maryam Buck"/>
    <d v="2025-02-25T00:00:00"/>
    <n v="72"/>
    <x v="3"/>
    <x v="16"/>
    <s v="Broadband MiFi"/>
    <x v="1"/>
    <n v="2"/>
    <s v="Fair"/>
    <n v="19"/>
    <x v="1"/>
    <x v="4"/>
    <n v="9000"/>
    <n v="17"/>
    <n v="153000"/>
    <n v="9000"/>
    <n v="79.58"/>
    <x v="1"/>
    <n v="0"/>
    <n v="0"/>
    <n v="0"/>
    <n v="0"/>
  </r>
  <r>
    <s v="CUST0405"/>
    <s v="Chinedu Brown"/>
    <d v="2025-01-25T00:00:00"/>
    <n v="31"/>
    <x v="0"/>
    <x v="5"/>
    <s v="4G Router"/>
    <x v="1"/>
    <n v="2"/>
    <s v="Fair"/>
    <n v="26"/>
    <x v="2"/>
    <x v="0"/>
    <n v="35000"/>
    <n v="14"/>
    <n v="490000"/>
    <n v="35000"/>
    <n v="24.99"/>
    <x v="0"/>
    <n v="1"/>
    <n v="0"/>
    <n v="0"/>
    <n v="0"/>
  </r>
  <r>
    <s v="CUST0405"/>
    <s v="Chinedu Brown"/>
    <d v="2025-01-25T00:00:00"/>
    <n v="31"/>
    <x v="0"/>
    <x v="5"/>
    <s v="5G Broadband Router"/>
    <x v="1"/>
    <n v="2"/>
    <s v="Fair"/>
    <n v="26"/>
    <x v="2"/>
    <x v="8"/>
    <n v="150000"/>
    <n v="19"/>
    <n v="2850000"/>
    <n v="150000"/>
    <n v="56.06"/>
    <x v="0"/>
    <n v="1"/>
    <n v="0"/>
    <n v="0"/>
    <n v="0"/>
  </r>
  <r>
    <s v="CUST0406"/>
    <s v="Zainab Soto"/>
    <d v="2025-02-25T00:00:00"/>
    <n v="67"/>
    <x v="3"/>
    <x v="25"/>
    <s v="Mobile SIM Card"/>
    <x v="1"/>
    <n v="4"/>
    <s v="Very Good"/>
    <n v="43"/>
    <x v="2"/>
    <x v="14"/>
    <n v="1000"/>
    <n v="16"/>
    <n v="16000"/>
    <n v="1000"/>
    <n v="24.88"/>
    <x v="1"/>
    <n v="0"/>
    <n v="0"/>
    <n v="0"/>
    <n v="0"/>
  </r>
  <r>
    <s v="CUST0407"/>
    <s v="Grace Thompson"/>
    <d v="2025-01-25T00:00:00"/>
    <n v="45"/>
    <x v="4"/>
    <x v="21"/>
    <s v="4G Router"/>
    <x v="0"/>
    <n v="1"/>
    <s v="Poor"/>
    <n v="7"/>
    <x v="3"/>
    <x v="0"/>
    <n v="35000"/>
    <n v="11"/>
    <n v="385000"/>
    <n v="35000"/>
    <n v="121.11"/>
    <x v="1"/>
    <n v="0"/>
    <n v="0"/>
    <n v="0"/>
    <n v="0"/>
  </r>
  <r>
    <s v="CUST0408"/>
    <s v="Obinna Daniels"/>
    <d v="2025-02-25T00:00:00"/>
    <n v="54"/>
    <x v="4"/>
    <x v="13"/>
    <s v="Mobile SIM Card"/>
    <x v="0"/>
    <n v="4"/>
    <s v="Very Good"/>
    <n v="43"/>
    <x v="2"/>
    <x v="3"/>
    <n v="500"/>
    <n v="18"/>
    <n v="9000"/>
    <n v="500"/>
    <n v="108.72"/>
    <x v="0"/>
    <n v="1"/>
    <n v="0"/>
    <n v="0"/>
    <n v="0"/>
  </r>
  <r>
    <s v="CUST0408"/>
    <s v="Obinna Daniels"/>
    <d v="2025-02-25T00:00:00"/>
    <n v="54"/>
    <x v="4"/>
    <x v="13"/>
    <s v="5G Broadband Router"/>
    <x v="0"/>
    <n v="4"/>
    <s v="Very Good"/>
    <n v="43"/>
    <x v="2"/>
    <x v="4"/>
    <n v="9000"/>
    <n v="2"/>
    <n v="18000"/>
    <n v="9000"/>
    <n v="190.54"/>
    <x v="0"/>
    <n v="1"/>
    <n v="0"/>
    <n v="0"/>
    <n v="0"/>
  </r>
  <r>
    <s v="CUST0409"/>
    <s v="Boma Burns"/>
    <d v="2025-02-25T00:00:00"/>
    <n v="31"/>
    <x v="0"/>
    <x v="6"/>
    <s v="4G Router"/>
    <x v="1"/>
    <n v="4"/>
    <s v="Very Good"/>
    <n v="21"/>
    <x v="1"/>
    <x v="6"/>
    <n v="9000"/>
    <n v="6"/>
    <n v="54000"/>
    <n v="9000"/>
    <n v="177"/>
    <x v="1"/>
    <n v="0"/>
    <n v="0"/>
    <n v="0"/>
    <n v="0"/>
  </r>
  <r>
    <s v="CUST0410"/>
    <s v="Grace Snyder"/>
    <d v="2025-02-25T00:00:00"/>
    <n v="71"/>
    <x v="3"/>
    <x v="21"/>
    <s v="Mobile SIM Card"/>
    <x v="1"/>
    <n v="4"/>
    <s v="Very Good"/>
    <n v="46"/>
    <x v="2"/>
    <x v="1"/>
    <n v="5500"/>
    <n v="6"/>
    <n v="33000"/>
    <n v="5500"/>
    <n v="112.67"/>
    <x v="1"/>
    <n v="0"/>
    <n v="0"/>
    <n v="0"/>
    <n v="0"/>
  </r>
  <r>
    <s v="CUST0410"/>
    <s v="Grace Snyder"/>
    <d v="2025-02-25T00:00:00"/>
    <n v="71"/>
    <x v="3"/>
    <x v="21"/>
    <s v="5G Broadband Router"/>
    <x v="1"/>
    <n v="4"/>
    <s v="Very Good"/>
    <n v="46"/>
    <x v="2"/>
    <x v="4"/>
    <n v="9000"/>
    <n v="16"/>
    <n v="144000"/>
    <n v="9000"/>
    <n v="78.58"/>
    <x v="1"/>
    <n v="0"/>
    <n v="0"/>
    <n v="0"/>
    <n v="0"/>
  </r>
  <r>
    <s v="CUST0410"/>
    <s v="Grace Snyder"/>
    <d v="2025-02-25T00:00:00"/>
    <n v="71"/>
    <x v="3"/>
    <x v="21"/>
    <s v="4G Router"/>
    <x v="1"/>
    <n v="4"/>
    <s v="Very Good"/>
    <n v="46"/>
    <x v="2"/>
    <x v="0"/>
    <n v="35000"/>
    <n v="12"/>
    <n v="420000"/>
    <n v="35000"/>
    <n v="123.58"/>
    <x v="1"/>
    <n v="0"/>
    <n v="0"/>
    <n v="0"/>
    <n v="0"/>
  </r>
  <r>
    <s v="CUST0411"/>
    <s v="Abubakar Lane"/>
    <d v="2025-01-25T00:00:00"/>
    <n v="57"/>
    <x v="3"/>
    <x v="4"/>
    <s v="Broadband MiFi"/>
    <x v="0"/>
    <n v="2"/>
    <s v="Fair"/>
    <n v="38"/>
    <x v="2"/>
    <x v="11"/>
    <n v="30000"/>
    <n v="14"/>
    <n v="420000"/>
    <n v="30000"/>
    <n v="76.42"/>
    <x v="1"/>
    <n v="0"/>
    <n v="0"/>
    <n v="0"/>
    <n v="0"/>
  </r>
  <r>
    <s v="CUST0411"/>
    <s v="Abubakar Lane"/>
    <d v="2025-01-25T00:00:00"/>
    <n v="57"/>
    <x v="3"/>
    <x v="4"/>
    <s v="5G Broadband Router"/>
    <x v="0"/>
    <n v="2"/>
    <s v="Fair"/>
    <n v="38"/>
    <x v="2"/>
    <x v="18"/>
    <n v="25000"/>
    <n v="14"/>
    <n v="350000"/>
    <n v="25000"/>
    <n v="198.39"/>
    <x v="1"/>
    <n v="0"/>
    <n v="0"/>
    <n v="0"/>
    <n v="0"/>
  </r>
  <r>
    <s v="CUST0412"/>
    <s v="Oghene Bartlett"/>
    <d v="2025-03-25T00:00:00"/>
    <n v="23"/>
    <x v="1"/>
    <x v="7"/>
    <s v="5G Broadband Router"/>
    <x v="0"/>
    <n v="5"/>
    <s v="Excellent"/>
    <n v="16"/>
    <x v="1"/>
    <x v="2"/>
    <n v="20000"/>
    <n v="1"/>
    <n v="20000"/>
    <n v="20000"/>
    <n v="67.849999999999994"/>
    <x v="0"/>
    <n v="1"/>
    <n v="0"/>
    <n v="0"/>
    <n v="0"/>
  </r>
  <r>
    <s v="CUST0413"/>
    <s v="David Giles"/>
    <d v="2025-02-25T00:00:00"/>
    <n v="57"/>
    <x v="3"/>
    <x v="19"/>
    <s v="5G Broadband Router"/>
    <x v="1"/>
    <n v="5"/>
    <s v="Excellent"/>
    <n v="43"/>
    <x v="2"/>
    <x v="8"/>
    <n v="150000"/>
    <n v="11"/>
    <n v="1650000"/>
    <n v="150000"/>
    <n v="117.8"/>
    <x v="1"/>
    <n v="0"/>
    <n v="0"/>
    <n v="0"/>
    <n v="0"/>
  </r>
  <r>
    <s v="CUST0413"/>
    <s v="David Giles"/>
    <d v="2025-02-25T00:00:00"/>
    <n v="57"/>
    <x v="3"/>
    <x v="19"/>
    <s v="Broadband MiFi"/>
    <x v="1"/>
    <n v="5"/>
    <s v="Excellent"/>
    <n v="43"/>
    <x v="2"/>
    <x v="12"/>
    <n v="14500"/>
    <n v="11"/>
    <n v="159500"/>
    <n v="14500"/>
    <n v="114.29"/>
    <x v="1"/>
    <n v="0"/>
    <n v="0"/>
    <n v="0"/>
    <n v="0"/>
  </r>
  <r>
    <s v="CUST0414"/>
    <s v="Ngozi Williams"/>
    <d v="2025-02-25T00:00:00"/>
    <n v="78"/>
    <x v="3"/>
    <x v="13"/>
    <s v="5G Broadband Router"/>
    <x v="0"/>
    <n v="5"/>
    <s v="Excellent"/>
    <n v="22"/>
    <x v="1"/>
    <x v="18"/>
    <n v="25000"/>
    <n v="7"/>
    <n v="175000"/>
    <n v="25000"/>
    <n v="193.9"/>
    <x v="1"/>
    <n v="0"/>
    <n v="0"/>
    <n v="0"/>
    <n v="0"/>
  </r>
  <r>
    <s v="CUST0414"/>
    <s v="Ngozi Williams"/>
    <d v="2025-02-25T00:00:00"/>
    <n v="78"/>
    <x v="3"/>
    <x v="13"/>
    <s v="Broadband MiFi"/>
    <x v="0"/>
    <n v="5"/>
    <s v="Excellent"/>
    <n v="22"/>
    <x v="1"/>
    <x v="12"/>
    <n v="14500"/>
    <n v="3"/>
    <n v="43500"/>
    <n v="14500"/>
    <n v="127.27"/>
    <x v="1"/>
    <n v="0"/>
    <n v="0"/>
    <n v="0"/>
    <n v="0"/>
  </r>
  <r>
    <s v="CUST0414"/>
    <s v="Ngozi Williams"/>
    <d v="2025-02-25T00:00:00"/>
    <n v="78"/>
    <x v="3"/>
    <x v="13"/>
    <s v="4G Router"/>
    <x v="0"/>
    <n v="5"/>
    <s v="Excellent"/>
    <n v="22"/>
    <x v="1"/>
    <x v="5"/>
    <n v="4500"/>
    <n v="2"/>
    <n v="9000"/>
    <n v="4500"/>
    <n v="57.83"/>
    <x v="1"/>
    <n v="0"/>
    <n v="0"/>
    <n v="0"/>
    <n v="0"/>
  </r>
  <r>
    <s v="CUST0415"/>
    <s v="Maryam Anthony"/>
    <d v="2025-01-25T00:00:00"/>
    <n v="67"/>
    <x v="3"/>
    <x v="16"/>
    <s v="Mobile SIM Card"/>
    <x v="0"/>
    <n v="5"/>
    <s v="Excellent"/>
    <n v="46"/>
    <x v="2"/>
    <x v="15"/>
    <n v="7500"/>
    <n v="3"/>
    <n v="22500"/>
    <n v="7500"/>
    <n v="42.34"/>
    <x v="1"/>
    <n v="0"/>
    <n v="0"/>
    <n v="0"/>
    <n v="0"/>
  </r>
  <r>
    <s v="CUST0416"/>
    <s v="Maryam Blankenship"/>
    <d v="2025-03-25T00:00:00"/>
    <n v="80"/>
    <x v="3"/>
    <x v="24"/>
    <s v="Mobile SIM Card"/>
    <x v="1"/>
    <n v="2"/>
    <s v="Fair"/>
    <n v="43"/>
    <x v="2"/>
    <x v="20"/>
    <n v="6500"/>
    <n v="1"/>
    <n v="6500"/>
    <n v="6500"/>
    <n v="36.53"/>
    <x v="1"/>
    <n v="0"/>
    <n v="0"/>
    <n v="0"/>
    <n v="0"/>
  </r>
  <r>
    <s v="CUST0416"/>
    <s v="Maryam Blankenship"/>
    <d v="2025-03-25T00:00:00"/>
    <n v="80"/>
    <x v="3"/>
    <x v="24"/>
    <s v="5G Broadband Router"/>
    <x v="1"/>
    <n v="2"/>
    <s v="Fair"/>
    <n v="43"/>
    <x v="2"/>
    <x v="11"/>
    <n v="30000"/>
    <n v="7"/>
    <n v="210000"/>
    <n v="30000"/>
    <n v="115.58"/>
    <x v="1"/>
    <n v="0"/>
    <n v="0"/>
    <n v="0"/>
    <n v="0"/>
  </r>
  <r>
    <s v="CUST0417"/>
    <s v="Zina Hernandez"/>
    <d v="2025-01-25T00:00:00"/>
    <n v="50"/>
    <x v="4"/>
    <x v="11"/>
    <s v="4G Router"/>
    <x v="1"/>
    <n v="5"/>
    <s v="Excellent"/>
    <n v="60"/>
    <x v="2"/>
    <x v="5"/>
    <n v="4500"/>
    <n v="10"/>
    <n v="45000"/>
    <n v="4500"/>
    <n v="149.41"/>
    <x v="0"/>
    <n v="1"/>
    <n v="0"/>
    <n v="0"/>
    <n v="0"/>
  </r>
  <r>
    <s v="CUST0418"/>
    <s v="Boma Johnson"/>
    <d v="2025-02-25T00:00:00"/>
    <n v="68"/>
    <x v="3"/>
    <x v="32"/>
    <s v="4G Router"/>
    <x v="0"/>
    <n v="4"/>
    <s v="Very Good"/>
    <n v="41"/>
    <x v="2"/>
    <x v="0"/>
    <n v="35000"/>
    <n v="5"/>
    <n v="175000"/>
    <n v="35000"/>
    <n v="48.08"/>
    <x v="0"/>
    <n v="1"/>
    <n v="0"/>
    <n v="0"/>
    <n v="0"/>
  </r>
  <r>
    <s v="CUST0418"/>
    <s v="Boma Johnson"/>
    <d v="2025-02-25T00:00:00"/>
    <n v="68"/>
    <x v="3"/>
    <x v="32"/>
    <s v="Mobile SIM Card"/>
    <x v="0"/>
    <n v="4"/>
    <s v="Very Good"/>
    <n v="41"/>
    <x v="2"/>
    <x v="13"/>
    <n v="350"/>
    <n v="10"/>
    <n v="3500"/>
    <n v="350"/>
    <n v="6.03"/>
    <x v="0"/>
    <n v="1"/>
    <n v="0"/>
    <n v="0"/>
    <n v="0"/>
  </r>
  <r>
    <s v="CUST0418"/>
    <s v="Boma Johnson"/>
    <d v="2025-02-25T00:00:00"/>
    <n v="68"/>
    <x v="3"/>
    <x v="32"/>
    <s v="Broadband MiFi"/>
    <x v="0"/>
    <n v="4"/>
    <s v="Very Good"/>
    <n v="41"/>
    <x v="2"/>
    <x v="12"/>
    <n v="14500"/>
    <n v="14"/>
    <n v="203000"/>
    <n v="14500"/>
    <n v="97.33"/>
    <x v="0"/>
    <n v="1"/>
    <n v="0"/>
    <n v="0"/>
    <n v="0"/>
  </r>
  <r>
    <s v="CUST0419"/>
    <s v="Boma Sanchez"/>
    <d v="2025-02-25T00:00:00"/>
    <n v="20"/>
    <x v="1"/>
    <x v="18"/>
    <s v="4G Router"/>
    <x v="0"/>
    <n v="1"/>
    <s v="Poor"/>
    <n v="18"/>
    <x v="1"/>
    <x v="9"/>
    <n v="16000"/>
    <n v="16"/>
    <n v="256000"/>
    <n v="16000"/>
    <n v="192.78"/>
    <x v="0"/>
    <n v="1"/>
    <n v="0"/>
    <n v="0"/>
    <n v="0"/>
  </r>
  <r>
    <s v="CUST0419"/>
    <s v="Boma Sanchez"/>
    <d v="2025-02-25T00:00:00"/>
    <n v="20"/>
    <x v="1"/>
    <x v="18"/>
    <s v="5G Broadband Router"/>
    <x v="0"/>
    <n v="1"/>
    <s v="Poor"/>
    <n v="18"/>
    <x v="1"/>
    <x v="4"/>
    <n v="9000"/>
    <n v="3"/>
    <n v="27000"/>
    <n v="9000"/>
    <n v="11.54"/>
    <x v="0"/>
    <n v="1"/>
    <n v="0"/>
    <n v="0"/>
    <n v="0"/>
  </r>
  <r>
    <s v="CUST0420"/>
    <s v="Ese Miller"/>
    <d v="2025-03-25T00:00:00"/>
    <n v="54"/>
    <x v="4"/>
    <x v="23"/>
    <s v="4G Router"/>
    <x v="1"/>
    <n v="1"/>
    <s v="Poor"/>
    <n v="58"/>
    <x v="2"/>
    <x v="9"/>
    <n v="16000"/>
    <n v="19"/>
    <n v="304000"/>
    <n v="16000"/>
    <n v="104.63"/>
    <x v="1"/>
    <n v="0"/>
    <n v="0"/>
    <n v="0"/>
    <n v="0"/>
  </r>
  <r>
    <s v="CUST0420"/>
    <s v="Ese Miller"/>
    <d v="2025-03-25T00:00:00"/>
    <n v="54"/>
    <x v="4"/>
    <x v="23"/>
    <s v="Broadband MiFi"/>
    <x v="1"/>
    <n v="1"/>
    <s v="Poor"/>
    <n v="58"/>
    <x v="2"/>
    <x v="10"/>
    <n v="24000"/>
    <n v="3"/>
    <n v="72000"/>
    <n v="24000"/>
    <n v="50.74"/>
    <x v="1"/>
    <n v="0"/>
    <n v="0"/>
    <n v="0"/>
    <n v="0"/>
  </r>
  <r>
    <s v="CUST0420"/>
    <s v="Ese Miller"/>
    <d v="2025-03-25T00:00:00"/>
    <n v="54"/>
    <x v="4"/>
    <x v="23"/>
    <s v="5G Broadband Router"/>
    <x v="1"/>
    <n v="1"/>
    <s v="Poor"/>
    <n v="58"/>
    <x v="2"/>
    <x v="12"/>
    <n v="14500"/>
    <n v="11"/>
    <n v="159500"/>
    <n v="14500"/>
    <n v="120.16"/>
    <x v="1"/>
    <n v="0"/>
    <n v="0"/>
    <n v="0"/>
    <n v="0"/>
  </r>
  <r>
    <s v="CUST0421"/>
    <s v="Tega Stokes"/>
    <d v="2025-02-25T00:00:00"/>
    <n v="65"/>
    <x v="3"/>
    <x v="7"/>
    <s v="Mobile SIM Card"/>
    <x v="1"/>
    <n v="1"/>
    <s v="Poor"/>
    <n v="14"/>
    <x v="1"/>
    <x v="16"/>
    <n v="900"/>
    <n v="12"/>
    <n v="10800"/>
    <n v="900"/>
    <n v="98.33"/>
    <x v="0"/>
    <n v="1"/>
    <n v="0"/>
    <n v="0"/>
    <n v="0"/>
  </r>
  <r>
    <s v="CUST0421"/>
    <s v="Tega Stokes"/>
    <d v="2025-02-25T00:00:00"/>
    <n v="65"/>
    <x v="3"/>
    <x v="7"/>
    <s v="4G Router"/>
    <x v="1"/>
    <n v="1"/>
    <s v="Poor"/>
    <n v="14"/>
    <x v="1"/>
    <x v="9"/>
    <n v="16000"/>
    <n v="14"/>
    <n v="224000"/>
    <n v="16000"/>
    <n v="63.64"/>
    <x v="0"/>
    <n v="1"/>
    <n v="0"/>
    <n v="0"/>
    <n v="0"/>
  </r>
  <r>
    <s v="CUST0422"/>
    <s v="John Smith"/>
    <d v="2025-02-25T00:00:00"/>
    <n v="47"/>
    <x v="4"/>
    <x v="29"/>
    <s v="Broadband MiFi"/>
    <x v="0"/>
    <n v="3"/>
    <s v="Good"/>
    <n v="24"/>
    <x v="1"/>
    <x v="4"/>
    <n v="9000"/>
    <n v="8"/>
    <n v="72000"/>
    <n v="9000"/>
    <n v="138.29"/>
    <x v="1"/>
    <n v="0"/>
    <n v="0"/>
    <n v="0"/>
    <n v="0"/>
  </r>
  <r>
    <s v="CUST0423"/>
    <s v="Saidu Smith"/>
    <d v="2025-01-25T00:00:00"/>
    <n v="65"/>
    <x v="3"/>
    <x v="24"/>
    <s v="Mobile SIM Card"/>
    <x v="1"/>
    <n v="5"/>
    <s v="Excellent"/>
    <n v="58"/>
    <x v="2"/>
    <x v="15"/>
    <n v="7500"/>
    <n v="9"/>
    <n v="67500"/>
    <n v="7500"/>
    <n v="185.54"/>
    <x v="1"/>
    <n v="0"/>
    <n v="0"/>
    <n v="0"/>
    <n v="0"/>
  </r>
  <r>
    <s v="CUST0423"/>
    <s v="Saidu Smith"/>
    <d v="2025-01-25T00:00:00"/>
    <n v="65"/>
    <x v="3"/>
    <x v="24"/>
    <s v="Broadband MiFi"/>
    <x v="1"/>
    <n v="5"/>
    <s v="Excellent"/>
    <n v="58"/>
    <x v="2"/>
    <x v="11"/>
    <n v="30000"/>
    <n v="8"/>
    <n v="240000"/>
    <n v="30000"/>
    <n v="18.5"/>
    <x v="1"/>
    <n v="0"/>
    <n v="0"/>
    <n v="0"/>
    <n v="0"/>
  </r>
  <r>
    <s v="CUST0424"/>
    <s v="Maryam Becker"/>
    <d v="2025-03-25T00:00:00"/>
    <n v="42"/>
    <x v="2"/>
    <x v="1"/>
    <s v="Broadband MiFi"/>
    <x v="1"/>
    <n v="4"/>
    <s v="Very Good"/>
    <n v="41"/>
    <x v="2"/>
    <x v="12"/>
    <n v="14500"/>
    <n v="11"/>
    <n v="159500"/>
    <n v="14500"/>
    <n v="147.52000000000001"/>
    <x v="1"/>
    <n v="0"/>
    <n v="0"/>
    <n v="0"/>
    <n v="0"/>
  </r>
  <r>
    <s v="CUST0424"/>
    <s v="Maryam Becker"/>
    <d v="2025-03-25T00:00:00"/>
    <n v="42"/>
    <x v="2"/>
    <x v="1"/>
    <s v="4G Router"/>
    <x v="1"/>
    <n v="4"/>
    <s v="Very Good"/>
    <n v="41"/>
    <x v="2"/>
    <x v="0"/>
    <n v="35000"/>
    <n v="4"/>
    <n v="140000"/>
    <n v="35000"/>
    <n v="175.41"/>
    <x v="1"/>
    <n v="0"/>
    <n v="0"/>
    <n v="0"/>
    <n v="0"/>
  </r>
  <r>
    <s v="CUST0425"/>
    <s v="Amina Ortega"/>
    <d v="2025-02-25T00:00:00"/>
    <n v="49"/>
    <x v="4"/>
    <x v="28"/>
    <s v="5G Broadband Router"/>
    <x v="0"/>
    <n v="5"/>
    <s v="Excellent"/>
    <n v="23"/>
    <x v="1"/>
    <x v="4"/>
    <n v="9000"/>
    <n v="6"/>
    <n v="54000"/>
    <n v="9000"/>
    <n v="128.44999999999999"/>
    <x v="1"/>
    <n v="0"/>
    <n v="0"/>
    <n v="0"/>
    <n v="0"/>
  </r>
  <r>
    <s v="CUST0425"/>
    <s v="Amina Ortega"/>
    <d v="2025-02-25T00:00:00"/>
    <n v="49"/>
    <x v="4"/>
    <x v="28"/>
    <s v="4G Router"/>
    <x v="0"/>
    <n v="5"/>
    <s v="Excellent"/>
    <n v="23"/>
    <x v="1"/>
    <x v="0"/>
    <n v="35000"/>
    <n v="5"/>
    <n v="175000"/>
    <n v="35000"/>
    <n v="158.31"/>
    <x v="1"/>
    <n v="0"/>
    <n v="0"/>
    <n v="0"/>
    <n v="0"/>
  </r>
  <r>
    <s v="CUST0425"/>
    <s v="Amina Ortega"/>
    <d v="2025-02-25T00:00:00"/>
    <n v="49"/>
    <x v="4"/>
    <x v="28"/>
    <s v="Broadband MiFi"/>
    <x v="0"/>
    <n v="5"/>
    <s v="Excellent"/>
    <n v="23"/>
    <x v="1"/>
    <x v="4"/>
    <n v="9000"/>
    <n v="10"/>
    <n v="90000"/>
    <n v="9000"/>
    <n v="80.430000000000007"/>
    <x v="1"/>
    <n v="0"/>
    <n v="0"/>
    <n v="0"/>
    <n v="0"/>
  </r>
  <r>
    <s v="CUST0426"/>
    <s v="Ese Mathis"/>
    <d v="2025-02-25T00:00:00"/>
    <n v="26"/>
    <x v="0"/>
    <x v="27"/>
    <s v="Mobile SIM Card"/>
    <x v="0"/>
    <n v="5"/>
    <s v="Excellent"/>
    <n v="16"/>
    <x v="1"/>
    <x v="19"/>
    <n v="600"/>
    <n v="19"/>
    <n v="11400"/>
    <n v="600"/>
    <n v="52.51"/>
    <x v="1"/>
    <n v="0"/>
    <n v="0"/>
    <n v="0"/>
    <n v="0"/>
  </r>
  <r>
    <s v="CUST0426"/>
    <s v="Ese Mathis"/>
    <d v="2025-02-25T00:00:00"/>
    <n v="26"/>
    <x v="0"/>
    <x v="27"/>
    <s v="4G Router"/>
    <x v="0"/>
    <n v="5"/>
    <s v="Excellent"/>
    <n v="16"/>
    <x v="1"/>
    <x v="6"/>
    <n v="9000"/>
    <n v="7"/>
    <n v="63000"/>
    <n v="9000"/>
    <n v="160.01"/>
    <x v="1"/>
    <n v="0"/>
    <n v="0"/>
    <n v="0"/>
    <n v="0"/>
  </r>
  <r>
    <s v="CUST0427"/>
    <s v="Chinedu West"/>
    <d v="2025-02-25T00:00:00"/>
    <n v="69"/>
    <x v="3"/>
    <x v="3"/>
    <s v="4G Router"/>
    <x v="0"/>
    <n v="5"/>
    <s v="Excellent"/>
    <n v="26"/>
    <x v="2"/>
    <x v="5"/>
    <n v="4500"/>
    <n v="6"/>
    <n v="27000"/>
    <n v="4500"/>
    <n v="52.73"/>
    <x v="0"/>
    <n v="1"/>
    <n v="0"/>
    <n v="0"/>
    <n v="0"/>
  </r>
  <r>
    <s v="CUST0427"/>
    <s v="Chinedu West"/>
    <d v="2025-02-25T00:00:00"/>
    <n v="69"/>
    <x v="3"/>
    <x v="3"/>
    <s v="Broadband MiFi"/>
    <x v="0"/>
    <n v="5"/>
    <s v="Excellent"/>
    <n v="26"/>
    <x v="2"/>
    <x v="4"/>
    <n v="9000"/>
    <n v="14"/>
    <n v="126000"/>
    <n v="9000"/>
    <n v="80.510000000000005"/>
    <x v="0"/>
    <n v="1"/>
    <n v="0"/>
    <n v="0"/>
    <n v="0"/>
  </r>
  <r>
    <s v="CUST0427"/>
    <s v="Chinedu West"/>
    <d v="2025-02-25T00:00:00"/>
    <n v="69"/>
    <x v="3"/>
    <x v="3"/>
    <s v="Mobile SIM Card"/>
    <x v="0"/>
    <n v="5"/>
    <s v="Excellent"/>
    <n v="26"/>
    <x v="2"/>
    <x v="3"/>
    <n v="500"/>
    <n v="12"/>
    <n v="6000"/>
    <n v="500"/>
    <n v="30.28"/>
    <x v="0"/>
    <n v="1"/>
    <n v="0"/>
    <n v="0"/>
    <n v="0"/>
  </r>
  <r>
    <s v="CUST0428"/>
    <s v="Amina Skinner"/>
    <d v="2025-02-25T00:00:00"/>
    <n v="31"/>
    <x v="0"/>
    <x v="34"/>
    <s v="4G Router"/>
    <x v="1"/>
    <n v="4"/>
    <s v="Very Good"/>
    <n v="50"/>
    <x v="2"/>
    <x v="6"/>
    <n v="9000"/>
    <n v="16"/>
    <n v="144000"/>
    <n v="9000"/>
    <n v="57.95"/>
    <x v="0"/>
    <n v="1"/>
    <n v="0"/>
    <n v="0"/>
    <n v="0"/>
  </r>
  <r>
    <s v="CUST0429"/>
    <s v="Omamuzo Smith"/>
    <d v="2025-02-25T00:00:00"/>
    <n v="32"/>
    <x v="0"/>
    <x v="0"/>
    <s v="Mobile SIM Card"/>
    <x v="0"/>
    <n v="3"/>
    <s v="Good"/>
    <n v="39"/>
    <x v="2"/>
    <x v="19"/>
    <n v="600"/>
    <n v="5"/>
    <n v="3000"/>
    <n v="600"/>
    <n v="82"/>
    <x v="1"/>
    <n v="0"/>
    <n v="0"/>
    <n v="0"/>
    <n v="0"/>
  </r>
  <r>
    <s v="CUST0430"/>
    <s v="Funke Lawson"/>
    <d v="2025-02-25T00:00:00"/>
    <n v="53"/>
    <x v="4"/>
    <x v="22"/>
    <s v="Mobile SIM Card"/>
    <x v="0"/>
    <n v="2"/>
    <s v="Fair"/>
    <n v="40"/>
    <x v="2"/>
    <x v="1"/>
    <n v="5500"/>
    <n v="11"/>
    <n v="60500"/>
    <n v="5500"/>
    <n v="27.07"/>
    <x v="1"/>
    <n v="0"/>
    <n v="0"/>
    <n v="0"/>
    <n v="0"/>
  </r>
  <r>
    <s v="CUST0430"/>
    <s v="Funke Lawson"/>
    <d v="2025-02-25T00:00:00"/>
    <n v="53"/>
    <x v="4"/>
    <x v="22"/>
    <s v="Broadband MiFi"/>
    <x v="0"/>
    <n v="2"/>
    <s v="Fair"/>
    <n v="40"/>
    <x v="2"/>
    <x v="12"/>
    <n v="14500"/>
    <n v="13"/>
    <n v="188500"/>
    <n v="14500"/>
    <n v="137.53"/>
    <x v="1"/>
    <n v="0"/>
    <n v="0"/>
    <n v="0"/>
    <n v="0"/>
  </r>
  <r>
    <s v="CUST0430"/>
    <s v="Funke Lawson"/>
    <d v="2025-02-25T00:00:00"/>
    <n v="53"/>
    <x v="4"/>
    <x v="22"/>
    <s v="5G Broadband Router"/>
    <x v="0"/>
    <n v="2"/>
    <s v="Fair"/>
    <n v="40"/>
    <x v="2"/>
    <x v="17"/>
    <n v="75000"/>
    <n v="9"/>
    <n v="675000"/>
    <n v="75000"/>
    <n v="147.35"/>
    <x v="1"/>
    <n v="0"/>
    <n v="0"/>
    <n v="0"/>
    <n v="0"/>
  </r>
  <r>
    <s v="CUST0431"/>
    <s v="Kunle Cooper"/>
    <d v="2025-02-25T00:00:00"/>
    <n v="28"/>
    <x v="0"/>
    <x v="4"/>
    <s v="Broadband MiFi"/>
    <x v="0"/>
    <n v="4"/>
    <s v="Very Good"/>
    <n v="22"/>
    <x v="1"/>
    <x v="10"/>
    <n v="24000"/>
    <n v="10"/>
    <n v="240000"/>
    <n v="24000"/>
    <n v="124.12"/>
    <x v="1"/>
    <n v="0"/>
    <n v="0"/>
    <n v="0"/>
    <n v="0"/>
  </r>
  <r>
    <s v="CUST0431"/>
    <s v="Kunle Cooper"/>
    <d v="2025-02-25T00:00:00"/>
    <n v="28"/>
    <x v="0"/>
    <x v="4"/>
    <s v="Mobile SIM Card"/>
    <x v="0"/>
    <n v="4"/>
    <s v="Very Good"/>
    <n v="22"/>
    <x v="1"/>
    <x v="15"/>
    <n v="7500"/>
    <n v="5"/>
    <n v="37500"/>
    <n v="7500"/>
    <n v="134.41999999999999"/>
    <x v="1"/>
    <n v="0"/>
    <n v="0"/>
    <n v="0"/>
    <n v="0"/>
  </r>
  <r>
    <s v="CUST0431"/>
    <s v="Kunle Cooper"/>
    <d v="2025-02-25T00:00:00"/>
    <n v="28"/>
    <x v="0"/>
    <x v="4"/>
    <s v="4G Router"/>
    <x v="0"/>
    <n v="4"/>
    <s v="Very Good"/>
    <n v="22"/>
    <x v="1"/>
    <x v="9"/>
    <n v="16000"/>
    <n v="9"/>
    <n v="144000"/>
    <n v="16000"/>
    <n v="116.31"/>
    <x v="1"/>
    <n v="0"/>
    <n v="0"/>
    <n v="0"/>
    <n v="0"/>
  </r>
  <r>
    <s v="CUST0432"/>
    <s v="Amina Espinoza"/>
    <d v="2025-01-25T00:00:00"/>
    <n v="80"/>
    <x v="3"/>
    <x v="12"/>
    <s v="Mobile SIM Card"/>
    <x v="1"/>
    <n v="2"/>
    <s v="Fair"/>
    <n v="57"/>
    <x v="2"/>
    <x v="14"/>
    <n v="1000"/>
    <n v="5"/>
    <n v="5000"/>
    <n v="1000"/>
    <n v="63"/>
    <x v="0"/>
    <n v="1"/>
    <n v="0"/>
    <n v="0"/>
    <n v="0"/>
  </r>
  <r>
    <s v="CUST0432"/>
    <s v="Amina Espinoza"/>
    <d v="2025-01-25T00:00:00"/>
    <n v="80"/>
    <x v="3"/>
    <x v="12"/>
    <s v="Broadband MiFi"/>
    <x v="1"/>
    <n v="2"/>
    <s v="Fair"/>
    <n v="57"/>
    <x v="2"/>
    <x v="12"/>
    <n v="14500"/>
    <n v="9"/>
    <n v="130500"/>
    <n v="14500"/>
    <n v="174.4"/>
    <x v="0"/>
    <n v="1"/>
    <n v="0"/>
    <n v="0"/>
    <n v="0"/>
  </r>
  <r>
    <s v="CUST0432"/>
    <s v="Amina Espinoza"/>
    <d v="2025-01-25T00:00:00"/>
    <n v="80"/>
    <x v="3"/>
    <x v="12"/>
    <s v="4G Router"/>
    <x v="1"/>
    <n v="2"/>
    <s v="Fair"/>
    <n v="57"/>
    <x v="2"/>
    <x v="6"/>
    <n v="9000"/>
    <n v="10"/>
    <n v="90000"/>
    <n v="9000"/>
    <n v="185.28"/>
    <x v="0"/>
    <n v="1"/>
    <n v="0"/>
    <n v="0"/>
    <n v="0"/>
  </r>
  <r>
    <s v="CUST0433"/>
    <s v="Saidu Whitehead"/>
    <d v="2025-02-25T00:00:00"/>
    <n v="49"/>
    <x v="4"/>
    <x v="8"/>
    <s v="4G Router"/>
    <x v="1"/>
    <n v="3"/>
    <s v="Good"/>
    <n v="28"/>
    <x v="2"/>
    <x v="0"/>
    <n v="35000"/>
    <n v="5"/>
    <n v="175000"/>
    <n v="35000"/>
    <n v="11.12"/>
    <x v="1"/>
    <n v="0"/>
    <n v="0"/>
    <n v="0"/>
    <n v="0"/>
  </r>
  <r>
    <s v="CUST0433"/>
    <s v="Saidu Whitehead"/>
    <d v="2025-02-25T00:00:00"/>
    <n v="49"/>
    <x v="4"/>
    <x v="8"/>
    <s v="5G Broadband Router"/>
    <x v="1"/>
    <n v="3"/>
    <s v="Good"/>
    <n v="28"/>
    <x v="2"/>
    <x v="4"/>
    <n v="9000"/>
    <n v="2"/>
    <n v="18000"/>
    <n v="9000"/>
    <n v="46.36"/>
    <x v="1"/>
    <n v="0"/>
    <n v="0"/>
    <n v="0"/>
    <n v="0"/>
  </r>
  <r>
    <s v="CUST0434"/>
    <s v="John Williams"/>
    <d v="2025-01-25T00:00:00"/>
    <n v="49"/>
    <x v="4"/>
    <x v="1"/>
    <s v="Mobile SIM Card"/>
    <x v="1"/>
    <n v="4"/>
    <s v="Very Good"/>
    <n v="28"/>
    <x v="2"/>
    <x v="14"/>
    <n v="1000"/>
    <n v="5"/>
    <n v="5000"/>
    <n v="1000"/>
    <n v="169.24"/>
    <x v="0"/>
    <n v="1"/>
    <n v="0"/>
    <n v="0"/>
    <n v="0"/>
  </r>
  <r>
    <s v="CUST0434"/>
    <s v="John Williams"/>
    <d v="2025-01-25T00:00:00"/>
    <n v="49"/>
    <x v="4"/>
    <x v="1"/>
    <s v="4G Router"/>
    <x v="1"/>
    <n v="4"/>
    <s v="Very Good"/>
    <n v="28"/>
    <x v="2"/>
    <x v="9"/>
    <n v="16000"/>
    <n v="7"/>
    <n v="112000"/>
    <n v="16000"/>
    <n v="70.25"/>
    <x v="0"/>
    <n v="1"/>
    <n v="0"/>
    <n v="0"/>
    <n v="0"/>
  </r>
  <r>
    <s v="CUST0434"/>
    <s v="John Williams"/>
    <d v="2025-01-25T00:00:00"/>
    <n v="49"/>
    <x v="4"/>
    <x v="1"/>
    <s v="5G Broadband Router"/>
    <x v="1"/>
    <n v="4"/>
    <s v="Very Good"/>
    <n v="28"/>
    <x v="2"/>
    <x v="10"/>
    <n v="24000"/>
    <n v="6"/>
    <n v="144000"/>
    <n v="24000"/>
    <n v="36.54"/>
    <x v="0"/>
    <n v="1"/>
    <n v="0"/>
    <n v="0"/>
    <n v="0"/>
  </r>
  <r>
    <s v="CUST0435"/>
    <s v="Michael Santana"/>
    <d v="2025-02-25T00:00:00"/>
    <n v="50"/>
    <x v="4"/>
    <x v="9"/>
    <s v="Mobile SIM Card"/>
    <x v="0"/>
    <n v="4"/>
    <s v="Very Good"/>
    <n v="34"/>
    <x v="2"/>
    <x v="14"/>
    <n v="1000"/>
    <n v="1"/>
    <n v="1000"/>
    <n v="1000"/>
    <n v="177.53"/>
    <x v="1"/>
    <n v="0"/>
    <n v="0"/>
    <n v="0"/>
    <n v="0"/>
  </r>
  <r>
    <s v="CUST0436"/>
    <s v="Abubakar Bullock"/>
    <d v="2025-01-25T00:00:00"/>
    <n v="31"/>
    <x v="0"/>
    <x v="10"/>
    <s v="Mobile SIM Card"/>
    <x v="1"/>
    <n v="3"/>
    <s v="Good"/>
    <n v="38"/>
    <x v="2"/>
    <x v="3"/>
    <n v="500"/>
    <n v="1"/>
    <n v="500"/>
    <n v="500"/>
    <n v="119.04"/>
    <x v="0"/>
    <n v="1"/>
    <n v="0"/>
    <n v="0"/>
    <n v="0"/>
  </r>
  <r>
    <s v="CUST0436"/>
    <s v="Abubakar Bullock"/>
    <d v="2025-01-25T00:00:00"/>
    <n v="31"/>
    <x v="0"/>
    <x v="10"/>
    <s v="4G Router"/>
    <x v="1"/>
    <n v="3"/>
    <s v="Good"/>
    <n v="38"/>
    <x v="2"/>
    <x v="6"/>
    <n v="9000"/>
    <n v="20"/>
    <n v="180000"/>
    <n v="9000"/>
    <n v="193.97"/>
    <x v="0"/>
    <n v="1"/>
    <n v="0"/>
    <n v="0"/>
    <n v="0"/>
  </r>
  <r>
    <s v="CUST0437"/>
    <s v="Alabo Young"/>
    <d v="2025-01-25T00:00:00"/>
    <n v="57"/>
    <x v="3"/>
    <x v="21"/>
    <s v="Broadband MiFi"/>
    <x v="0"/>
    <n v="3"/>
    <s v="Good"/>
    <n v="56"/>
    <x v="2"/>
    <x v="10"/>
    <n v="24000"/>
    <n v="13"/>
    <n v="312000"/>
    <n v="24000"/>
    <n v="190.4"/>
    <x v="1"/>
    <n v="0"/>
    <n v="0"/>
    <n v="0"/>
    <n v="0"/>
  </r>
  <r>
    <s v="CUST0438"/>
    <s v="Chinedu Ramos"/>
    <d v="2025-01-25T00:00:00"/>
    <n v="67"/>
    <x v="3"/>
    <x v="22"/>
    <s v="Mobile SIM Card"/>
    <x v="0"/>
    <n v="1"/>
    <s v="Poor"/>
    <n v="16"/>
    <x v="1"/>
    <x v="15"/>
    <n v="7500"/>
    <n v="5"/>
    <n v="37500"/>
    <n v="7500"/>
    <n v="57.34"/>
    <x v="0"/>
    <n v="1"/>
    <n v="0"/>
    <n v="0"/>
    <n v="0"/>
  </r>
  <r>
    <s v="CUST0439"/>
    <s v="Ifeanyi Zimmerman"/>
    <d v="2025-03-25T00:00:00"/>
    <n v="54"/>
    <x v="4"/>
    <x v="12"/>
    <s v="5G Broadband Router"/>
    <x v="1"/>
    <n v="5"/>
    <s v="Excellent"/>
    <n v="48"/>
    <x v="2"/>
    <x v="12"/>
    <n v="14500"/>
    <n v="13"/>
    <n v="188500"/>
    <n v="14500"/>
    <n v="98.18"/>
    <x v="0"/>
    <n v="1"/>
    <n v="0"/>
    <n v="0"/>
    <n v="0"/>
  </r>
  <r>
    <s v="CUST0440"/>
    <s v="John Carter"/>
    <d v="2025-01-25T00:00:00"/>
    <n v="50"/>
    <x v="4"/>
    <x v="0"/>
    <s v="Mobile SIM Card"/>
    <x v="0"/>
    <n v="3"/>
    <s v="Good"/>
    <n v="49"/>
    <x v="2"/>
    <x v="16"/>
    <n v="900"/>
    <n v="15"/>
    <n v="13500"/>
    <n v="900"/>
    <n v="102.91"/>
    <x v="1"/>
    <n v="0"/>
    <n v="0"/>
    <n v="0"/>
    <n v="0"/>
  </r>
  <r>
    <s v="CUST0440"/>
    <s v="John Carter"/>
    <d v="2025-01-25T00:00:00"/>
    <n v="50"/>
    <x v="4"/>
    <x v="0"/>
    <s v="Broadband MiFi"/>
    <x v="0"/>
    <n v="3"/>
    <s v="Good"/>
    <n v="49"/>
    <x v="2"/>
    <x v="2"/>
    <n v="20000"/>
    <n v="5"/>
    <n v="100000"/>
    <n v="20000"/>
    <n v="129.69999999999999"/>
    <x v="1"/>
    <n v="0"/>
    <n v="0"/>
    <n v="0"/>
    <n v="0"/>
  </r>
  <r>
    <s v="CUST0441"/>
    <s v="Grace Williams"/>
    <d v="2025-01-25T00:00:00"/>
    <n v="26"/>
    <x v="0"/>
    <x v="14"/>
    <s v="5G Broadband Router"/>
    <x v="1"/>
    <n v="4"/>
    <s v="Very Good"/>
    <n v="28"/>
    <x v="2"/>
    <x v="12"/>
    <n v="14500"/>
    <n v="10"/>
    <n v="145000"/>
    <n v="14500"/>
    <n v="104.86"/>
    <x v="1"/>
    <n v="0"/>
    <n v="0"/>
    <n v="0"/>
    <n v="0"/>
  </r>
  <r>
    <s v="CUST0442"/>
    <s v="Sade Johnson"/>
    <d v="2025-01-25T00:00:00"/>
    <n v="25"/>
    <x v="0"/>
    <x v="19"/>
    <s v="5G Broadband Router"/>
    <x v="0"/>
    <n v="4"/>
    <s v="Very Good"/>
    <n v="33"/>
    <x v="2"/>
    <x v="2"/>
    <n v="20000"/>
    <n v="1"/>
    <n v="20000"/>
    <n v="20000"/>
    <n v="153.85"/>
    <x v="0"/>
    <n v="1"/>
    <n v="0"/>
    <n v="0"/>
    <n v="0"/>
  </r>
  <r>
    <s v="CUST0442"/>
    <s v="Sade Johnson"/>
    <d v="2025-01-25T00:00:00"/>
    <n v="25"/>
    <x v="0"/>
    <x v="19"/>
    <s v="4G Router"/>
    <x v="0"/>
    <n v="4"/>
    <s v="Very Good"/>
    <n v="33"/>
    <x v="2"/>
    <x v="9"/>
    <n v="16000"/>
    <n v="15"/>
    <n v="240000"/>
    <n v="16000"/>
    <n v="148.22999999999999"/>
    <x v="0"/>
    <n v="1"/>
    <n v="0"/>
    <n v="0"/>
    <n v="0"/>
  </r>
  <r>
    <s v="CUST0442"/>
    <s v="Sade Johnson"/>
    <d v="2025-01-25T00:00:00"/>
    <n v="25"/>
    <x v="0"/>
    <x v="19"/>
    <s v="Mobile SIM Card"/>
    <x v="0"/>
    <n v="4"/>
    <s v="Very Good"/>
    <n v="33"/>
    <x v="2"/>
    <x v="19"/>
    <n v="600"/>
    <n v="13"/>
    <n v="7800"/>
    <n v="600"/>
    <n v="157.34"/>
    <x v="0"/>
    <n v="1"/>
    <n v="0"/>
    <n v="0"/>
    <n v="0"/>
  </r>
  <r>
    <s v="CUST0443"/>
    <s v="Bola Wright"/>
    <d v="2025-01-25T00:00:00"/>
    <n v="26"/>
    <x v="0"/>
    <x v="15"/>
    <s v="5G Broadband Router"/>
    <x v="1"/>
    <n v="4"/>
    <s v="Very Good"/>
    <n v="21"/>
    <x v="1"/>
    <x v="12"/>
    <n v="14500"/>
    <n v="20"/>
    <n v="290000"/>
    <n v="14500"/>
    <n v="37.42"/>
    <x v="1"/>
    <n v="0"/>
    <n v="0"/>
    <n v="0"/>
    <n v="0"/>
  </r>
  <r>
    <s v="CUST0443"/>
    <s v="Bola Wright"/>
    <d v="2025-01-25T00:00:00"/>
    <n v="26"/>
    <x v="0"/>
    <x v="15"/>
    <s v="Broadband MiFi"/>
    <x v="1"/>
    <n v="4"/>
    <s v="Very Good"/>
    <n v="21"/>
    <x v="1"/>
    <x v="11"/>
    <n v="30000"/>
    <n v="4"/>
    <n v="120000"/>
    <n v="30000"/>
    <n v="174.39"/>
    <x v="1"/>
    <n v="0"/>
    <n v="0"/>
    <n v="0"/>
    <n v="0"/>
  </r>
  <r>
    <s v="CUST0444"/>
    <s v="Boma Shah"/>
    <d v="2025-01-25T00:00:00"/>
    <n v="18"/>
    <x v="1"/>
    <x v="34"/>
    <s v="Mobile SIM Card"/>
    <x v="1"/>
    <n v="2"/>
    <s v="Fair"/>
    <n v="8"/>
    <x v="3"/>
    <x v="20"/>
    <n v="6500"/>
    <n v="20"/>
    <n v="130000"/>
    <n v="6500"/>
    <n v="60.91"/>
    <x v="1"/>
    <n v="0"/>
    <n v="0"/>
    <n v="0"/>
    <n v="0"/>
  </r>
  <r>
    <s v="CUST0445"/>
    <s v="Ejiro Wagner"/>
    <d v="2025-02-25T00:00:00"/>
    <n v="66"/>
    <x v="3"/>
    <x v="24"/>
    <s v="4G Router"/>
    <x v="0"/>
    <n v="1"/>
    <s v="Poor"/>
    <n v="9"/>
    <x v="3"/>
    <x v="9"/>
    <n v="16000"/>
    <n v="5"/>
    <n v="80000"/>
    <n v="16000"/>
    <n v="42.24"/>
    <x v="0"/>
    <n v="1"/>
    <n v="0"/>
    <n v="0"/>
    <n v="0"/>
  </r>
  <r>
    <s v="CUST0446"/>
    <s v="Halima Lambert"/>
    <d v="2025-03-25T00:00:00"/>
    <n v="71"/>
    <x v="3"/>
    <x v="11"/>
    <s v="Broadband MiFi"/>
    <x v="0"/>
    <n v="4"/>
    <s v="Very Good"/>
    <n v="6"/>
    <x v="3"/>
    <x v="2"/>
    <n v="20000"/>
    <n v="15"/>
    <n v="300000"/>
    <n v="20000"/>
    <n v="180.53"/>
    <x v="0"/>
    <n v="1"/>
    <n v="0"/>
    <n v="0"/>
    <n v="0"/>
  </r>
  <r>
    <s v="CUST0447"/>
    <s v="Grace Hudson"/>
    <d v="2025-02-25T00:00:00"/>
    <n v="76"/>
    <x v="3"/>
    <x v="17"/>
    <s v="Broadband MiFi"/>
    <x v="1"/>
    <n v="2"/>
    <s v="Fair"/>
    <n v="38"/>
    <x v="2"/>
    <x v="4"/>
    <n v="9000"/>
    <n v="14"/>
    <n v="126000"/>
    <n v="9000"/>
    <n v="20.98"/>
    <x v="0"/>
    <n v="1"/>
    <n v="0"/>
    <n v="0"/>
    <n v="0"/>
  </r>
  <r>
    <s v="CUST0447"/>
    <s v="Grace Hudson"/>
    <d v="2025-02-25T00:00:00"/>
    <n v="76"/>
    <x v="3"/>
    <x v="17"/>
    <s v="4G Router"/>
    <x v="1"/>
    <n v="2"/>
    <s v="Fair"/>
    <n v="38"/>
    <x v="2"/>
    <x v="0"/>
    <n v="35000"/>
    <n v="19"/>
    <n v="665000"/>
    <n v="35000"/>
    <n v="169.8"/>
    <x v="0"/>
    <n v="1"/>
    <n v="0"/>
    <n v="0"/>
    <n v="0"/>
  </r>
  <r>
    <s v="CUST0448"/>
    <s v="Abubakar Ryan"/>
    <d v="2025-01-25T00:00:00"/>
    <n v="20"/>
    <x v="1"/>
    <x v="12"/>
    <s v="Broadband MiFi"/>
    <x v="1"/>
    <n v="2"/>
    <s v="Fair"/>
    <n v="32"/>
    <x v="2"/>
    <x v="10"/>
    <n v="24000"/>
    <n v="14"/>
    <n v="336000"/>
    <n v="24000"/>
    <n v="13.17"/>
    <x v="1"/>
    <n v="0"/>
    <n v="0"/>
    <n v="0"/>
    <n v="0"/>
  </r>
  <r>
    <s v="CUST0448"/>
    <s v="Abubakar Ryan"/>
    <d v="2025-01-25T00:00:00"/>
    <n v="20"/>
    <x v="1"/>
    <x v="12"/>
    <s v="4G Router"/>
    <x v="1"/>
    <n v="2"/>
    <s v="Fair"/>
    <n v="32"/>
    <x v="2"/>
    <x v="0"/>
    <n v="35000"/>
    <n v="20"/>
    <n v="700000"/>
    <n v="35000"/>
    <n v="23.83"/>
    <x v="1"/>
    <n v="0"/>
    <n v="0"/>
    <n v="0"/>
    <n v="0"/>
  </r>
  <r>
    <s v="CUST0448"/>
    <s v="Abubakar Ryan"/>
    <d v="2025-01-25T00:00:00"/>
    <n v="20"/>
    <x v="1"/>
    <x v="12"/>
    <s v="5G Broadband Router"/>
    <x v="1"/>
    <n v="2"/>
    <s v="Fair"/>
    <n v="32"/>
    <x v="2"/>
    <x v="18"/>
    <n v="25000"/>
    <n v="14"/>
    <n v="350000"/>
    <n v="25000"/>
    <n v="89.94"/>
    <x v="1"/>
    <n v="0"/>
    <n v="0"/>
    <n v="0"/>
    <n v="0"/>
  </r>
  <r>
    <s v="CUST0449"/>
    <s v="Funke Chung"/>
    <d v="2025-03-25T00:00:00"/>
    <n v="36"/>
    <x v="2"/>
    <x v="14"/>
    <s v="5G Broadband Router"/>
    <x v="0"/>
    <n v="4"/>
    <s v="Very Good"/>
    <n v="31"/>
    <x v="2"/>
    <x v="11"/>
    <n v="30000"/>
    <n v="13"/>
    <n v="390000"/>
    <n v="30000"/>
    <n v="176.69"/>
    <x v="0"/>
    <n v="1"/>
    <n v="0"/>
    <n v="0"/>
    <n v="0"/>
  </r>
  <r>
    <s v="CUST0449"/>
    <s v="Funke Chung"/>
    <d v="2025-03-25T00:00:00"/>
    <n v="36"/>
    <x v="2"/>
    <x v="14"/>
    <s v="Mobile SIM Card"/>
    <x v="0"/>
    <n v="4"/>
    <s v="Very Good"/>
    <n v="31"/>
    <x v="2"/>
    <x v="15"/>
    <n v="7500"/>
    <n v="12"/>
    <n v="90000"/>
    <n v="7500"/>
    <n v="166.7"/>
    <x v="0"/>
    <n v="1"/>
    <n v="0"/>
    <n v="0"/>
    <n v="0"/>
  </r>
  <r>
    <s v="CUST0449"/>
    <s v="Funke Chung"/>
    <d v="2025-03-25T00:00:00"/>
    <n v="36"/>
    <x v="2"/>
    <x v="14"/>
    <s v="4G Router"/>
    <x v="0"/>
    <n v="4"/>
    <s v="Very Good"/>
    <n v="31"/>
    <x v="2"/>
    <x v="0"/>
    <n v="35000"/>
    <n v="6"/>
    <n v="210000"/>
    <n v="35000"/>
    <n v="160.05000000000001"/>
    <x v="0"/>
    <n v="1"/>
    <n v="0"/>
    <n v="0"/>
    <n v="0"/>
  </r>
  <r>
    <s v="CUST0450"/>
    <s v="Fatima Curtis"/>
    <d v="2025-02-25T00:00:00"/>
    <n v="52"/>
    <x v="4"/>
    <x v="33"/>
    <s v="Mobile SIM Card"/>
    <x v="1"/>
    <n v="2"/>
    <s v="Fair"/>
    <n v="9"/>
    <x v="3"/>
    <x v="1"/>
    <n v="5500"/>
    <n v="7"/>
    <n v="38500"/>
    <n v="5500"/>
    <n v="61.08"/>
    <x v="0"/>
    <n v="1"/>
    <n v="0"/>
    <n v="0"/>
    <n v="0"/>
  </r>
  <r>
    <s v="CUST0451"/>
    <s v="Sade Baker"/>
    <d v="2025-02-25T00:00:00"/>
    <n v="18"/>
    <x v="1"/>
    <x v="25"/>
    <s v="Mobile SIM Card"/>
    <x v="1"/>
    <n v="2"/>
    <s v="Fair"/>
    <n v="23"/>
    <x v="1"/>
    <x v="1"/>
    <n v="5500"/>
    <n v="8"/>
    <n v="44000"/>
    <n v="5500"/>
    <n v="23.24"/>
    <x v="1"/>
    <n v="0"/>
    <n v="0"/>
    <n v="0"/>
    <n v="0"/>
  </r>
  <r>
    <s v="CUST0451"/>
    <s v="Sade Baker"/>
    <d v="2025-02-25T00:00:00"/>
    <n v="18"/>
    <x v="1"/>
    <x v="25"/>
    <s v="4G Router"/>
    <x v="1"/>
    <n v="2"/>
    <s v="Fair"/>
    <n v="23"/>
    <x v="1"/>
    <x v="5"/>
    <n v="4500"/>
    <n v="16"/>
    <n v="72000"/>
    <n v="4500"/>
    <n v="112.62"/>
    <x v="1"/>
    <n v="0"/>
    <n v="0"/>
    <n v="0"/>
    <n v="0"/>
  </r>
  <r>
    <s v="CUST0452"/>
    <s v="Saidu Jackson"/>
    <d v="2025-03-25T00:00:00"/>
    <n v="59"/>
    <x v="3"/>
    <x v="25"/>
    <s v="Broadband MiFi"/>
    <x v="0"/>
    <n v="2"/>
    <s v="Fair"/>
    <n v="50"/>
    <x v="2"/>
    <x v="12"/>
    <n v="14500"/>
    <n v="4"/>
    <n v="58000"/>
    <n v="14500"/>
    <n v="159.9"/>
    <x v="1"/>
    <n v="0"/>
    <n v="0"/>
    <n v="0"/>
    <n v="0"/>
  </r>
  <r>
    <s v="CUST0452"/>
    <s v="Saidu Jackson"/>
    <d v="2025-03-25T00:00:00"/>
    <n v="59"/>
    <x v="3"/>
    <x v="25"/>
    <s v="5G Broadband Router"/>
    <x v="0"/>
    <n v="2"/>
    <s v="Fair"/>
    <n v="50"/>
    <x v="2"/>
    <x v="2"/>
    <n v="20000"/>
    <n v="20"/>
    <n v="400000"/>
    <n v="20000"/>
    <n v="156.44"/>
    <x v="1"/>
    <n v="0"/>
    <n v="0"/>
    <n v="0"/>
    <n v="0"/>
  </r>
  <r>
    <s v="CUST0452"/>
    <s v="Saidu Jackson"/>
    <d v="2025-03-25T00:00:00"/>
    <n v="59"/>
    <x v="3"/>
    <x v="25"/>
    <s v="Mobile SIM Card"/>
    <x v="0"/>
    <n v="2"/>
    <s v="Fair"/>
    <n v="50"/>
    <x v="2"/>
    <x v="14"/>
    <n v="1000"/>
    <n v="2"/>
    <n v="2000"/>
    <n v="1000"/>
    <n v="164.81"/>
    <x v="1"/>
    <n v="0"/>
    <n v="0"/>
    <n v="0"/>
    <n v="0"/>
  </r>
  <r>
    <s v="CUST0453"/>
    <s v="Michael Madden"/>
    <d v="2025-02-25T00:00:00"/>
    <n v="29"/>
    <x v="0"/>
    <x v="1"/>
    <s v="Mobile SIM Card"/>
    <x v="0"/>
    <n v="3"/>
    <s v="Good"/>
    <n v="56"/>
    <x v="2"/>
    <x v="14"/>
    <n v="1000"/>
    <n v="12"/>
    <n v="12000"/>
    <n v="1000"/>
    <n v="31.28"/>
    <x v="0"/>
    <n v="1"/>
    <n v="0"/>
    <n v="0"/>
    <n v="0"/>
  </r>
  <r>
    <s v="CUST0453"/>
    <s v="Michael Madden"/>
    <d v="2025-02-25T00:00:00"/>
    <n v="29"/>
    <x v="0"/>
    <x v="1"/>
    <s v="5G Broadband Router"/>
    <x v="0"/>
    <n v="3"/>
    <s v="Good"/>
    <n v="56"/>
    <x v="2"/>
    <x v="18"/>
    <n v="25000"/>
    <n v="4"/>
    <n v="100000"/>
    <n v="25000"/>
    <n v="163.92"/>
    <x v="0"/>
    <n v="1"/>
    <n v="0"/>
    <n v="0"/>
    <n v="0"/>
  </r>
  <r>
    <s v="CUST0453"/>
    <s v="Michael Madden"/>
    <d v="2025-02-25T00:00:00"/>
    <n v="29"/>
    <x v="0"/>
    <x v="1"/>
    <s v="4G Router"/>
    <x v="0"/>
    <n v="3"/>
    <s v="Good"/>
    <n v="56"/>
    <x v="2"/>
    <x v="5"/>
    <n v="4500"/>
    <n v="14"/>
    <n v="63000"/>
    <n v="4500"/>
    <n v="88.1"/>
    <x v="0"/>
    <n v="1"/>
    <n v="0"/>
    <n v="0"/>
    <n v="0"/>
  </r>
  <r>
    <s v="CUST0454"/>
    <s v="Tunde Fuller"/>
    <d v="2025-02-25T00:00:00"/>
    <n v="47"/>
    <x v="4"/>
    <x v="31"/>
    <s v="5G Broadband Router"/>
    <x v="1"/>
    <n v="1"/>
    <s v="Poor"/>
    <n v="19"/>
    <x v="1"/>
    <x v="12"/>
    <n v="14500"/>
    <n v="17"/>
    <n v="246500"/>
    <n v="14500"/>
    <n v="30.75"/>
    <x v="0"/>
    <n v="1"/>
    <n v="0"/>
    <n v="0"/>
    <n v="0"/>
  </r>
  <r>
    <s v="CUST0454"/>
    <s v="Tunde Fuller"/>
    <d v="2025-02-25T00:00:00"/>
    <n v="47"/>
    <x v="4"/>
    <x v="31"/>
    <s v="Mobile SIM Card"/>
    <x v="1"/>
    <n v="1"/>
    <s v="Poor"/>
    <n v="19"/>
    <x v="1"/>
    <x v="15"/>
    <n v="7500"/>
    <n v="5"/>
    <n v="37500"/>
    <n v="7500"/>
    <n v="157.55000000000001"/>
    <x v="0"/>
    <n v="1"/>
    <n v="0"/>
    <n v="0"/>
    <n v="0"/>
  </r>
  <r>
    <s v="CUST0455"/>
    <s v="Boma Baker"/>
    <d v="2025-03-25T00:00:00"/>
    <n v="68"/>
    <x v="3"/>
    <x v="15"/>
    <s v="Broadband MiFi"/>
    <x v="1"/>
    <n v="1"/>
    <s v="Poor"/>
    <n v="55"/>
    <x v="2"/>
    <x v="4"/>
    <n v="9000"/>
    <n v="13"/>
    <n v="117000"/>
    <n v="9000"/>
    <n v="67.989999999999995"/>
    <x v="1"/>
    <n v="0"/>
    <n v="0"/>
    <n v="0"/>
    <n v="0"/>
  </r>
  <r>
    <s v="CUST0456"/>
    <s v="Amina Diaz"/>
    <d v="2025-01-25T00:00:00"/>
    <n v="71"/>
    <x v="3"/>
    <x v="4"/>
    <s v="5G Broadband Router"/>
    <x v="1"/>
    <n v="2"/>
    <s v="Fair"/>
    <n v="49"/>
    <x v="2"/>
    <x v="17"/>
    <n v="75000"/>
    <n v="18"/>
    <n v="1350000"/>
    <n v="75000"/>
    <n v="80.7"/>
    <x v="1"/>
    <n v="0"/>
    <n v="0"/>
    <n v="0"/>
    <n v="0"/>
  </r>
  <r>
    <s v="CUST0457"/>
    <s v="Maryam Martin"/>
    <d v="2025-03-25T00:00:00"/>
    <n v="56"/>
    <x v="3"/>
    <x v="25"/>
    <s v="Mobile SIM Card"/>
    <x v="0"/>
    <n v="5"/>
    <s v="Excellent"/>
    <n v="53"/>
    <x v="2"/>
    <x v="1"/>
    <n v="5500"/>
    <n v="18"/>
    <n v="99000"/>
    <n v="5500"/>
    <n v="128.94999999999999"/>
    <x v="1"/>
    <n v="0"/>
    <n v="0"/>
    <n v="0"/>
    <n v="0"/>
  </r>
  <r>
    <s v="CUST0458"/>
    <s v="Alabo Bradley"/>
    <d v="2025-03-25T00:00:00"/>
    <n v="60"/>
    <x v="3"/>
    <x v="10"/>
    <s v="4G Router"/>
    <x v="0"/>
    <n v="1"/>
    <s v="Poor"/>
    <n v="57"/>
    <x v="2"/>
    <x v="6"/>
    <n v="9000"/>
    <n v="17"/>
    <n v="153000"/>
    <n v="9000"/>
    <n v="43.14"/>
    <x v="0"/>
    <n v="1"/>
    <n v="0"/>
    <n v="0"/>
    <n v="0"/>
  </r>
  <r>
    <s v="CUST0458"/>
    <s v="Alabo Bradley"/>
    <d v="2025-03-25T00:00:00"/>
    <n v="60"/>
    <x v="3"/>
    <x v="10"/>
    <s v="5G Broadband Router"/>
    <x v="0"/>
    <n v="1"/>
    <s v="Poor"/>
    <n v="57"/>
    <x v="2"/>
    <x v="10"/>
    <n v="24000"/>
    <n v="6"/>
    <n v="144000"/>
    <n v="24000"/>
    <n v="104.51"/>
    <x v="0"/>
    <n v="1"/>
    <n v="0"/>
    <n v="0"/>
    <n v="0"/>
  </r>
  <r>
    <s v="CUST0460"/>
    <s v="Ejiro Martin"/>
    <d v="2025-01-25T00:00:00"/>
    <n v="49"/>
    <x v="4"/>
    <x v="28"/>
    <s v="Broadband MiFi"/>
    <x v="1"/>
    <n v="1"/>
    <s v="Poor"/>
    <n v="8"/>
    <x v="3"/>
    <x v="2"/>
    <n v="20000"/>
    <n v="19"/>
    <n v="380000"/>
    <n v="20000"/>
    <n v="161.16999999999999"/>
    <x v="1"/>
    <n v="0"/>
    <n v="0"/>
    <n v="0"/>
    <n v="0"/>
  </r>
  <r>
    <s v="CUST0460"/>
    <s v="Ejiro Martin"/>
    <d v="2025-01-25T00:00:00"/>
    <n v="49"/>
    <x v="4"/>
    <x v="28"/>
    <s v="4G Router"/>
    <x v="1"/>
    <n v="1"/>
    <s v="Poor"/>
    <n v="8"/>
    <x v="3"/>
    <x v="5"/>
    <n v="4500"/>
    <n v="10"/>
    <n v="45000"/>
    <n v="4500"/>
    <n v="70.39"/>
    <x v="1"/>
    <n v="0"/>
    <n v="0"/>
    <n v="0"/>
    <n v="0"/>
  </r>
  <r>
    <s v="CUST0460"/>
    <s v="Ejiro Martin"/>
    <d v="2025-01-25T00:00:00"/>
    <n v="49"/>
    <x v="4"/>
    <x v="28"/>
    <s v="5G Broadband Router"/>
    <x v="1"/>
    <n v="1"/>
    <s v="Poor"/>
    <n v="8"/>
    <x v="3"/>
    <x v="11"/>
    <n v="30000"/>
    <n v="17"/>
    <n v="510000"/>
    <n v="30000"/>
    <n v="143.01"/>
    <x v="1"/>
    <n v="0"/>
    <n v="0"/>
    <n v="0"/>
    <n v="0"/>
  </r>
  <r>
    <s v="CUST0461"/>
    <s v="Halima Walker"/>
    <d v="2025-03-25T00:00:00"/>
    <n v="29"/>
    <x v="0"/>
    <x v="32"/>
    <s v="Mobile SIM Card"/>
    <x v="0"/>
    <n v="4"/>
    <s v="Very Good"/>
    <n v="53"/>
    <x v="2"/>
    <x v="14"/>
    <n v="1000"/>
    <n v="5"/>
    <n v="5000"/>
    <n v="1000"/>
    <n v="12.91"/>
    <x v="0"/>
    <n v="1"/>
    <n v="0"/>
    <n v="0"/>
    <n v="0"/>
  </r>
  <r>
    <s v="CUST0461"/>
    <s v="Halima Walker"/>
    <d v="2025-03-25T00:00:00"/>
    <n v="29"/>
    <x v="0"/>
    <x v="32"/>
    <s v="Broadband MiFi"/>
    <x v="0"/>
    <n v="4"/>
    <s v="Very Good"/>
    <n v="53"/>
    <x v="2"/>
    <x v="12"/>
    <n v="14500"/>
    <n v="3"/>
    <n v="43500"/>
    <n v="14500"/>
    <n v="43.35"/>
    <x v="0"/>
    <n v="1"/>
    <n v="0"/>
    <n v="0"/>
    <n v="0"/>
  </r>
  <r>
    <s v="CUST0462"/>
    <s v="Ejiro Brown"/>
    <d v="2025-03-25T00:00:00"/>
    <n v="67"/>
    <x v="3"/>
    <x v="8"/>
    <s v="Mobile SIM Card"/>
    <x v="1"/>
    <n v="5"/>
    <s v="Excellent"/>
    <n v="56"/>
    <x v="2"/>
    <x v="1"/>
    <n v="5500"/>
    <n v="14"/>
    <n v="77000"/>
    <n v="5500"/>
    <n v="146.47999999999999"/>
    <x v="1"/>
    <n v="0"/>
    <n v="0"/>
    <n v="0"/>
    <n v="0"/>
  </r>
  <r>
    <s v="CUST0462"/>
    <s v="Ejiro Brown"/>
    <d v="2025-03-25T00:00:00"/>
    <n v="67"/>
    <x v="3"/>
    <x v="8"/>
    <s v="5G Broadband Router"/>
    <x v="1"/>
    <n v="5"/>
    <s v="Excellent"/>
    <n v="56"/>
    <x v="2"/>
    <x v="11"/>
    <n v="30000"/>
    <n v="5"/>
    <n v="150000"/>
    <n v="30000"/>
    <n v="29.3"/>
    <x v="1"/>
    <n v="0"/>
    <n v="0"/>
    <n v="0"/>
    <n v="0"/>
  </r>
  <r>
    <s v="CUST0463"/>
    <s v="Grace Bell"/>
    <d v="2025-02-25T00:00:00"/>
    <n v="74"/>
    <x v="3"/>
    <x v="21"/>
    <s v="4G Router"/>
    <x v="0"/>
    <n v="4"/>
    <s v="Very Good"/>
    <n v="45"/>
    <x v="2"/>
    <x v="9"/>
    <n v="16000"/>
    <n v="14"/>
    <n v="224000"/>
    <n v="16000"/>
    <n v="120.52"/>
    <x v="1"/>
    <n v="0"/>
    <n v="0"/>
    <n v="0"/>
    <n v="0"/>
  </r>
  <r>
    <s v="CUST0463"/>
    <s v="Grace Bell"/>
    <d v="2025-02-25T00:00:00"/>
    <n v="74"/>
    <x v="3"/>
    <x v="21"/>
    <s v="5G Broadband Router"/>
    <x v="0"/>
    <n v="4"/>
    <s v="Very Good"/>
    <n v="45"/>
    <x v="2"/>
    <x v="2"/>
    <n v="20000"/>
    <n v="19"/>
    <n v="380000"/>
    <n v="20000"/>
    <n v="24.61"/>
    <x v="1"/>
    <n v="0"/>
    <n v="0"/>
    <n v="0"/>
    <n v="0"/>
  </r>
  <r>
    <s v="CUST0463"/>
    <s v="Grace Bell"/>
    <d v="2025-02-25T00:00:00"/>
    <n v="74"/>
    <x v="3"/>
    <x v="21"/>
    <s v="Mobile SIM Card"/>
    <x v="0"/>
    <n v="4"/>
    <s v="Very Good"/>
    <n v="45"/>
    <x v="2"/>
    <x v="3"/>
    <n v="500"/>
    <n v="5"/>
    <n v="2500"/>
    <n v="500"/>
    <n v="8.5399999999999991"/>
    <x v="1"/>
    <n v="0"/>
    <n v="0"/>
    <n v="0"/>
    <n v="0"/>
  </r>
  <r>
    <s v="CUST0464"/>
    <s v="Ifeanyi Smith"/>
    <d v="2025-03-25T00:00:00"/>
    <n v="63"/>
    <x v="3"/>
    <x v="24"/>
    <s v="Mobile SIM Card"/>
    <x v="1"/>
    <n v="4"/>
    <s v="Very Good"/>
    <n v="20"/>
    <x v="1"/>
    <x v="16"/>
    <n v="900"/>
    <n v="10"/>
    <n v="9000"/>
    <n v="900"/>
    <n v="187.4"/>
    <x v="0"/>
    <n v="1"/>
    <n v="0"/>
    <n v="0"/>
    <n v="0"/>
  </r>
  <r>
    <s v="CUST0465"/>
    <s v="Abubakar Ross"/>
    <d v="2025-01-25T00:00:00"/>
    <n v="43"/>
    <x v="2"/>
    <x v="20"/>
    <s v="Mobile SIM Card"/>
    <x v="1"/>
    <n v="5"/>
    <s v="Excellent"/>
    <n v="1"/>
    <x v="0"/>
    <x v="1"/>
    <n v="5500"/>
    <n v="19"/>
    <n v="104500"/>
    <n v="5500"/>
    <n v="114.83"/>
    <x v="1"/>
    <n v="0"/>
    <n v="0"/>
    <n v="0"/>
    <n v="0"/>
  </r>
  <r>
    <s v="CUST0466"/>
    <s v="Alabo Escobar"/>
    <d v="2025-02-25T00:00:00"/>
    <n v="59"/>
    <x v="3"/>
    <x v="6"/>
    <s v="Mobile SIM Card"/>
    <x v="1"/>
    <n v="2"/>
    <s v="Fair"/>
    <n v="54"/>
    <x v="2"/>
    <x v="1"/>
    <n v="5500"/>
    <n v="11"/>
    <n v="60500"/>
    <n v="5500"/>
    <n v="30.22"/>
    <x v="1"/>
    <n v="0"/>
    <n v="0"/>
    <n v="0"/>
    <n v="0"/>
  </r>
  <r>
    <s v="CUST0466"/>
    <s v="Alabo Escobar"/>
    <d v="2025-02-25T00:00:00"/>
    <n v="59"/>
    <x v="3"/>
    <x v="6"/>
    <s v="5G Broadband Router"/>
    <x v="1"/>
    <n v="2"/>
    <s v="Fair"/>
    <n v="54"/>
    <x v="2"/>
    <x v="2"/>
    <n v="20000"/>
    <n v="20"/>
    <n v="400000"/>
    <n v="20000"/>
    <n v="160.06"/>
    <x v="1"/>
    <n v="0"/>
    <n v="0"/>
    <n v="0"/>
    <n v="0"/>
  </r>
  <r>
    <s v="CUST0467"/>
    <s v="Ibim Hunter"/>
    <d v="2025-01-25T00:00:00"/>
    <n v="65"/>
    <x v="3"/>
    <x v="16"/>
    <s v="Broadband MiFi"/>
    <x v="1"/>
    <n v="4"/>
    <s v="Very Good"/>
    <n v="22"/>
    <x v="1"/>
    <x v="10"/>
    <n v="24000"/>
    <n v="10"/>
    <n v="240000"/>
    <n v="24000"/>
    <n v="126.21"/>
    <x v="1"/>
    <n v="0"/>
    <n v="0"/>
    <n v="0"/>
    <n v="0"/>
  </r>
  <r>
    <s v="CUST0467"/>
    <s v="Ibim Hunter"/>
    <d v="2025-01-25T00:00:00"/>
    <n v="65"/>
    <x v="3"/>
    <x v="16"/>
    <s v="Mobile SIM Card"/>
    <x v="1"/>
    <n v="4"/>
    <s v="Very Good"/>
    <n v="22"/>
    <x v="1"/>
    <x v="20"/>
    <n v="6500"/>
    <n v="18"/>
    <n v="117000"/>
    <n v="6500"/>
    <n v="129.21"/>
    <x v="1"/>
    <n v="0"/>
    <n v="0"/>
    <n v="0"/>
    <n v="0"/>
  </r>
  <r>
    <s v="CUST0467"/>
    <s v="Ibim Hunter"/>
    <d v="2025-01-25T00:00:00"/>
    <n v="65"/>
    <x v="3"/>
    <x v="16"/>
    <s v="5G Broadband Router"/>
    <x v="1"/>
    <n v="4"/>
    <s v="Very Good"/>
    <n v="22"/>
    <x v="1"/>
    <x v="2"/>
    <n v="20000"/>
    <n v="20"/>
    <n v="400000"/>
    <n v="20000"/>
    <n v="38.89"/>
    <x v="1"/>
    <n v="0"/>
    <n v="0"/>
    <n v="0"/>
    <n v="0"/>
  </r>
  <r>
    <s v="CUST0468"/>
    <s v="David Boone"/>
    <d v="2025-01-25T00:00:00"/>
    <n v="22"/>
    <x v="1"/>
    <x v="8"/>
    <s v="4G Router"/>
    <x v="0"/>
    <n v="5"/>
    <s v="Excellent"/>
    <n v="49"/>
    <x v="2"/>
    <x v="9"/>
    <n v="16000"/>
    <n v="7"/>
    <n v="112000"/>
    <n v="16000"/>
    <n v="55.36"/>
    <x v="1"/>
    <n v="0"/>
    <n v="0"/>
    <n v="0"/>
    <n v="0"/>
  </r>
  <r>
    <s v="CUST0469"/>
    <s v="Halima Matthews"/>
    <d v="2025-01-25T00:00:00"/>
    <n v="72"/>
    <x v="3"/>
    <x v="33"/>
    <s v="5G Broadband Router"/>
    <x v="1"/>
    <n v="4"/>
    <s v="Very Good"/>
    <n v="26"/>
    <x v="2"/>
    <x v="17"/>
    <n v="75000"/>
    <n v="1"/>
    <n v="75000"/>
    <n v="75000"/>
    <n v="36.51"/>
    <x v="1"/>
    <n v="0"/>
    <n v="0"/>
    <n v="0"/>
    <n v="0"/>
  </r>
  <r>
    <s v="CUST0470"/>
    <s v="Sarah Gordon"/>
    <d v="2025-01-25T00:00:00"/>
    <n v="56"/>
    <x v="3"/>
    <x v="6"/>
    <s v="4G Router"/>
    <x v="1"/>
    <n v="1"/>
    <s v="Poor"/>
    <n v="6"/>
    <x v="3"/>
    <x v="6"/>
    <n v="9000"/>
    <n v="5"/>
    <n v="45000"/>
    <n v="9000"/>
    <n v="153.78"/>
    <x v="1"/>
    <n v="0"/>
    <n v="0"/>
    <n v="0"/>
    <n v="0"/>
  </r>
  <r>
    <s v="CUST0470"/>
    <s v="Sarah Gordon"/>
    <d v="2025-01-25T00:00:00"/>
    <n v="56"/>
    <x v="3"/>
    <x v="6"/>
    <s v="Broadband MiFi"/>
    <x v="1"/>
    <n v="1"/>
    <s v="Poor"/>
    <n v="6"/>
    <x v="3"/>
    <x v="11"/>
    <n v="30000"/>
    <n v="6"/>
    <n v="180000"/>
    <n v="30000"/>
    <n v="190.46"/>
    <x v="1"/>
    <n v="0"/>
    <n v="0"/>
    <n v="0"/>
    <n v="0"/>
  </r>
  <r>
    <s v="CUST0471"/>
    <s v="Sade Wagner"/>
    <d v="2025-01-25T00:00:00"/>
    <n v="57"/>
    <x v="3"/>
    <x v="20"/>
    <s v="4G Router"/>
    <x v="0"/>
    <n v="3"/>
    <s v="Good"/>
    <n v="46"/>
    <x v="2"/>
    <x v="6"/>
    <n v="9000"/>
    <n v="4"/>
    <n v="36000"/>
    <n v="9000"/>
    <n v="51.96"/>
    <x v="1"/>
    <n v="0"/>
    <n v="0"/>
    <n v="0"/>
    <n v="0"/>
  </r>
  <r>
    <s v="CUST0471"/>
    <s v="Sade Wagner"/>
    <d v="2025-01-25T00:00:00"/>
    <n v="57"/>
    <x v="3"/>
    <x v="20"/>
    <s v="Mobile SIM Card"/>
    <x v="0"/>
    <n v="3"/>
    <s v="Good"/>
    <n v="46"/>
    <x v="2"/>
    <x v="16"/>
    <n v="900"/>
    <n v="20"/>
    <n v="18000"/>
    <n v="900"/>
    <n v="40.909999999999997"/>
    <x v="1"/>
    <n v="0"/>
    <n v="0"/>
    <n v="0"/>
    <n v="0"/>
  </r>
  <r>
    <s v="CUST0472"/>
    <s v="Halima Adams"/>
    <d v="2025-03-25T00:00:00"/>
    <n v="79"/>
    <x v="3"/>
    <x v="28"/>
    <s v="Mobile SIM Card"/>
    <x v="1"/>
    <n v="1"/>
    <s v="Poor"/>
    <n v="8"/>
    <x v="3"/>
    <x v="16"/>
    <n v="900"/>
    <n v="8"/>
    <n v="7200"/>
    <n v="900"/>
    <n v="81.8"/>
    <x v="1"/>
    <n v="0"/>
    <n v="0"/>
    <n v="0"/>
    <n v="0"/>
  </r>
  <r>
    <s v="CUST0472"/>
    <s v="Halima Adams"/>
    <d v="2025-03-25T00:00:00"/>
    <n v="79"/>
    <x v="3"/>
    <x v="28"/>
    <s v="Broadband MiFi"/>
    <x v="1"/>
    <n v="1"/>
    <s v="Poor"/>
    <n v="8"/>
    <x v="3"/>
    <x v="4"/>
    <n v="9000"/>
    <n v="19"/>
    <n v="171000"/>
    <n v="9000"/>
    <n v="54.2"/>
    <x v="1"/>
    <n v="0"/>
    <n v="0"/>
    <n v="0"/>
    <n v="0"/>
  </r>
  <r>
    <s v="CUST0472"/>
    <s v="Halima Adams"/>
    <d v="2025-03-25T00:00:00"/>
    <n v="79"/>
    <x v="3"/>
    <x v="28"/>
    <s v="4G Router"/>
    <x v="1"/>
    <n v="1"/>
    <s v="Poor"/>
    <n v="8"/>
    <x v="3"/>
    <x v="9"/>
    <n v="16000"/>
    <n v="18"/>
    <n v="288000"/>
    <n v="16000"/>
    <n v="49.64"/>
    <x v="1"/>
    <n v="0"/>
    <n v="0"/>
    <n v="0"/>
    <n v="0"/>
  </r>
  <r>
    <s v="CUST0473"/>
    <s v="Amaka Jackson"/>
    <d v="2025-02-25T00:00:00"/>
    <n v="54"/>
    <x v="4"/>
    <x v="15"/>
    <s v="4G Router"/>
    <x v="1"/>
    <n v="2"/>
    <s v="Fair"/>
    <n v="6"/>
    <x v="3"/>
    <x v="0"/>
    <n v="35000"/>
    <n v="18"/>
    <n v="630000"/>
    <n v="35000"/>
    <n v="192.29"/>
    <x v="1"/>
    <n v="0"/>
    <n v="0"/>
    <n v="0"/>
    <n v="0"/>
  </r>
  <r>
    <s v="CUST0474"/>
    <s v="Alabo Moreno"/>
    <d v="2025-03-25T00:00:00"/>
    <n v="21"/>
    <x v="1"/>
    <x v="34"/>
    <s v="5G Broadband Router"/>
    <x v="1"/>
    <n v="2"/>
    <s v="Fair"/>
    <n v="54"/>
    <x v="2"/>
    <x v="17"/>
    <n v="75000"/>
    <n v="7"/>
    <n v="525000"/>
    <n v="75000"/>
    <n v="199.85"/>
    <x v="0"/>
    <n v="1"/>
    <n v="0"/>
    <n v="0"/>
    <n v="0"/>
  </r>
  <r>
    <s v="CUST0474"/>
    <s v="Alabo Moreno"/>
    <d v="2025-03-25T00:00:00"/>
    <n v="21"/>
    <x v="1"/>
    <x v="34"/>
    <s v="Mobile SIM Card"/>
    <x v="1"/>
    <n v="2"/>
    <s v="Fair"/>
    <n v="54"/>
    <x v="2"/>
    <x v="20"/>
    <n v="6500"/>
    <n v="6"/>
    <n v="39000"/>
    <n v="6500"/>
    <n v="56.62"/>
    <x v="0"/>
    <n v="1"/>
    <n v="0"/>
    <n v="0"/>
    <n v="0"/>
  </r>
  <r>
    <s v="CUST0475"/>
    <s v="David Park"/>
    <d v="2025-01-25T00:00:00"/>
    <n v="24"/>
    <x v="1"/>
    <x v="24"/>
    <s v="Mobile SIM Card"/>
    <x v="0"/>
    <n v="2"/>
    <s v="Fair"/>
    <n v="26"/>
    <x v="2"/>
    <x v="20"/>
    <n v="6500"/>
    <n v="11"/>
    <n v="71500"/>
    <n v="6500"/>
    <n v="191.5"/>
    <x v="1"/>
    <n v="0"/>
    <n v="0"/>
    <n v="0"/>
    <n v="0"/>
  </r>
  <r>
    <s v="CUST0475"/>
    <s v="David Park"/>
    <d v="2025-01-25T00:00:00"/>
    <n v="24"/>
    <x v="1"/>
    <x v="24"/>
    <s v="Broadband MiFi"/>
    <x v="0"/>
    <n v="2"/>
    <s v="Fair"/>
    <n v="26"/>
    <x v="2"/>
    <x v="11"/>
    <n v="30000"/>
    <n v="15"/>
    <n v="450000"/>
    <n v="30000"/>
    <n v="127.22"/>
    <x v="1"/>
    <n v="0"/>
    <n v="0"/>
    <n v="0"/>
    <n v="0"/>
  </r>
  <r>
    <s v="CUST0476"/>
    <s v="Zainab Lam"/>
    <d v="2025-01-25T00:00:00"/>
    <n v="47"/>
    <x v="4"/>
    <x v="32"/>
    <s v="4G Router"/>
    <x v="1"/>
    <n v="5"/>
    <s v="Excellent"/>
    <n v="14"/>
    <x v="1"/>
    <x v="0"/>
    <n v="35000"/>
    <n v="1"/>
    <n v="35000"/>
    <n v="35000"/>
    <n v="1.35"/>
    <x v="1"/>
    <n v="0"/>
    <n v="0"/>
    <n v="0"/>
    <n v="0"/>
  </r>
  <r>
    <s v="CUST0476"/>
    <s v="Zainab Lam"/>
    <d v="2025-01-25T00:00:00"/>
    <n v="47"/>
    <x v="4"/>
    <x v="32"/>
    <s v="5G Broadband Router"/>
    <x v="1"/>
    <n v="5"/>
    <s v="Excellent"/>
    <n v="14"/>
    <x v="1"/>
    <x v="11"/>
    <n v="30000"/>
    <n v="16"/>
    <n v="480000"/>
    <n v="30000"/>
    <n v="82.93"/>
    <x v="1"/>
    <n v="0"/>
    <n v="0"/>
    <n v="0"/>
    <n v="0"/>
  </r>
  <r>
    <s v="CUST0476"/>
    <s v="Zainab Lam"/>
    <d v="2025-01-25T00:00:00"/>
    <n v="47"/>
    <x v="4"/>
    <x v="32"/>
    <s v="Broadband MiFi"/>
    <x v="1"/>
    <n v="5"/>
    <s v="Excellent"/>
    <n v="14"/>
    <x v="1"/>
    <x v="12"/>
    <n v="14500"/>
    <n v="3"/>
    <n v="43500"/>
    <n v="14500"/>
    <n v="107.86"/>
    <x v="1"/>
    <n v="0"/>
    <n v="0"/>
    <n v="0"/>
    <n v="0"/>
  </r>
  <r>
    <s v="CUST0478"/>
    <s v="Ifeanyi Ballard"/>
    <d v="2025-01-25T00:00:00"/>
    <n v="75"/>
    <x v="3"/>
    <x v="3"/>
    <s v="5G Broadband Router"/>
    <x v="0"/>
    <n v="2"/>
    <s v="Fair"/>
    <n v="29"/>
    <x v="2"/>
    <x v="2"/>
    <n v="20000"/>
    <n v="10"/>
    <n v="200000"/>
    <n v="20000"/>
    <n v="163.35"/>
    <x v="1"/>
    <n v="0"/>
    <n v="0"/>
    <n v="0"/>
    <n v="0"/>
  </r>
  <r>
    <s v="CUST0478"/>
    <s v="Ifeanyi Ballard"/>
    <d v="2025-01-25T00:00:00"/>
    <n v="75"/>
    <x v="3"/>
    <x v="3"/>
    <s v="Broadband MiFi"/>
    <x v="0"/>
    <n v="2"/>
    <s v="Fair"/>
    <n v="29"/>
    <x v="2"/>
    <x v="2"/>
    <n v="20000"/>
    <n v="16"/>
    <n v="320000"/>
    <n v="20000"/>
    <n v="47.23"/>
    <x v="1"/>
    <n v="0"/>
    <n v="0"/>
    <n v="0"/>
    <n v="0"/>
  </r>
  <r>
    <s v="CUST0479"/>
    <s v="Ejiro Stewart"/>
    <d v="2025-02-25T00:00:00"/>
    <n v="20"/>
    <x v="1"/>
    <x v="29"/>
    <s v="Mobile SIM Card"/>
    <x v="1"/>
    <n v="1"/>
    <s v="Poor"/>
    <n v="58"/>
    <x v="2"/>
    <x v="20"/>
    <n v="6500"/>
    <n v="18"/>
    <n v="117000"/>
    <n v="6500"/>
    <n v="99.06"/>
    <x v="0"/>
    <n v="1"/>
    <n v="0"/>
    <n v="0"/>
    <n v="0"/>
  </r>
  <r>
    <s v="CUST0479"/>
    <s v="Ejiro Stewart"/>
    <d v="2025-02-25T00:00:00"/>
    <n v="20"/>
    <x v="1"/>
    <x v="29"/>
    <s v="Broadband MiFi"/>
    <x v="1"/>
    <n v="1"/>
    <s v="Poor"/>
    <n v="58"/>
    <x v="2"/>
    <x v="2"/>
    <n v="20000"/>
    <n v="19"/>
    <n v="380000"/>
    <n v="20000"/>
    <n v="132.13999999999999"/>
    <x v="0"/>
    <n v="1"/>
    <n v="0"/>
    <n v="0"/>
    <n v="0"/>
  </r>
  <r>
    <s v="CUST0479"/>
    <s v="Ejiro Stewart"/>
    <d v="2025-02-25T00:00:00"/>
    <n v="20"/>
    <x v="1"/>
    <x v="29"/>
    <s v="4G Router"/>
    <x v="1"/>
    <n v="1"/>
    <s v="Poor"/>
    <n v="58"/>
    <x v="2"/>
    <x v="5"/>
    <n v="4500"/>
    <n v="5"/>
    <n v="22500"/>
    <n v="4500"/>
    <n v="13.54"/>
    <x v="0"/>
    <n v="1"/>
    <n v="0"/>
    <n v="0"/>
    <n v="0"/>
  </r>
  <r>
    <s v="CUST0480"/>
    <s v="Kunle Goodwin"/>
    <d v="2025-03-25T00:00:00"/>
    <n v="32"/>
    <x v="0"/>
    <x v="22"/>
    <s v="5G Broadband Router"/>
    <x v="0"/>
    <n v="2"/>
    <s v="Fair"/>
    <n v="57"/>
    <x v="2"/>
    <x v="8"/>
    <n v="150000"/>
    <n v="14"/>
    <n v="2100000"/>
    <n v="150000"/>
    <n v="0.89"/>
    <x v="1"/>
    <n v="0"/>
    <n v="0"/>
    <n v="0"/>
    <n v="0"/>
  </r>
  <r>
    <s v="CUST0481"/>
    <s v="Sade Reed"/>
    <d v="2025-01-25T00:00:00"/>
    <n v="57"/>
    <x v="3"/>
    <x v="0"/>
    <s v="Broadband MiFi"/>
    <x v="1"/>
    <n v="5"/>
    <s v="Excellent"/>
    <n v="18"/>
    <x v="1"/>
    <x v="2"/>
    <n v="20000"/>
    <n v="14"/>
    <n v="280000"/>
    <n v="20000"/>
    <n v="9.8699999999999992"/>
    <x v="1"/>
    <n v="0"/>
    <n v="0"/>
    <n v="0"/>
    <n v="0"/>
  </r>
  <r>
    <s v="CUST0481"/>
    <s v="Sade Reed"/>
    <d v="2025-01-25T00:00:00"/>
    <n v="57"/>
    <x v="3"/>
    <x v="0"/>
    <s v="5G Broadband Router"/>
    <x v="1"/>
    <n v="5"/>
    <s v="Excellent"/>
    <n v="18"/>
    <x v="1"/>
    <x v="8"/>
    <n v="150000"/>
    <n v="13"/>
    <n v="1950000"/>
    <n v="150000"/>
    <n v="63.59"/>
    <x v="1"/>
    <n v="0"/>
    <n v="0"/>
    <n v="0"/>
    <n v="0"/>
  </r>
  <r>
    <s v="CUST0482"/>
    <s v="Bala Gibson"/>
    <d v="2025-02-25T00:00:00"/>
    <n v="58"/>
    <x v="3"/>
    <x v="33"/>
    <s v="4G Router"/>
    <x v="0"/>
    <n v="4"/>
    <s v="Very Good"/>
    <n v="48"/>
    <x v="2"/>
    <x v="5"/>
    <n v="4500"/>
    <n v="3"/>
    <n v="13500"/>
    <n v="4500"/>
    <n v="66.180000000000007"/>
    <x v="1"/>
    <n v="0"/>
    <n v="0"/>
    <n v="0"/>
    <n v="0"/>
  </r>
  <r>
    <s v="CUST0484"/>
    <s v="Ngozi Chan"/>
    <d v="2025-01-25T00:00:00"/>
    <n v="76"/>
    <x v="3"/>
    <x v="7"/>
    <s v="Broadband MiFi"/>
    <x v="1"/>
    <n v="3"/>
    <s v="Good"/>
    <n v="54"/>
    <x v="2"/>
    <x v="10"/>
    <n v="24000"/>
    <n v="4"/>
    <n v="96000"/>
    <n v="24000"/>
    <n v="124.1"/>
    <x v="1"/>
    <n v="0"/>
    <n v="0"/>
    <n v="0"/>
    <n v="0"/>
  </r>
  <r>
    <s v="CUST0485"/>
    <s v="Alabo Anderson"/>
    <d v="2025-01-25T00:00:00"/>
    <n v="31"/>
    <x v="0"/>
    <x v="33"/>
    <s v="Broadband MiFi"/>
    <x v="0"/>
    <n v="4"/>
    <s v="Very Good"/>
    <n v="59"/>
    <x v="2"/>
    <x v="12"/>
    <n v="14500"/>
    <n v="20"/>
    <n v="290000"/>
    <n v="14500"/>
    <n v="11.43"/>
    <x v="1"/>
    <n v="0"/>
    <n v="0"/>
    <n v="0"/>
    <n v="0"/>
  </r>
  <r>
    <s v="CUST0485"/>
    <s v="Alabo Anderson"/>
    <d v="2025-01-25T00:00:00"/>
    <n v="31"/>
    <x v="0"/>
    <x v="33"/>
    <s v="Mobile SIM Card"/>
    <x v="0"/>
    <n v="4"/>
    <s v="Very Good"/>
    <n v="59"/>
    <x v="2"/>
    <x v="15"/>
    <n v="7500"/>
    <n v="2"/>
    <n v="15000"/>
    <n v="7500"/>
    <n v="13.63"/>
    <x v="1"/>
    <n v="0"/>
    <n v="0"/>
    <n v="0"/>
    <n v="0"/>
  </r>
  <r>
    <s v="CUST0485"/>
    <s v="Alabo Anderson"/>
    <d v="2025-01-25T00:00:00"/>
    <n v="31"/>
    <x v="0"/>
    <x v="33"/>
    <s v="5G Broadband Router"/>
    <x v="0"/>
    <n v="4"/>
    <s v="Very Good"/>
    <n v="59"/>
    <x v="2"/>
    <x v="4"/>
    <n v="9000"/>
    <n v="13"/>
    <n v="117000"/>
    <n v="9000"/>
    <n v="59.34"/>
    <x v="1"/>
    <n v="0"/>
    <n v="0"/>
    <n v="0"/>
    <n v="0"/>
  </r>
  <r>
    <s v="CUST0486"/>
    <s v="Tamuno Hudson"/>
    <d v="2025-01-25T00:00:00"/>
    <n v="28"/>
    <x v="0"/>
    <x v="15"/>
    <s v="Broadband MiFi"/>
    <x v="0"/>
    <n v="4"/>
    <s v="Very Good"/>
    <n v="56"/>
    <x v="2"/>
    <x v="4"/>
    <n v="9000"/>
    <n v="11"/>
    <n v="99000"/>
    <n v="9000"/>
    <n v="91.09"/>
    <x v="1"/>
    <n v="0"/>
    <n v="0"/>
    <n v="0"/>
    <n v="0"/>
  </r>
  <r>
    <s v="CUST0486"/>
    <s v="Tamuno Hudson"/>
    <d v="2025-01-25T00:00:00"/>
    <n v="28"/>
    <x v="0"/>
    <x v="15"/>
    <s v="4G Router"/>
    <x v="0"/>
    <n v="4"/>
    <s v="Very Good"/>
    <n v="56"/>
    <x v="2"/>
    <x v="5"/>
    <n v="4500"/>
    <n v="1"/>
    <n v="4500"/>
    <n v="4500"/>
    <n v="22.05"/>
    <x v="1"/>
    <n v="0"/>
    <n v="0"/>
    <n v="0"/>
    <n v="0"/>
  </r>
  <r>
    <s v="CUST0487"/>
    <s v="Kunle Gilmore"/>
    <d v="2025-01-25T00:00:00"/>
    <n v="40"/>
    <x v="2"/>
    <x v="21"/>
    <s v="4G Router"/>
    <x v="1"/>
    <n v="4"/>
    <s v="Very Good"/>
    <n v="23"/>
    <x v="1"/>
    <x v="5"/>
    <n v="4500"/>
    <n v="2"/>
    <n v="9000"/>
    <n v="4500"/>
    <n v="159.51"/>
    <x v="1"/>
    <n v="0"/>
    <n v="0"/>
    <n v="0"/>
    <n v="0"/>
  </r>
  <r>
    <s v="CUST0487"/>
    <s v="Kunle Gilmore"/>
    <d v="2025-01-25T00:00:00"/>
    <n v="40"/>
    <x v="2"/>
    <x v="21"/>
    <s v="Broadband MiFi"/>
    <x v="1"/>
    <n v="4"/>
    <s v="Very Good"/>
    <n v="23"/>
    <x v="1"/>
    <x v="2"/>
    <n v="20000"/>
    <n v="14"/>
    <n v="280000"/>
    <n v="20000"/>
    <n v="62.68"/>
    <x v="1"/>
    <n v="0"/>
    <n v="0"/>
    <n v="0"/>
    <n v="0"/>
  </r>
  <r>
    <s v="CUST0488"/>
    <s v="Michael Jones"/>
    <d v="2025-01-25T00:00:00"/>
    <n v="61"/>
    <x v="3"/>
    <x v="24"/>
    <s v="5G Broadband Router"/>
    <x v="0"/>
    <n v="3"/>
    <s v="Good"/>
    <n v="10"/>
    <x v="3"/>
    <x v="11"/>
    <n v="30000"/>
    <n v="17"/>
    <n v="510000"/>
    <n v="30000"/>
    <n v="11.93"/>
    <x v="1"/>
    <n v="0"/>
    <n v="0"/>
    <n v="0"/>
    <n v="0"/>
  </r>
  <r>
    <s v="CUST0488"/>
    <s v="Michael Jones"/>
    <d v="2025-01-25T00:00:00"/>
    <n v="61"/>
    <x v="3"/>
    <x v="24"/>
    <s v="Broadband MiFi"/>
    <x v="0"/>
    <n v="3"/>
    <s v="Good"/>
    <n v="10"/>
    <x v="3"/>
    <x v="10"/>
    <n v="24000"/>
    <n v="14"/>
    <n v="336000"/>
    <n v="24000"/>
    <n v="171.81"/>
    <x v="1"/>
    <n v="0"/>
    <n v="0"/>
    <n v="0"/>
    <n v="0"/>
  </r>
  <r>
    <s v="CUST0489"/>
    <s v="Oghene Wilson"/>
    <d v="2025-01-25T00:00:00"/>
    <n v="41"/>
    <x v="2"/>
    <x v="18"/>
    <s v="Mobile SIM Card"/>
    <x v="0"/>
    <n v="3"/>
    <s v="Good"/>
    <n v="51"/>
    <x v="2"/>
    <x v="7"/>
    <n v="3500"/>
    <n v="14"/>
    <n v="49000"/>
    <n v="3500"/>
    <n v="123.41"/>
    <x v="0"/>
    <n v="1"/>
    <n v="0"/>
    <n v="0"/>
    <n v="0"/>
  </r>
  <r>
    <s v="CUST0489"/>
    <s v="Oghene Wilson"/>
    <d v="2025-01-25T00:00:00"/>
    <n v="41"/>
    <x v="2"/>
    <x v="18"/>
    <s v="5G Broadband Router"/>
    <x v="0"/>
    <n v="3"/>
    <s v="Good"/>
    <n v="51"/>
    <x v="2"/>
    <x v="18"/>
    <n v="25000"/>
    <n v="15"/>
    <n v="375000"/>
    <n v="25000"/>
    <n v="32.869999999999997"/>
    <x v="0"/>
    <n v="1"/>
    <n v="0"/>
    <n v="0"/>
    <n v="0"/>
  </r>
  <r>
    <s v="CUST0489"/>
    <s v="Oghene Wilson"/>
    <d v="2025-01-25T00:00:00"/>
    <n v="41"/>
    <x v="2"/>
    <x v="18"/>
    <s v="4G Router"/>
    <x v="0"/>
    <n v="3"/>
    <s v="Good"/>
    <n v="51"/>
    <x v="2"/>
    <x v="9"/>
    <n v="16000"/>
    <n v="1"/>
    <n v="16000"/>
    <n v="16000"/>
    <n v="99.44"/>
    <x v="0"/>
    <n v="1"/>
    <n v="0"/>
    <n v="0"/>
    <n v="0"/>
  </r>
  <r>
    <s v="CUST0490"/>
    <s v="Nura Cox"/>
    <d v="2025-01-25T00:00:00"/>
    <n v="45"/>
    <x v="4"/>
    <x v="2"/>
    <s v="4G Router"/>
    <x v="0"/>
    <n v="3"/>
    <s v="Good"/>
    <n v="16"/>
    <x v="1"/>
    <x v="5"/>
    <n v="4500"/>
    <n v="1"/>
    <n v="4500"/>
    <n v="4500"/>
    <n v="165.3"/>
    <x v="1"/>
    <n v="0"/>
    <n v="0"/>
    <n v="0"/>
    <n v="0"/>
  </r>
  <r>
    <s v="CUST0490"/>
    <s v="Nura Cox"/>
    <d v="2025-01-25T00:00:00"/>
    <n v="45"/>
    <x v="4"/>
    <x v="2"/>
    <s v="Mobile SIM Card"/>
    <x v="0"/>
    <n v="3"/>
    <s v="Good"/>
    <n v="16"/>
    <x v="1"/>
    <x v="7"/>
    <n v="3500"/>
    <n v="12"/>
    <n v="42000"/>
    <n v="3500"/>
    <n v="2.4700000000000002"/>
    <x v="1"/>
    <n v="0"/>
    <n v="0"/>
    <n v="0"/>
    <n v="0"/>
  </r>
  <r>
    <s v="CUST0491"/>
    <s v="Funke Smith"/>
    <d v="2025-02-25T00:00:00"/>
    <n v="30"/>
    <x v="0"/>
    <x v="5"/>
    <s v="Broadband MiFi"/>
    <x v="1"/>
    <n v="5"/>
    <s v="Excellent"/>
    <n v="29"/>
    <x v="2"/>
    <x v="2"/>
    <n v="20000"/>
    <n v="6"/>
    <n v="120000"/>
    <n v="20000"/>
    <n v="39.97"/>
    <x v="1"/>
    <n v="0"/>
    <n v="0"/>
    <n v="0"/>
    <n v="0"/>
  </r>
  <r>
    <s v="CUST0491"/>
    <s v="Funke Smith"/>
    <d v="2025-02-25T00:00:00"/>
    <n v="30"/>
    <x v="0"/>
    <x v="5"/>
    <s v="Mobile SIM Card"/>
    <x v="1"/>
    <n v="5"/>
    <s v="Excellent"/>
    <n v="29"/>
    <x v="2"/>
    <x v="13"/>
    <n v="350"/>
    <n v="6"/>
    <n v="2100"/>
    <n v="350"/>
    <n v="177.13"/>
    <x v="1"/>
    <n v="0"/>
    <n v="0"/>
    <n v="0"/>
    <n v="0"/>
  </r>
  <r>
    <s v="CUST0492"/>
    <s v="Tega Kim"/>
    <d v="2025-02-25T00:00:00"/>
    <n v="47"/>
    <x v="4"/>
    <x v="20"/>
    <s v="4G Router"/>
    <x v="0"/>
    <n v="3"/>
    <s v="Good"/>
    <n v="2"/>
    <x v="0"/>
    <x v="0"/>
    <n v="35000"/>
    <n v="4"/>
    <n v="140000"/>
    <n v="35000"/>
    <n v="131.15"/>
    <x v="1"/>
    <n v="0"/>
    <n v="0"/>
    <n v="0"/>
    <n v="0"/>
  </r>
  <r>
    <s v="CUST0493"/>
    <s v="Tega Fischer"/>
    <d v="2025-03-25T00:00:00"/>
    <n v="42"/>
    <x v="2"/>
    <x v="24"/>
    <s v="Mobile SIM Card"/>
    <x v="1"/>
    <n v="3"/>
    <s v="Good"/>
    <n v="16"/>
    <x v="1"/>
    <x v="14"/>
    <n v="1000"/>
    <n v="5"/>
    <n v="5000"/>
    <n v="1000"/>
    <n v="29.31"/>
    <x v="1"/>
    <n v="0"/>
    <n v="0"/>
    <n v="0"/>
    <n v="0"/>
  </r>
  <r>
    <s v="CUST0493"/>
    <s v="Tega Fischer"/>
    <d v="2025-03-25T00:00:00"/>
    <n v="42"/>
    <x v="2"/>
    <x v="24"/>
    <s v="5G Broadband Router"/>
    <x v="1"/>
    <n v="3"/>
    <s v="Good"/>
    <n v="16"/>
    <x v="1"/>
    <x v="12"/>
    <n v="14500"/>
    <n v="13"/>
    <n v="188500"/>
    <n v="14500"/>
    <n v="38.74"/>
    <x v="1"/>
    <n v="0"/>
    <n v="0"/>
    <n v="0"/>
    <n v="0"/>
  </r>
  <r>
    <s v="CUST0493"/>
    <s v="Tega Fischer"/>
    <d v="2025-03-25T00:00:00"/>
    <n v="42"/>
    <x v="2"/>
    <x v="24"/>
    <s v="Broadband MiFi"/>
    <x v="1"/>
    <n v="3"/>
    <s v="Good"/>
    <n v="16"/>
    <x v="1"/>
    <x v="11"/>
    <n v="30000"/>
    <n v="14"/>
    <n v="420000"/>
    <n v="30000"/>
    <n v="63.93"/>
    <x v="1"/>
    <n v="0"/>
    <n v="0"/>
    <n v="0"/>
    <n v="0"/>
  </r>
  <r>
    <s v="CUST0494"/>
    <s v="Halima Martin"/>
    <d v="2025-02-25T00:00:00"/>
    <n v="21"/>
    <x v="1"/>
    <x v="18"/>
    <s v="4G Router"/>
    <x v="1"/>
    <n v="3"/>
    <s v="Good"/>
    <n v="51"/>
    <x v="2"/>
    <x v="0"/>
    <n v="35000"/>
    <n v="3"/>
    <n v="105000"/>
    <n v="35000"/>
    <n v="42.24"/>
    <x v="0"/>
    <n v="1"/>
    <n v="0"/>
    <n v="0"/>
    <n v="0"/>
  </r>
  <r>
    <s v="CUST0494"/>
    <s v="Halima Martin"/>
    <d v="2025-02-25T00:00:00"/>
    <n v="21"/>
    <x v="1"/>
    <x v="18"/>
    <s v="5G Broadband Router"/>
    <x v="1"/>
    <n v="3"/>
    <s v="Good"/>
    <n v="51"/>
    <x v="2"/>
    <x v="8"/>
    <n v="150000"/>
    <n v="20"/>
    <n v="3000000"/>
    <n v="150000"/>
    <n v="158.30000000000001"/>
    <x v="0"/>
    <n v="1"/>
    <n v="0"/>
    <n v="0"/>
    <n v="0"/>
  </r>
  <r>
    <s v="CUST0495"/>
    <s v="Kunle Brown"/>
    <d v="2025-03-25T00:00:00"/>
    <n v="37"/>
    <x v="2"/>
    <x v="28"/>
    <s v="5G Broadband Router"/>
    <x v="1"/>
    <n v="4"/>
    <s v="Very Good"/>
    <n v="49"/>
    <x v="2"/>
    <x v="18"/>
    <n v="25000"/>
    <n v="16"/>
    <n v="400000"/>
    <n v="25000"/>
    <n v="105.33"/>
    <x v="1"/>
    <n v="0"/>
    <n v="0"/>
    <n v="0"/>
    <n v="0"/>
  </r>
  <r>
    <s v="CUST0496"/>
    <s v="Grace Matthews"/>
    <d v="2025-01-25T00:00:00"/>
    <n v="76"/>
    <x v="3"/>
    <x v="29"/>
    <s v="4G Router"/>
    <x v="1"/>
    <n v="2"/>
    <s v="Fair"/>
    <n v="41"/>
    <x v="2"/>
    <x v="5"/>
    <n v="4500"/>
    <n v="13"/>
    <n v="58500"/>
    <n v="4500"/>
    <n v="61.55"/>
    <x v="0"/>
    <n v="1"/>
    <n v="0"/>
    <n v="0"/>
    <n v="0"/>
  </r>
  <r>
    <s v="CUST0496"/>
    <s v="Grace Matthews"/>
    <d v="2025-01-25T00:00:00"/>
    <n v="76"/>
    <x v="3"/>
    <x v="29"/>
    <s v="Mobile SIM Card"/>
    <x v="1"/>
    <n v="2"/>
    <s v="Fair"/>
    <n v="41"/>
    <x v="2"/>
    <x v="19"/>
    <n v="600"/>
    <n v="12"/>
    <n v="7200"/>
    <n v="600"/>
    <n v="187.13"/>
    <x v="0"/>
    <n v="1"/>
    <n v="0"/>
    <n v="0"/>
    <n v="0"/>
  </r>
  <r>
    <s v="CUST0497"/>
    <s v="Saidu Baker"/>
    <d v="2025-01-25T00:00:00"/>
    <n v="26"/>
    <x v="0"/>
    <x v="21"/>
    <s v="Broadband MiFi"/>
    <x v="0"/>
    <n v="5"/>
    <s v="Excellent"/>
    <n v="19"/>
    <x v="1"/>
    <x v="12"/>
    <n v="14500"/>
    <n v="14"/>
    <n v="203000"/>
    <n v="14500"/>
    <n v="90.5"/>
    <x v="1"/>
    <n v="0"/>
    <n v="0"/>
    <n v="0"/>
    <n v="0"/>
  </r>
  <r>
    <s v="CUST0497"/>
    <s v="Saidu Baker"/>
    <d v="2025-01-25T00:00:00"/>
    <n v="26"/>
    <x v="0"/>
    <x v="21"/>
    <s v="4G Router"/>
    <x v="0"/>
    <n v="5"/>
    <s v="Excellent"/>
    <n v="19"/>
    <x v="1"/>
    <x v="0"/>
    <n v="35000"/>
    <n v="16"/>
    <n v="560000"/>
    <n v="35000"/>
    <n v="73.819999999999993"/>
    <x v="1"/>
    <n v="0"/>
    <n v="0"/>
    <n v="0"/>
    <n v="0"/>
  </r>
  <r>
    <s v="CUST0497"/>
    <s v="Saidu Baker"/>
    <d v="2025-01-25T00:00:00"/>
    <n v="26"/>
    <x v="0"/>
    <x v="21"/>
    <s v="5G Broadband Router"/>
    <x v="0"/>
    <n v="5"/>
    <s v="Excellent"/>
    <n v="19"/>
    <x v="1"/>
    <x v="18"/>
    <n v="25000"/>
    <n v="1"/>
    <n v="25000"/>
    <n v="25000"/>
    <n v="54.97"/>
    <x v="1"/>
    <n v="0"/>
    <n v="0"/>
    <n v="0"/>
    <n v="0"/>
  </r>
  <r>
    <s v="CUST0498"/>
    <s v="Shehu Harris"/>
    <d v="2025-01-25T00:00:00"/>
    <n v="72"/>
    <x v="3"/>
    <x v="16"/>
    <s v="Broadband MiFi"/>
    <x v="1"/>
    <n v="3"/>
    <s v="Good"/>
    <n v="42"/>
    <x v="2"/>
    <x v="2"/>
    <n v="20000"/>
    <n v="3"/>
    <n v="60000"/>
    <n v="20000"/>
    <n v="20.13"/>
    <x v="1"/>
    <n v="0"/>
    <n v="0"/>
    <n v="0"/>
    <n v="0"/>
  </r>
  <r>
    <s v="CUST0498"/>
    <s v="Shehu Harris"/>
    <d v="2025-01-25T00:00:00"/>
    <n v="72"/>
    <x v="3"/>
    <x v="16"/>
    <s v="4G Router"/>
    <x v="1"/>
    <n v="3"/>
    <s v="Good"/>
    <n v="42"/>
    <x v="2"/>
    <x v="6"/>
    <n v="9000"/>
    <n v="7"/>
    <n v="63000"/>
    <n v="9000"/>
    <n v="8.14"/>
    <x v="1"/>
    <n v="0"/>
    <n v="0"/>
    <n v="0"/>
    <n v="0"/>
  </r>
  <r>
    <s v="CUST0499"/>
    <s v="Tega Hood"/>
    <d v="2025-03-25T00:00:00"/>
    <n v="41"/>
    <x v="2"/>
    <x v="26"/>
    <s v="5G Broadband Router"/>
    <x v="1"/>
    <n v="2"/>
    <s v="Fair"/>
    <n v="20"/>
    <x v="1"/>
    <x v="4"/>
    <n v="9000"/>
    <n v="10"/>
    <n v="90000"/>
    <n v="9000"/>
    <n v="154.13"/>
    <x v="1"/>
    <n v="0"/>
    <n v="0"/>
    <n v="0"/>
    <n v="0"/>
  </r>
  <r>
    <s v="CUST0500"/>
    <s v="Oghene Hamilton"/>
    <d v="2025-02-25T00:00:00"/>
    <n v="67"/>
    <x v="3"/>
    <x v="10"/>
    <s v="4G Router"/>
    <x v="0"/>
    <n v="4"/>
    <s v="Very Good"/>
    <n v="31"/>
    <x v="2"/>
    <x v="0"/>
    <n v="35000"/>
    <n v="15"/>
    <n v="525000"/>
    <n v="35000"/>
    <n v="144.63999999999999"/>
    <x v="0"/>
    <n v="1"/>
    <n v="0"/>
    <n v="0"/>
    <n v="0"/>
  </r>
  <r>
    <s v="CUST0500"/>
    <s v="Oghene Hamilton"/>
    <d v="2025-02-25T00:00:00"/>
    <n v="67"/>
    <x v="3"/>
    <x v="10"/>
    <s v="Mobile SIM Card"/>
    <x v="0"/>
    <n v="4"/>
    <s v="Very Good"/>
    <n v="31"/>
    <x v="2"/>
    <x v="7"/>
    <n v="3500"/>
    <n v="11"/>
    <n v="38500"/>
    <n v="3500"/>
    <n v="158.49"/>
    <x v="0"/>
    <n v="1"/>
    <n v="0"/>
    <n v="0"/>
    <n v="0"/>
  </r>
  <r>
    <s v="CUST0500"/>
    <s v="Oghene Hamilton"/>
    <d v="2025-02-25T00:00:00"/>
    <n v="67"/>
    <x v="3"/>
    <x v="10"/>
    <s v="Broadband MiFi"/>
    <x v="0"/>
    <n v="4"/>
    <s v="Very Good"/>
    <n v="31"/>
    <x v="2"/>
    <x v="2"/>
    <n v="20000"/>
    <n v="14"/>
    <n v="280000"/>
    <n v="20000"/>
    <n v="86.04"/>
    <x v="0"/>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5:M6" firstHeaderRow="1" firstDataRow="1" firstDataCol="0"/>
  <pivotFields count="31">
    <pivotField showAll="0"/>
    <pivotField showAll="0"/>
    <pivotField showAll="0"/>
    <pivotField showAll="0"/>
    <pivotField showAll="0">
      <items count="7">
        <item x="0"/>
        <item x="2"/>
        <item x="4"/>
        <item x="3"/>
        <item x="1"/>
        <item x="5"/>
        <item t="default"/>
      </items>
    </pivotField>
    <pivotField showAll="0"/>
    <pivotField showAll="0"/>
    <pivotField showAll="0">
      <items count="4">
        <item x="1"/>
        <item x="0"/>
        <item x="2"/>
        <item t="default"/>
      </items>
    </pivotField>
    <pivotField showAll="0"/>
    <pivotField showAll="0"/>
    <pivotField showAll="0"/>
    <pivotField showAll="0">
      <items count="6">
        <item x="0"/>
        <item x="1"/>
        <item x="2"/>
        <item x="3"/>
        <item x="4"/>
        <item t="default"/>
      </items>
    </pivotField>
    <pivotField showAll="0"/>
    <pivotField showAll="0"/>
    <pivotField showAll="0"/>
    <pivotField dataField="1" showAll="0"/>
    <pivotField showAll="0"/>
    <pivotField showAll="0"/>
    <pivotField showAll="0">
      <items count="4">
        <item x="1"/>
        <item x="0"/>
        <item x="2"/>
        <item t="default"/>
      </items>
    </pivotField>
    <pivotField showAll="0"/>
    <pivotField showAll="0"/>
    <pivotField showAll="0" defaultSubtota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Total Revenue" fld="15" baseField="0" baseItem="0" numFmtId="164"/>
  </dataFields>
  <formats count="7">
    <format dxfId="334">
      <pivotArea outline="0" collapsedLevelsAreSubtotals="1" fieldPosition="0"/>
    </format>
    <format dxfId="333">
      <pivotArea outline="0" collapsedLevelsAreSubtotals="1" fieldPosition="0"/>
    </format>
    <format dxfId="332">
      <pivotArea outline="0" collapsedLevelsAreSubtotals="1" fieldPosition="0"/>
    </format>
    <format dxfId="331">
      <pivotArea outline="0" collapsedLevelsAreSubtotals="1" fieldPosition="0"/>
    </format>
    <format dxfId="330">
      <pivotArea outline="0" collapsedLevelsAreSubtotals="1" fieldPosition="0"/>
    </format>
    <format dxfId="329">
      <pivotArea outline="0" collapsedLevelsAreSubtotals="1" fieldPosition="0"/>
    </format>
    <format dxfId="3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15:I20" firstHeaderRow="1" firstDataRow="1" firstDataCol="1"/>
  <pivotFields count="23">
    <pivotField showAll="0"/>
    <pivotField showAll="0"/>
    <pivotField numFmtId="16" showAll="0"/>
    <pivotField showAll="0"/>
    <pivotField showAll="0">
      <items count="6">
        <item x="0"/>
        <item x="2"/>
        <item x="4"/>
        <item x="3"/>
        <item x="1"/>
        <item t="default"/>
      </items>
    </pivotField>
    <pivotField showAll="0"/>
    <pivotField showAll="0"/>
    <pivotField showAll="0">
      <items count="3">
        <item x="1"/>
        <item x="0"/>
        <item t="default"/>
      </items>
    </pivotField>
    <pivotField showAll="0"/>
    <pivotField showAll="0"/>
    <pivotField showAll="0"/>
    <pivotField axis="axisRow" showAll="0">
      <items count="5">
        <item x="0"/>
        <item x="1"/>
        <item x="2"/>
        <item x="3"/>
        <item t="default"/>
      </items>
    </pivotField>
    <pivotField showAll="0"/>
    <pivotField showAll="0"/>
    <pivotField showAll="0"/>
    <pivotField dataField="1" showAll="0"/>
    <pivotField showAll="0"/>
    <pivotField numFmtId="2" showAll="0"/>
    <pivotField showAll="0">
      <items count="3">
        <item x="1"/>
        <item x="0"/>
        <item t="default"/>
      </items>
    </pivotField>
    <pivotField showAll="0"/>
    <pivotField showAll="0"/>
    <pivotField showAll="0"/>
    <pivotField showAll="0"/>
  </pivotFields>
  <rowFields count="1">
    <field x="11"/>
  </rowFields>
  <rowItems count="5">
    <i>
      <x/>
    </i>
    <i>
      <x v="1"/>
    </i>
    <i>
      <x v="2"/>
    </i>
    <i>
      <x v="3"/>
    </i>
    <i t="grand">
      <x/>
    </i>
  </rowItems>
  <colItems count="1">
    <i/>
  </colItems>
  <dataFields count="1">
    <dataField name="Sum of Total Revenue" fld="15" baseField="0" baseItem="0"/>
  </dataFields>
  <formats count="2">
    <format dxfId="336">
      <pivotArea collapsedLevelsAreSubtotals="1" fieldPosition="0">
        <references count="1">
          <reference field="11" count="0"/>
        </references>
      </pivotArea>
    </format>
    <format dxfId="335">
      <pivotArea grandRow="1" outline="0" collapsedLevelsAreSubtotals="1" fieldPosition="0"/>
    </format>
  </formats>
  <chartFormats count="1">
    <chartFormat chart="3"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7:I10" firstHeaderRow="1" firstDataRow="1" firstDataCol="1"/>
  <pivotFields count="23">
    <pivotField showAll="0"/>
    <pivotField showAll="0"/>
    <pivotField numFmtId="16" showAll="0"/>
    <pivotField showAll="0"/>
    <pivotField showAll="0">
      <items count="6">
        <item x="0"/>
        <item x="2"/>
        <item x="4"/>
        <item x="3"/>
        <item x="1"/>
        <item t="default"/>
      </items>
    </pivotField>
    <pivotField showAll="0"/>
    <pivotField showAll="0"/>
    <pivotField showAll="0">
      <items count="3">
        <item x="1"/>
        <item x="0"/>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pivotField dataField="1" numFmtId="2" showAll="0"/>
    <pivotField axis="axisRow" showAll="0">
      <items count="3">
        <item x="1"/>
        <item x="0"/>
        <item t="default"/>
      </items>
    </pivotField>
    <pivotField showAll="0"/>
    <pivotField showAll="0"/>
    <pivotField showAll="0"/>
    <pivotField showAll="0"/>
  </pivotFields>
  <rowFields count="1">
    <field x="18"/>
  </rowFields>
  <rowItems count="3">
    <i>
      <x/>
    </i>
    <i>
      <x v="1"/>
    </i>
    <i t="grand">
      <x/>
    </i>
  </rowItems>
  <colItems count="1">
    <i/>
  </colItems>
  <dataFields count="1">
    <dataField name="Sum of Data Usage" fld="17" showDataAs="percentOfTotal" baseField="18" baseItem="0" numFmtId="10"/>
  </dataFields>
  <formats count="2">
    <format dxfId="338">
      <pivotArea collapsedLevelsAreSubtotals="1" fieldPosition="0">
        <references count="1">
          <reference field="18" count="0"/>
        </references>
      </pivotArea>
    </format>
    <format dxfId="337">
      <pivotArea collapsedLevelsAreSubtotals="1" fieldPosition="0">
        <references count="1">
          <reference field="18" count="0"/>
        </references>
      </pivotArea>
    </format>
  </format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8" count="1" selected="0">
            <x v="0"/>
          </reference>
        </references>
      </pivotArea>
    </chartFormat>
    <chartFormat chart="5" format="7">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5:P6"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Avg. Satisfaction Rate" fld="29" baseField="0" baseItem="0"/>
  </dataFields>
  <formats count="4">
    <format dxfId="342">
      <pivotArea outline="0" collapsedLevelsAreSubtotals="1" fieldPosition="0"/>
    </format>
    <format dxfId="341">
      <pivotArea outline="0" collapsedLevelsAreSubtotals="1" fieldPosition="0"/>
    </format>
    <format dxfId="340">
      <pivotArea outline="0" collapsedLevelsAreSubtotals="1" fieldPosition="0"/>
    </format>
    <format dxfId="3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5:O6"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ustomer Churn Rate " fld="28" baseField="0" baseItem="0"/>
  </dataFields>
  <formats count="4">
    <format dxfId="346">
      <pivotArea outline="0" collapsedLevelsAreSubtotals="1" fieldPosition="0"/>
    </format>
    <format dxfId="345">
      <pivotArea outline="0" collapsedLevelsAreSubtotals="1" fieldPosition="0"/>
    </format>
    <format dxfId="344">
      <pivotArea outline="0" collapsedLevelsAreSubtotals="1" fieldPosition="0"/>
    </format>
    <format dxfId="3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24:C60" firstHeaderRow="1" firstDataRow="1" firstDataCol="1"/>
  <pivotFields count="23">
    <pivotField showAll="0"/>
    <pivotField showAll="0"/>
    <pivotField numFmtId="16" showAll="0"/>
    <pivotField showAll="0"/>
    <pivotField showAll="0">
      <items count="6">
        <item x="0"/>
        <item x="2"/>
        <item x="4"/>
        <item x="3"/>
        <item x="1"/>
        <item t="default"/>
      </items>
    </pivotField>
    <pivotField axis="axisRow" showAll="0">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dataField="1" showAll="0"/>
    <pivotField showAll="0"/>
    <pivotField showAll="0"/>
    <pivotField showAll="0">
      <items count="5">
        <item x="0"/>
        <item x="1"/>
        <item x="2"/>
        <item x="3"/>
        <item t="default"/>
      </items>
    </pivotField>
    <pivotField showAll="0"/>
    <pivotField showAll="0"/>
    <pivotField showAll="0"/>
    <pivotField showAll="0"/>
    <pivotField showAll="0"/>
    <pivotField numFmtId="2" showAll="0"/>
    <pivotField showAll="0">
      <items count="3">
        <item x="1"/>
        <item x="0"/>
        <item t="default"/>
      </items>
    </pivotField>
    <pivotField showAll="0"/>
    <pivotField showAll="0"/>
    <pivotField showAll="0"/>
    <pivotField showAll="0"/>
  </pivotFields>
  <rowFields count="1">
    <field x="5"/>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Satisfaction Rate" fld="8" subtotal="average" baseField="5" baseItem="0" numFmtId="1"/>
  </dataFields>
  <formats count="9">
    <format dxfId="355">
      <pivotArea outline="0" collapsedLevelsAreSubtotals="1" fieldPosition="0"/>
    </format>
    <format dxfId="354">
      <pivotArea outline="0" collapsedLevelsAreSubtotals="1" fieldPosition="0"/>
    </format>
    <format dxfId="353">
      <pivotArea outline="0" collapsedLevelsAreSubtotals="1" fieldPosition="0"/>
    </format>
    <format dxfId="352">
      <pivotArea outline="0" collapsedLevelsAreSubtotals="1" fieldPosition="0"/>
    </format>
    <format dxfId="351">
      <pivotArea outline="0" collapsedLevelsAreSubtotals="1" fieldPosition="0"/>
    </format>
    <format dxfId="350">
      <pivotArea outline="0" collapsedLevelsAreSubtotals="1" fieldPosition="0"/>
    </format>
    <format dxfId="349">
      <pivotArea outline="0" collapsedLevelsAreSubtotals="1" fieldPosition="0"/>
    </format>
    <format dxfId="348">
      <pivotArea outline="0" collapsedLevelsAreSubtotals="1" fieldPosition="0"/>
    </format>
    <format dxfId="347">
      <pivotArea outline="0" collapsedLevelsAreSubtotals="1" fieldPosition="0"/>
    </format>
  </formats>
  <chartFormats count="4">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34"/>
          </reference>
        </references>
      </pivotArea>
    </chartFormat>
    <chartFormat chart="2" format="6">
      <pivotArea type="data" outline="0" fieldPosition="0">
        <references count="2">
          <reference field="4294967294" count="1" selected="0">
            <x v="0"/>
          </reference>
          <reference field="5"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5:N6" firstHeaderRow="1" firstDataRow="1" firstDataCol="0"/>
  <pivotFields count="31">
    <pivotField showAll="0"/>
    <pivotField showAll="0"/>
    <pivotField showAll="0"/>
    <pivotField showAll="0"/>
    <pivotField showAll="0">
      <items count="7">
        <item x="0"/>
        <item x="2"/>
        <item x="4"/>
        <item x="3"/>
        <item x="1"/>
        <item x="5"/>
        <item t="default"/>
      </items>
    </pivotField>
    <pivotField showAll="0"/>
    <pivotField showAll="0"/>
    <pivotField showAll="0">
      <items count="4">
        <item x="1"/>
        <item x="0"/>
        <item x="2"/>
        <item t="default"/>
      </items>
    </pivotField>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defaultSubtota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Avg. Revenue per Customer   " fld="26" baseField="0" baseItem="0" numFmtId="180"/>
  </dataFields>
  <formats count="5">
    <format dxfId="359">
      <pivotArea outline="0" collapsedLevelsAreSubtotals="1" fieldPosition="0"/>
    </format>
    <format dxfId="358">
      <pivotArea outline="0" collapsedLevelsAreSubtotals="1" fieldPosition="0"/>
    </format>
    <format dxfId="357">
      <pivotArea outline="0" collapsedLevelsAreSubtotals="1" fieldPosition="0"/>
    </format>
    <format dxfId="356">
      <pivotArea outline="0" collapsedLevelsAreSubtotals="1" fieldPosition="0"/>
    </format>
    <format dxfId="3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7:E19" firstHeaderRow="1" firstDataRow="2" firstDataCol="1"/>
  <pivotFields count="23">
    <pivotField dataField="1" showAll="0"/>
    <pivotField showAll="0"/>
    <pivotField numFmtId="16" showAll="0"/>
    <pivotField showAll="0"/>
    <pivotField showAll="0">
      <items count="6">
        <item x="0"/>
        <item x="2"/>
        <item x="4"/>
        <item x="3"/>
        <item x="1"/>
        <item t="default"/>
      </items>
    </pivotField>
    <pivotField showAll="0"/>
    <pivotField showAll="0"/>
    <pivotField showAll="0">
      <items count="3">
        <item x="1"/>
        <item x="0"/>
        <item t="default"/>
      </items>
    </pivotField>
    <pivotField showAll="0"/>
    <pivotField showAll="0"/>
    <pivotField showAll="0"/>
    <pivotField showAll="0">
      <items count="5">
        <item x="0"/>
        <item x="1"/>
        <item x="2"/>
        <item x="3"/>
        <item t="default"/>
      </items>
    </pivotField>
    <pivotField axis="axisRow" showAll="0">
      <items count="22">
        <item x="19"/>
        <item x="8"/>
        <item x="5"/>
        <item x="1"/>
        <item x="10"/>
        <item x="2"/>
        <item x="20"/>
        <item x="0"/>
        <item x="3"/>
        <item x="16"/>
        <item h="1" x="18"/>
        <item h="1" x="15"/>
        <item h="1" x="6"/>
        <item h="1" x="14"/>
        <item h="1" x="11"/>
        <item h="1" x="4"/>
        <item h="1" x="17"/>
        <item h="1" x="13"/>
        <item h="1" x="12"/>
        <item h="1" x="9"/>
        <item h="1" x="7"/>
        <item t="default"/>
      </items>
    </pivotField>
    <pivotField showAll="0"/>
    <pivotField showAll="0"/>
    <pivotField showAll="0"/>
    <pivotField showAll="0"/>
    <pivotField numFmtId="2" showAll="0"/>
    <pivotField axis="axisCol" showAll="0">
      <items count="3">
        <item x="1"/>
        <item x="0"/>
        <item t="default"/>
      </items>
    </pivotField>
    <pivotField showAll="0"/>
    <pivotField showAll="0"/>
    <pivotField showAll="0"/>
    <pivotField showAll="0"/>
  </pivotFields>
  <rowFields count="1">
    <field x="12"/>
  </rowFields>
  <rowItems count="11">
    <i>
      <x/>
    </i>
    <i>
      <x v="1"/>
    </i>
    <i>
      <x v="2"/>
    </i>
    <i>
      <x v="3"/>
    </i>
    <i>
      <x v="4"/>
    </i>
    <i>
      <x v="5"/>
    </i>
    <i>
      <x v="6"/>
    </i>
    <i>
      <x v="7"/>
    </i>
    <i>
      <x v="8"/>
    </i>
    <i>
      <x v="9"/>
    </i>
    <i t="grand">
      <x/>
    </i>
  </rowItems>
  <colFields count="1">
    <field x="18"/>
  </colFields>
  <colItems count="3">
    <i>
      <x/>
    </i>
    <i>
      <x v="1"/>
    </i>
    <i t="grand">
      <x/>
    </i>
  </colItems>
  <dataFields count="1">
    <dataField name="Count of Customer ID" fld="0" subtotal="count" baseField="0" baseItem="0"/>
  </dataFields>
  <chartFormats count="2">
    <chartFormat chart="2" format="6" series="1">
      <pivotArea type="data" outline="0" fieldPosition="0">
        <references count="2">
          <reference field="4294967294" count="1" selected="0">
            <x v="0"/>
          </reference>
          <reference field="18" count="1" selected="0">
            <x v="0"/>
          </reference>
        </references>
      </pivotArea>
    </chartFormat>
    <chartFormat chart="2" format="7"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enure_Group1" sourceName="Customer Tenure Group">
  <pivotTables>
    <pivotTable tabId="16" name="PivotTable3"/>
    <pivotTable tabId="16" name="PivotTable1"/>
    <pivotTable tabId="16" name="PivotTable2"/>
    <pivotTable tabId="16" name="PivotTable4"/>
  </pivotTables>
  <data>
    <tabular pivotCacheId="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1" sourceName="Age Group">
  <pivotTables>
    <pivotTable tabId="16" name="PivotTable3"/>
    <pivotTable tabId="16" name="PivotTable1"/>
    <pivotTable tabId="16" name="PivotTable2"/>
    <pivotTable tabId="16" name="PivotTable4"/>
  </pivotTables>
  <data>
    <tabular pivotCacheId="2">
      <items count="5">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6" name="PivotTable3"/>
    <pivotTable tabId="16" name="PivotTable1"/>
    <pivotTable tabId="16" name="PivotTable2"/>
    <pivotTable tabId="16" name="PivotTable4"/>
  </pivotTables>
  <data>
    <tabular pivotCacheId="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Churn_Status1" sourceName="Customer Churn Status">
  <pivotTables>
    <pivotTable tabId="16" name="PivotTable3"/>
    <pivotTable tabId="16" name="PivotTable1"/>
    <pivotTable tabId="16" name="PivotTable2"/>
    <pivotTable tabId="16" name="PivotTable4"/>
  </pivotTables>
  <data>
    <tabular pivotCacheId="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Tenure Group 1" cache="Slicer_Customer_Tenure_Group1" caption="Customer Tenure Group" columnCount="2" style="Slicer Style 1" rowHeight="241300"/>
  <slicer name="Age Group 1" cache="Slicer_Age_Group1" caption="Age Group" columnCount="2" style="Slicer Style 1" rowHeight="241300"/>
  <slicer name="Gender 1" cache="Slicer_Gender1" caption="Gender" columnCount="2" style="Slicer Style 1" rowHeight="241300"/>
  <slicer name="Customer Churn Status 1" cache="Slicer_Customer_Churn_Status1" caption="Customer Churn Status" columnCount="2" style="Slicer Style 1" rowHeight="241300"/>
</slicers>
</file>

<file path=xl/tables/table1.xml><?xml version="1.0" encoding="utf-8"?>
<table xmlns="http://schemas.openxmlformats.org/spreadsheetml/2006/main" id="1" name="Table1" displayName="Table1" ref="A1:T975" totalsRowShown="0" headerRowDxfId="367">
  <autoFilter ref="A1:T975"/>
  <tableColumns count="20">
    <tableColumn id="1" name="Customer ID" dataDxfId="366"/>
    <tableColumn id="2" name="Full Name"/>
    <tableColumn id="3" name="Date of Purchase" dataDxfId="365"/>
    <tableColumn id="4" name="Age"/>
    <tableColumn id="5" name="Age Group">
      <calculatedColumnFormula>IF(D2&lt;25,"Under25",IF(D2&lt;35,"25-34",IF(D2&lt;45,"35-44",IF(D2&lt;55,"45-54","55+"))) )</calculatedColumnFormula>
    </tableColumn>
    <tableColumn id="6" name="State"/>
    <tableColumn id="7" name="MTN Device"/>
    <tableColumn id="8" name="Gender"/>
    <tableColumn id="9" name="Satisfaction Rate"/>
    <tableColumn id="10" name="Customer Review"/>
    <tableColumn id="11" name="Customer Tenure in months"/>
    <tableColumn id="12" name="Customer Tenure Group">
      <calculatedColumnFormula>IF(K2&lt;6,"0-5 months",IF(K2&lt;13,"6-12 months",IF(K2&lt;25,"1-2 years","2+years")))</calculatedColumnFormula>
    </tableColumn>
    <tableColumn id="13" name="Subscription Plan"/>
    <tableColumn id="14" name="Unit Price"/>
    <tableColumn id="15" name="Number of Times Purchased"/>
    <tableColumn id="16" name="Total Revenue"/>
    <tableColumn id="17" name="Revenue Per  Purchase">
      <calculatedColumnFormula>P2/O2</calculatedColumnFormula>
    </tableColumn>
    <tableColumn id="18" name="Data Usage" dataDxfId="364" dataCellStyle="Percent"/>
    <tableColumn id="19" name="Customer Churn Status"/>
    <tableColumn id="20" name="Churn Flag">
      <calculatedColumnFormula>IF(S2="yes",1,0)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U1:U1048576" totalsRowShown="0" headerRowDxfId="363">
  <autoFilter ref="U1:U1048576"/>
  <tableColumns count="1">
    <tableColumn id="1" name="CHURNED" dataDxfId="362"/>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V1:W1048576" totalsRowShown="0" headerRowDxfId="361">
  <autoFilter ref="V1:W1048576"/>
  <tableColumns count="2">
    <tableColumn id="2" name="UNCHURNED" dataDxfId="360"/>
    <tableColumn id="1" name="TOTAL CUSTOM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75"/>
  <sheetViews>
    <sheetView topLeftCell="R1" zoomScaleNormal="100" workbookViewId="0"/>
  </sheetViews>
  <sheetFormatPr defaultRowHeight="14.5" x14ac:dyDescent="0.35"/>
  <cols>
    <col min="1" max="1" width="14" style="7" customWidth="1"/>
    <col min="2" max="2" width="21.453125" bestFit="1" customWidth="1"/>
    <col min="3" max="3" width="18.1796875" bestFit="1" customWidth="1"/>
    <col min="4" max="4" width="6.54296875" customWidth="1"/>
    <col min="5" max="5" width="15.26953125" customWidth="1"/>
    <col min="6" max="6" width="12.54296875" bestFit="1" customWidth="1"/>
    <col min="7" max="7" width="20" bestFit="1" customWidth="1"/>
    <col min="8" max="8" width="9.81640625" customWidth="1"/>
    <col min="9" max="9" width="17.81640625" customWidth="1"/>
    <col min="10" max="10" width="18.7265625" customWidth="1"/>
    <col min="11" max="11" width="27.81640625" bestFit="1" customWidth="1"/>
    <col min="12" max="12" width="27.81640625" customWidth="1"/>
    <col min="13" max="13" width="29.26953125" bestFit="1" customWidth="1"/>
    <col min="14" max="14" width="11.81640625" customWidth="1"/>
    <col min="15" max="15" width="28" customWidth="1"/>
    <col min="16" max="16" width="15.81640625" customWidth="1"/>
    <col min="17" max="17" width="23.26953125" customWidth="1"/>
    <col min="18" max="18" width="13" style="13" customWidth="1"/>
    <col min="19" max="19" width="23.26953125" customWidth="1"/>
    <col min="20" max="20" width="21.54296875" customWidth="1"/>
    <col min="21" max="21" width="22.7265625" bestFit="1" customWidth="1"/>
    <col min="22" max="23" width="19.1796875" customWidth="1"/>
  </cols>
  <sheetData>
    <row r="1" spans="1:23" s="2" customFormat="1" x14ac:dyDescent="0.35">
      <c r="A1" s="6" t="s">
        <v>0</v>
      </c>
      <c r="B1" s="2" t="s">
        <v>1</v>
      </c>
      <c r="C1" s="2" t="s">
        <v>2</v>
      </c>
      <c r="D1" s="2" t="s">
        <v>3</v>
      </c>
      <c r="E1" s="2" t="s">
        <v>1069</v>
      </c>
      <c r="F1" s="2" t="s">
        <v>4</v>
      </c>
      <c r="G1" s="2" t="s">
        <v>5</v>
      </c>
      <c r="H1" s="2" t="s">
        <v>6</v>
      </c>
      <c r="I1" s="2" t="s">
        <v>7</v>
      </c>
      <c r="J1" s="2" t="s">
        <v>8</v>
      </c>
      <c r="K1" s="2" t="s">
        <v>9</v>
      </c>
      <c r="L1" s="2" t="s">
        <v>1070</v>
      </c>
      <c r="M1" s="2" t="s">
        <v>10</v>
      </c>
      <c r="N1" s="2" t="s">
        <v>11</v>
      </c>
      <c r="O1" s="2" t="s">
        <v>12</v>
      </c>
      <c r="P1" s="2" t="s">
        <v>13</v>
      </c>
      <c r="Q1" s="11" t="s">
        <v>1065</v>
      </c>
      <c r="R1" s="12" t="s">
        <v>14</v>
      </c>
      <c r="S1" s="2" t="s">
        <v>15</v>
      </c>
      <c r="T1" s="2" t="s">
        <v>1066</v>
      </c>
      <c r="U1" s="2" t="s">
        <v>1071</v>
      </c>
      <c r="V1" s="2" t="s">
        <v>1082</v>
      </c>
      <c r="W1" s="2" t="s">
        <v>1072</v>
      </c>
    </row>
    <row r="2" spans="1:23" x14ac:dyDescent="0.35">
      <c r="A2" s="7" t="s">
        <v>16</v>
      </c>
      <c r="B2" t="s">
        <v>17</v>
      </c>
      <c r="C2" s="1">
        <v>45682</v>
      </c>
      <c r="D2">
        <v>27</v>
      </c>
      <c r="E2" t="str">
        <f>IF(D2&lt;25,"Under25",IF(D2&lt;35,"25-34",IF(D2&lt;45,"35-44",IF(D2&lt;55,"45-54","55+"))) )</f>
        <v>25-34</v>
      </c>
      <c r="F2" t="s">
        <v>18</v>
      </c>
      <c r="G2" t="s">
        <v>19</v>
      </c>
      <c r="H2" t="s">
        <v>20</v>
      </c>
      <c r="I2">
        <v>2</v>
      </c>
      <c r="J2" t="s">
        <v>21</v>
      </c>
      <c r="K2">
        <v>2</v>
      </c>
      <c r="L2" t="str">
        <f>IF(K2&lt;6,"0-5 months",IF(K2&lt;13,"6-12 months",IF(K2&lt;25,"1-2 years","2+years")))</f>
        <v>0-5 months</v>
      </c>
      <c r="M2" t="s">
        <v>22</v>
      </c>
      <c r="N2">
        <v>35000</v>
      </c>
      <c r="O2">
        <v>19</v>
      </c>
      <c r="P2">
        <v>665000</v>
      </c>
      <c r="Q2">
        <f>P2/O2</f>
        <v>35000</v>
      </c>
      <c r="R2" s="13">
        <v>44.48</v>
      </c>
      <c r="S2" t="s">
        <v>23</v>
      </c>
      <c r="T2">
        <f>IF(S2="yes",1,0)</f>
        <v>1</v>
      </c>
      <c r="U2">
        <f>COUNTIF(S2:S975,"YES")</f>
        <v>284</v>
      </c>
      <c r="V2">
        <f>COUNTIF(S2:S975,"NO")</f>
        <v>690</v>
      </c>
      <c r="W2">
        <f>COUNT(T2:T975)</f>
        <v>974</v>
      </c>
    </row>
    <row r="3" spans="1:23" x14ac:dyDescent="0.35">
      <c r="A3" s="7" t="s">
        <v>24</v>
      </c>
      <c r="B3" t="s">
        <v>25</v>
      </c>
      <c r="C3" s="1">
        <v>45741</v>
      </c>
      <c r="D3">
        <v>16</v>
      </c>
      <c r="E3" t="str">
        <f t="shared" ref="E3:E66" si="0">IF(D3&lt;25,"Under25",IF(D3&lt;35,"25-34",IF(D3&lt;45,"35-44",IF(D3&lt;55,"45-54","55+"))) )</f>
        <v>Under25</v>
      </c>
      <c r="F3" t="s">
        <v>26</v>
      </c>
      <c r="G3" t="s">
        <v>27</v>
      </c>
      <c r="H3" t="s">
        <v>28</v>
      </c>
      <c r="I3">
        <v>2</v>
      </c>
      <c r="J3" t="s">
        <v>21</v>
      </c>
      <c r="K3">
        <v>22</v>
      </c>
      <c r="L3" t="str">
        <f t="shared" ref="L3:L66" si="1">IF(K3&lt;6,"0-5 months",IF(K3&lt;13,"6-12 months",IF(K3&lt;25,"1-2 years","2+years")))</f>
        <v>1-2 years</v>
      </c>
      <c r="M3" t="s">
        <v>29</v>
      </c>
      <c r="N3">
        <v>5500</v>
      </c>
      <c r="O3">
        <v>12</v>
      </c>
      <c r="P3">
        <v>66000</v>
      </c>
      <c r="Q3">
        <f t="shared" ref="Q3:Q66" si="2">P3/O3</f>
        <v>5500</v>
      </c>
      <c r="R3" s="13">
        <v>19.79</v>
      </c>
      <c r="S3" t="s">
        <v>23</v>
      </c>
      <c r="T3">
        <f t="shared" ref="T3:T66" si="3">IF(S3="yes",1,0)</f>
        <v>1</v>
      </c>
      <c r="U3">
        <v>0</v>
      </c>
      <c r="V3">
        <v>0</v>
      </c>
      <c r="W3">
        <v>0</v>
      </c>
    </row>
    <row r="4" spans="1:23" x14ac:dyDescent="0.35">
      <c r="A4" s="7" t="s">
        <v>30</v>
      </c>
      <c r="B4" t="s">
        <v>31</v>
      </c>
      <c r="C4" s="1">
        <v>45741</v>
      </c>
      <c r="D4">
        <v>21</v>
      </c>
      <c r="E4" t="str">
        <f t="shared" si="0"/>
        <v>Under25</v>
      </c>
      <c r="F4" t="s">
        <v>32</v>
      </c>
      <c r="G4" t="s">
        <v>33</v>
      </c>
      <c r="H4" t="s">
        <v>20</v>
      </c>
      <c r="I4">
        <v>1</v>
      </c>
      <c r="J4" t="s">
        <v>34</v>
      </c>
      <c r="K4">
        <v>60</v>
      </c>
      <c r="L4" t="str">
        <f t="shared" si="1"/>
        <v>2+years</v>
      </c>
      <c r="M4" t="s">
        <v>35</v>
      </c>
      <c r="N4">
        <v>20000</v>
      </c>
      <c r="O4">
        <v>8</v>
      </c>
      <c r="P4">
        <v>160000</v>
      </c>
      <c r="Q4">
        <f t="shared" si="2"/>
        <v>20000</v>
      </c>
      <c r="R4" s="13">
        <v>9.64</v>
      </c>
      <c r="S4" t="s">
        <v>36</v>
      </c>
      <c r="T4">
        <f t="shared" si="3"/>
        <v>0</v>
      </c>
      <c r="U4">
        <v>0</v>
      </c>
      <c r="V4">
        <v>0</v>
      </c>
      <c r="W4">
        <v>0</v>
      </c>
    </row>
    <row r="5" spans="1:23" x14ac:dyDescent="0.35">
      <c r="A5" s="7" t="s">
        <v>30</v>
      </c>
      <c r="B5" t="s">
        <v>31</v>
      </c>
      <c r="C5" s="1">
        <v>45741</v>
      </c>
      <c r="D5">
        <v>21</v>
      </c>
      <c r="E5" t="str">
        <f t="shared" si="0"/>
        <v>Under25</v>
      </c>
      <c r="F5" t="s">
        <v>32</v>
      </c>
      <c r="G5" t="s">
        <v>27</v>
      </c>
      <c r="H5" t="s">
        <v>20</v>
      </c>
      <c r="I5">
        <v>1</v>
      </c>
      <c r="J5" t="s">
        <v>34</v>
      </c>
      <c r="K5">
        <v>60</v>
      </c>
      <c r="L5" t="str">
        <f t="shared" si="1"/>
        <v>2+years</v>
      </c>
      <c r="M5" t="s">
        <v>37</v>
      </c>
      <c r="N5">
        <v>500</v>
      </c>
      <c r="O5">
        <v>8</v>
      </c>
      <c r="P5">
        <v>4000</v>
      </c>
      <c r="Q5">
        <f t="shared" si="2"/>
        <v>500</v>
      </c>
      <c r="R5" s="13">
        <v>197.05</v>
      </c>
      <c r="S5" t="s">
        <v>36</v>
      </c>
      <c r="T5">
        <f t="shared" si="3"/>
        <v>0</v>
      </c>
      <c r="U5">
        <v>0</v>
      </c>
      <c r="V5">
        <v>0</v>
      </c>
      <c r="W5">
        <v>0</v>
      </c>
    </row>
    <row r="6" spans="1:23" x14ac:dyDescent="0.35">
      <c r="A6" s="7" t="s">
        <v>30</v>
      </c>
      <c r="B6" t="s">
        <v>31</v>
      </c>
      <c r="C6" s="1">
        <v>45741</v>
      </c>
      <c r="D6">
        <v>21</v>
      </c>
      <c r="E6" t="str">
        <f t="shared" si="0"/>
        <v>Under25</v>
      </c>
      <c r="F6" t="s">
        <v>32</v>
      </c>
      <c r="G6" t="s">
        <v>38</v>
      </c>
      <c r="H6" t="s">
        <v>20</v>
      </c>
      <c r="I6">
        <v>1</v>
      </c>
      <c r="J6" t="s">
        <v>34</v>
      </c>
      <c r="K6">
        <v>60</v>
      </c>
      <c r="L6" t="str">
        <f t="shared" si="1"/>
        <v>2+years</v>
      </c>
      <c r="M6" t="s">
        <v>39</v>
      </c>
      <c r="N6">
        <v>9000</v>
      </c>
      <c r="O6">
        <v>15</v>
      </c>
      <c r="P6">
        <v>135000</v>
      </c>
      <c r="Q6">
        <f t="shared" si="2"/>
        <v>9000</v>
      </c>
      <c r="R6" s="13">
        <v>76.34</v>
      </c>
      <c r="S6" t="s">
        <v>36</v>
      </c>
      <c r="T6">
        <f t="shared" si="3"/>
        <v>0</v>
      </c>
      <c r="U6">
        <v>0</v>
      </c>
      <c r="V6">
        <v>0</v>
      </c>
      <c r="W6">
        <v>0</v>
      </c>
    </row>
    <row r="7" spans="1:23" x14ac:dyDescent="0.35">
      <c r="A7" s="7" t="s">
        <v>40</v>
      </c>
      <c r="B7" t="s">
        <v>41</v>
      </c>
      <c r="C7" s="1">
        <v>45741</v>
      </c>
      <c r="D7">
        <v>36</v>
      </c>
      <c r="E7" t="str">
        <f t="shared" si="0"/>
        <v>35-44</v>
      </c>
      <c r="F7" t="s">
        <v>42</v>
      </c>
      <c r="G7" t="s">
        <v>19</v>
      </c>
      <c r="H7" t="s">
        <v>28</v>
      </c>
      <c r="I7">
        <v>1</v>
      </c>
      <c r="J7" t="s">
        <v>34</v>
      </c>
      <c r="K7">
        <v>14</v>
      </c>
      <c r="L7" t="str">
        <f t="shared" si="1"/>
        <v>1-2 years</v>
      </c>
      <c r="M7" t="s">
        <v>43</v>
      </c>
      <c r="N7">
        <v>4500</v>
      </c>
      <c r="O7">
        <v>9</v>
      </c>
      <c r="P7">
        <v>40500</v>
      </c>
      <c r="Q7">
        <f t="shared" si="2"/>
        <v>4500</v>
      </c>
      <c r="R7" s="13">
        <v>92.72</v>
      </c>
      <c r="S7" t="s">
        <v>36</v>
      </c>
      <c r="T7">
        <f t="shared" si="3"/>
        <v>0</v>
      </c>
      <c r="U7">
        <v>0</v>
      </c>
      <c r="V7">
        <v>0</v>
      </c>
      <c r="W7">
        <v>0</v>
      </c>
    </row>
    <row r="8" spans="1:23" x14ac:dyDescent="0.35">
      <c r="A8" s="7" t="s">
        <v>44</v>
      </c>
      <c r="B8" t="s">
        <v>45</v>
      </c>
      <c r="C8" s="1">
        <v>45682</v>
      </c>
      <c r="D8">
        <v>57</v>
      </c>
      <c r="E8" t="str">
        <f t="shared" si="0"/>
        <v>55+</v>
      </c>
      <c r="F8" t="s">
        <v>46</v>
      </c>
      <c r="G8" t="s">
        <v>19</v>
      </c>
      <c r="H8" t="s">
        <v>20</v>
      </c>
      <c r="I8">
        <v>3</v>
      </c>
      <c r="J8" t="s">
        <v>47</v>
      </c>
      <c r="K8">
        <v>53</v>
      </c>
      <c r="L8" t="str">
        <f t="shared" si="1"/>
        <v>2+years</v>
      </c>
      <c r="M8" t="s">
        <v>48</v>
      </c>
      <c r="N8">
        <v>9000</v>
      </c>
      <c r="O8">
        <v>16</v>
      </c>
      <c r="P8">
        <v>144000</v>
      </c>
      <c r="Q8">
        <f t="shared" si="2"/>
        <v>9000</v>
      </c>
      <c r="R8" s="13">
        <v>42.92</v>
      </c>
      <c r="S8" t="s">
        <v>36</v>
      </c>
      <c r="T8">
        <f t="shared" si="3"/>
        <v>0</v>
      </c>
      <c r="U8">
        <v>0</v>
      </c>
      <c r="V8">
        <v>0</v>
      </c>
      <c r="W8">
        <v>0</v>
      </c>
    </row>
    <row r="9" spans="1:23" x14ac:dyDescent="0.35">
      <c r="A9" s="7" t="s">
        <v>49</v>
      </c>
      <c r="B9" t="s">
        <v>50</v>
      </c>
      <c r="C9" s="1">
        <v>45713</v>
      </c>
      <c r="D9">
        <v>74</v>
      </c>
      <c r="E9" t="str">
        <f t="shared" si="0"/>
        <v>55+</v>
      </c>
      <c r="F9" t="s">
        <v>51</v>
      </c>
      <c r="G9" t="s">
        <v>27</v>
      </c>
      <c r="H9" t="s">
        <v>28</v>
      </c>
      <c r="I9">
        <v>5</v>
      </c>
      <c r="J9" t="s">
        <v>52</v>
      </c>
      <c r="K9">
        <v>9</v>
      </c>
      <c r="L9" t="str">
        <f t="shared" si="1"/>
        <v>6-12 months</v>
      </c>
      <c r="M9" t="s">
        <v>53</v>
      </c>
      <c r="N9">
        <v>3500</v>
      </c>
      <c r="O9">
        <v>5</v>
      </c>
      <c r="P9">
        <v>17500</v>
      </c>
      <c r="Q9">
        <f t="shared" si="2"/>
        <v>3500</v>
      </c>
      <c r="R9" s="13">
        <v>44.25</v>
      </c>
      <c r="S9" t="s">
        <v>36</v>
      </c>
      <c r="T9">
        <f t="shared" si="3"/>
        <v>0</v>
      </c>
      <c r="U9">
        <v>0</v>
      </c>
      <c r="V9">
        <v>0</v>
      </c>
      <c r="W9">
        <v>0</v>
      </c>
    </row>
    <row r="10" spans="1:23" x14ac:dyDescent="0.35">
      <c r="A10" s="7" t="s">
        <v>49</v>
      </c>
      <c r="B10" t="s">
        <v>50</v>
      </c>
      <c r="C10" s="1">
        <v>45713</v>
      </c>
      <c r="D10">
        <v>74</v>
      </c>
      <c r="E10" t="str">
        <f t="shared" si="0"/>
        <v>55+</v>
      </c>
      <c r="F10" t="s">
        <v>51</v>
      </c>
      <c r="G10" t="s">
        <v>33</v>
      </c>
      <c r="H10" t="s">
        <v>28</v>
      </c>
      <c r="I10">
        <v>5</v>
      </c>
      <c r="J10" t="s">
        <v>52</v>
      </c>
      <c r="K10">
        <v>9</v>
      </c>
      <c r="L10" t="str">
        <f t="shared" si="1"/>
        <v>6-12 months</v>
      </c>
      <c r="M10" t="s">
        <v>54</v>
      </c>
      <c r="N10">
        <v>150000</v>
      </c>
      <c r="O10">
        <v>2</v>
      </c>
      <c r="P10">
        <v>300000</v>
      </c>
      <c r="Q10">
        <f t="shared" si="2"/>
        <v>150000</v>
      </c>
      <c r="R10" s="13">
        <v>18.64</v>
      </c>
      <c r="S10" t="s">
        <v>36</v>
      </c>
      <c r="T10">
        <f t="shared" si="3"/>
        <v>0</v>
      </c>
      <c r="U10">
        <v>0</v>
      </c>
      <c r="V10">
        <v>0</v>
      </c>
      <c r="W10">
        <v>0</v>
      </c>
    </row>
    <row r="11" spans="1:23" x14ac:dyDescent="0.35">
      <c r="A11" s="7" t="s">
        <v>49</v>
      </c>
      <c r="B11" t="s">
        <v>50</v>
      </c>
      <c r="C11" s="1">
        <v>45713</v>
      </c>
      <c r="D11">
        <v>74</v>
      </c>
      <c r="E11" t="str">
        <f t="shared" si="0"/>
        <v>55+</v>
      </c>
      <c r="F11" t="s">
        <v>51</v>
      </c>
      <c r="G11" t="s">
        <v>19</v>
      </c>
      <c r="H11" t="s">
        <v>28</v>
      </c>
      <c r="I11">
        <v>5</v>
      </c>
      <c r="J11" t="s">
        <v>52</v>
      </c>
      <c r="K11">
        <v>9</v>
      </c>
      <c r="L11" t="str">
        <f t="shared" si="1"/>
        <v>6-12 months</v>
      </c>
      <c r="M11" t="s">
        <v>55</v>
      </c>
      <c r="N11">
        <v>16000</v>
      </c>
      <c r="O11">
        <v>6</v>
      </c>
      <c r="P11">
        <v>96000</v>
      </c>
      <c r="Q11">
        <f t="shared" si="2"/>
        <v>16000</v>
      </c>
      <c r="R11" s="13">
        <v>30.99</v>
      </c>
      <c r="S11" t="s">
        <v>36</v>
      </c>
      <c r="T11">
        <f t="shared" si="3"/>
        <v>0</v>
      </c>
      <c r="U11">
        <v>0</v>
      </c>
      <c r="V11">
        <v>0</v>
      </c>
      <c r="W11">
        <v>0</v>
      </c>
    </row>
    <row r="12" spans="1:23" x14ac:dyDescent="0.35">
      <c r="A12" s="7" t="s">
        <v>56</v>
      </c>
      <c r="B12" t="s">
        <v>57</v>
      </c>
      <c r="C12" s="1">
        <v>45741</v>
      </c>
      <c r="D12">
        <v>24</v>
      </c>
      <c r="E12" t="str">
        <f t="shared" si="0"/>
        <v>Under25</v>
      </c>
      <c r="F12" t="s">
        <v>58</v>
      </c>
      <c r="G12" t="s">
        <v>38</v>
      </c>
      <c r="H12" t="s">
        <v>28</v>
      </c>
      <c r="I12">
        <v>5</v>
      </c>
      <c r="J12" t="s">
        <v>52</v>
      </c>
      <c r="K12">
        <v>39</v>
      </c>
      <c r="L12" t="str">
        <f t="shared" si="1"/>
        <v>2+years</v>
      </c>
      <c r="M12" t="s">
        <v>59</v>
      </c>
      <c r="N12">
        <v>24000</v>
      </c>
      <c r="O12">
        <v>11</v>
      </c>
      <c r="P12">
        <v>264000</v>
      </c>
      <c r="Q12">
        <f t="shared" si="2"/>
        <v>24000</v>
      </c>
      <c r="R12" s="13">
        <v>150.30000000000001</v>
      </c>
      <c r="S12" t="s">
        <v>23</v>
      </c>
      <c r="T12">
        <f t="shared" si="3"/>
        <v>1</v>
      </c>
      <c r="U12">
        <v>0</v>
      </c>
      <c r="V12">
        <v>0</v>
      </c>
      <c r="W12">
        <v>0</v>
      </c>
    </row>
    <row r="13" spans="1:23" x14ac:dyDescent="0.35">
      <c r="A13" s="7" t="s">
        <v>60</v>
      </c>
      <c r="B13" t="s">
        <v>61</v>
      </c>
      <c r="C13" s="1">
        <v>45682</v>
      </c>
      <c r="D13">
        <v>53</v>
      </c>
      <c r="E13" t="str">
        <f t="shared" si="0"/>
        <v>45-54</v>
      </c>
      <c r="F13" t="s">
        <v>18</v>
      </c>
      <c r="G13" t="s">
        <v>38</v>
      </c>
      <c r="H13" t="s">
        <v>20</v>
      </c>
      <c r="I13">
        <v>3</v>
      </c>
      <c r="J13" t="s">
        <v>47</v>
      </c>
      <c r="K13">
        <v>30</v>
      </c>
      <c r="L13" t="str">
        <f t="shared" si="1"/>
        <v>2+years</v>
      </c>
      <c r="M13" t="s">
        <v>62</v>
      </c>
      <c r="N13">
        <v>30000</v>
      </c>
      <c r="O13">
        <v>17</v>
      </c>
      <c r="P13">
        <v>510000</v>
      </c>
      <c r="Q13">
        <f t="shared" si="2"/>
        <v>30000</v>
      </c>
      <c r="R13" s="13">
        <v>168.41</v>
      </c>
      <c r="S13" t="s">
        <v>36</v>
      </c>
      <c r="T13">
        <f t="shared" si="3"/>
        <v>0</v>
      </c>
      <c r="U13">
        <v>0</v>
      </c>
      <c r="V13">
        <v>0</v>
      </c>
      <c r="W13">
        <v>0</v>
      </c>
    </row>
    <row r="14" spans="1:23" x14ac:dyDescent="0.35">
      <c r="A14" s="7" t="s">
        <v>63</v>
      </c>
      <c r="B14" t="s">
        <v>64</v>
      </c>
      <c r="C14" s="1">
        <v>45682</v>
      </c>
      <c r="D14">
        <v>35</v>
      </c>
      <c r="E14" t="str">
        <f t="shared" si="0"/>
        <v>35-44</v>
      </c>
      <c r="F14" t="s">
        <v>42</v>
      </c>
      <c r="G14" t="s">
        <v>38</v>
      </c>
      <c r="H14" t="s">
        <v>20</v>
      </c>
      <c r="I14">
        <v>5</v>
      </c>
      <c r="J14" t="s">
        <v>52</v>
      </c>
      <c r="K14">
        <v>35</v>
      </c>
      <c r="L14" t="str">
        <f t="shared" si="1"/>
        <v>2+years</v>
      </c>
      <c r="M14" t="s">
        <v>62</v>
      </c>
      <c r="N14">
        <v>30000</v>
      </c>
      <c r="O14">
        <v>10</v>
      </c>
      <c r="P14">
        <v>300000</v>
      </c>
      <c r="Q14">
        <f t="shared" si="2"/>
        <v>30000</v>
      </c>
      <c r="R14" s="13">
        <v>175.81</v>
      </c>
      <c r="S14" t="s">
        <v>36</v>
      </c>
      <c r="T14">
        <f t="shared" si="3"/>
        <v>0</v>
      </c>
      <c r="U14">
        <v>0</v>
      </c>
      <c r="V14">
        <v>0</v>
      </c>
      <c r="W14">
        <v>0</v>
      </c>
    </row>
    <row r="15" spans="1:23" x14ac:dyDescent="0.35">
      <c r="A15" s="7" t="s">
        <v>65</v>
      </c>
      <c r="B15" t="s">
        <v>66</v>
      </c>
      <c r="C15" s="1">
        <v>45741</v>
      </c>
      <c r="D15">
        <v>23</v>
      </c>
      <c r="E15" t="str">
        <f t="shared" si="0"/>
        <v>Under25</v>
      </c>
      <c r="F15" t="s">
        <v>67</v>
      </c>
      <c r="G15" t="s">
        <v>19</v>
      </c>
      <c r="H15" t="s">
        <v>20</v>
      </c>
      <c r="I15">
        <v>1</v>
      </c>
      <c r="J15" t="s">
        <v>34</v>
      </c>
      <c r="K15">
        <v>6</v>
      </c>
      <c r="L15" t="str">
        <f t="shared" si="1"/>
        <v>6-12 months</v>
      </c>
      <c r="M15" t="s">
        <v>43</v>
      </c>
      <c r="N15">
        <v>4500</v>
      </c>
      <c r="O15">
        <v>20</v>
      </c>
      <c r="P15">
        <v>90000</v>
      </c>
      <c r="Q15">
        <f t="shared" si="2"/>
        <v>4500</v>
      </c>
      <c r="R15" s="13">
        <v>53.38</v>
      </c>
      <c r="S15" t="s">
        <v>36</v>
      </c>
      <c r="T15">
        <f t="shared" si="3"/>
        <v>0</v>
      </c>
      <c r="U15">
        <v>0</v>
      </c>
      <c r="V15">
        <v>0</v>
      </c>
      <c r="W15">
        <v>0</v>
      </c>
    </row>
    <row r="16" spans="1:23" x14ac:dyDescent="0.35">
      <c r="A16" s="7" t="s">
        <v>65</v>
      </c>
      <c r="B16" t="s">
        <v>66</v>
      </c>
      <c r="C16" s="1">
        <v>45741</v>
      </c>
      <c r="D16">
        <v>23</v>
      </c>
      <c r="E16" t="str">
        <f t="shared" si="0"/>
        <v>Under25</v>
      </c>
      <c r="F16" t="s">
        <v>67</v>
      </c>
      <c r="G16" t="s">
        <v>38</v>
      </c>
      <c r="H16" t="s">
        <v>20</v>
      </c>
      <c r="I16">
        <v>1</v>
      </c>
      <c r="J16" t="s">
        <v>34</v>
      </c>
      <c r="K16">
        <v>6</v>
      </c>
      <c r="L16" t="str">
        <f t="shared" si="1"/>
        <v>6-12 months</v>
      </c>
      <c r="M16" t="s">
        <v>68</v>
      </c>
      <c r="N16">
        <v>14500</v>
      </c>
      <c r="O16">
        <v>18</v>
      </c>
      <c r="P16">
        <v>261000</v>
      </c>
      <c r="Q16">
        <f t="shared" si="2"/>
        <v>14500</v>
      </c>
      <c r="R16" s="13">
        <v>192.89</v>
      </c>
      <c r="S16" t="s">
        <v>36</v>
      </c>
      <c r="T16">
        <f t="shared" si="3"/>
        <v>0</v>
      </c>
      <c r="U16">
        <v>0</v>
      </c>
      <c r="V16">
        <v>0</v>
      </c>
      <c r="W16">
        <v>0</v>
      </c>
    </row>
    <row r="17" spans="1:23" x14ac:dyDescent="0.35">
      <c r="A17" s="7" t="s">
        <v>65</v>
      </c>
      <c r="B17" t="s">
        <v>66</v>
      </c>
      <c r="C17" s="1">
        <v>45741</v>
      </c>
      <c r="D17">
        <v>23</v>
      </c>
      <c r="E17" t="str">
        <f t="shared" si="0"/>
        <v>Under25</v>
      </c>
      <c r="F17" t="s">
        <v>67</v>
      </c>
      <c r="G17" t="s">
        <v>27</v>
      </c>
      <c r="H17" t="s">
        <v>20</v>
      </c>
      <c r="I17">
        <v>1</v>
      </c>
      <c r="J17" t="s">
        <v>34</v>
      </c>
      <c r="K17">
        <v>6</v>
      </c>
      <c r="L17" t="str">
        <f t="shared" si="1"/>
        <v>6-12 months</v>
      </c>
      <c r="M17" t="s">
        <v>69</v>
      </c>
      <c r="N17">
        <v>350</v>
      </c>
      <c r="O17">
        <v>13</v>
      </c>
      <c r="P17">
        <v>4550</v>
      </c>
      <c r="Q17">
        <f t="shared" si="2"/>
        <v>350</v>
      </c>
      <c r="R17" s="13">
        <v>142.72999999999999</v>
      </c>
      <c r="S17" t="s">
        <v>36</v>
      </c>
      <c r="T17">
        <f t="shared" si="3"/>
        <v>0</v>
      </c>
      <c r="U17">
        <v>0</v>
      </c>
      <c r="V17">
        <v>0</v>
      </c>
      <c r="W17">
        <v>0</v>
      </c>
    </row>
    <row r="18" spans="1:23" x14ac:dyDescent="0.35">
      <c r="A18" s="7" t="s">
        <v>70</v>
      </c>
      <c r="B18" t="s">
        <v>71</v>
      </c>
      <c r="C18" s="1">
        <v>45713</v>
      </c>
      <c r="D18">
        <v>72</v>
      </c>
      <c r="E18" t="str">
        <f t="shared" si="0"/>
        <v>55+</v>
      </c>
      <c r="F18" t="s">
        <v>72</v>
      </c>
      <c r="G18" t="s">
        <v>19</v>
      </c>
      <c r="H18" t="s">
        <v>28</v>
      </c>
      <c r="I18">
        <v>2</v>
      </c>
      <c r="J18" t="s">
        <v>21</v>
      </c>
      <c r="K18">
        <v>8</v>
      </c>
      <c r="L18" t="str">
        <f t="shared" si="1"/>
        <v>6-12 months</v>
      </c>
      <c r="M18" t="s">
        <v>55</v>
      </c>
      <c r="N18">
        <v>16000</v>
      </c>
      <c r="O18">
        <v>2</v>
      </c>
      <c r="P18">
        <v>32000</v>
      </c>
      <c r="Q18">
        <f t="shared" si="2"/>
        <v>16000</v>
      </c>
      <c r="R18" s="13">
        <v>14.66</v>
      </c>
      <c r="S18" t="s">
        <v>23</v>
      </c>
      <c r="T18">
        <f t="shared" si="3"/>
        <v>1</v>
      </c>
      <c r="U18">
        <v>0</v>
      </c>
      <c r="V18">
        <v>0</v>
      </c>
      <c r="W18">
        <v>0</v>
      </c>
    </row>
    <row r="19" spans="1:23" x14ac:dyDescent="0.35">
      <c r="A19" s="7" t="s">
        <v>70</v>
      </c>
      <c r="B19" t="s">
        <v>71</v>
      </c>
      <c r="C19" s="1">
        <v>45713</v>
      </c>
      <c r="D19">
        <v>72</v>
      </c>
      <c r="E19" t="str">
        <f t="shared" si="0"/>
        <v>55+</v>
      </c>
      <c r="F19" t="s">
        <v>72</v>
      </c>
      <c r="G19" t="s">
        <v>33</v>
      </c>
      <c r="H19" t="s">
        <v>28</v>
      </c>
      <c r="I19">
        <v>2</v>
      </c>
      <c r="J19" t="s">
        <v>21</v>
      </c>
      <c r="K19">
        <v>8</v>
      </c>
      <c r="L19" t="str">
        <f t="shared" si="1"/>
        <v>6-12 months</v>
      </c>
      <c r="M19" t="s">
        <v>68</v>
      </c>
      <c r="N19">
        <v>14500</v>
      </c>
      <c r="O19">
        <v>2</v>
      </c>
      <c r="P19">
        <v>29000</v>
      </c>
      <c r="Q19">
        <f t="shared" si="2"/>
        <v>14500</v>
      </c>
      <c r="R19" s="13">
        <v>13.95</v>
      </c>
      <c r="S19" t="s">
        <v>23</v>
      </c>
      <c r="T19">
        <f t="shared" si="3"/>
        <v>1</v>
      </c>
      <c r="U19">
        <v>0</v>
      </c>
      <c r="V19">
        <v>0</v>
      </c>
      <c r="W19">
        <v>0</v>
      </c>
    </row>
    <row r="20" spans="1:23" x14ac:dyDescent="0.35">
      <c r="A20" s="7" t="s">
        <v>70</v>
      </c>
      <c r="B20" t="s">
        <v>71</v>
      </c>
      <c r="C20" s="1">
        <v>45713</v>
      </c>
      <c r="D20">
        <v>72</v>
      </c>
      <c r="E20" t="str">
        <f t="shared" si="0"/>
        <v>55+</v>
      </c>
      <c r="F20" t="s">
        <v>72</v>
      </c>
      <c r="G20" t="s">
        <v>38</v>
      </c>
      <c r="H20" t="s">
        <v>28</v>
      </c>
      <c r="I20">
        <v>2</v>
      </c>
      <c r="J20" t="s">
        <v>21</v>
      </c>
      <c r="K20">
        <v>8</v>
      </c>
      <c r="L20" t="str">
        <f t="shared" si="1"/>
        <v>6-12 months</v>
      </c>
      <c r="M20" t="s">
        <v>62</v>
      </c>
      <c r="N20">
        <v>30000</v>
      </c>
      <c r="O20">
        <v>8</v>
      </c>
      <c r="P20">
        <v>240000</v>
      </c>
      <c r="Q20">
        <f t="shared" si="2"/>
        <v>30000</v>
      </c>
      <c r="R20" s="13">
        <v>14.64</v>
      </c>
      <c r="S20" t="s">
        <v>23</v>
      </c>
      <c r="T20">
        <f t="shared" si="3"/>
        <v>1</v>
      </c>
      <c r="U20">
        <v>0</v>
      </c>
      <c r="V20">
        <v>0</v>
      </c>
      <c r="W20">
        <v>0</v>
      </c>
    </row>
    <row r="21" spans="1:23" x14ac:dyDescent="0.35">
      <c r="A21" s="7" t="s">
        <v>73</v>
      </c>
      <c r="B21" t="s">
        <v>74</v>
      </c>
      <c r="C21" s="1">
        <v>45741</v>
      </c>
      <c r="D21">
        <v>78</v>
      </c>
      <c r="E21" t="str">
        <f t="shared" si="0"/>
        <v>55+</v>
      </c>
      <c r="F21" t="s">
        <v>75</v>
      </c>
      <c r="G21" t="s">
        <v>19</v>
      </c>
      <c r="H21" t="s">
        <v>20</v>
      </c>
      <c r="I21">
        <v>2</v>
      </c>
      <c r="J21" t="s">
        <v>21</v>
      </c>
      <c r="K21">
        <v>47</v>
      </c>
      <c r="L21" t="str">
        <f t="shared" si="1"/>
        <v>2+years</v>
      </c>
      <c r="M21" t="s">
        <v>55</v>
      </c>
      <c r="N21">
        <v>16000</v>
      </c>
      <c r="O21">
        <v>12</v>
      </c>
      <c r="P21">
        <v>192000</v>
      </c>
      <c r="Q21">
        <f t="shared" si="2"/>
        <v>16000</v>
      </c>
      <c r="R21" s="13">
        <v>131.97</v>
      </c>
      <c r="S21" t="s">
        <v>36</v>
      </c>
      <c r="T21">
        <f t="shared" si="3"/>
        <v>0</v>
      </c>
      <c r="U21">
        <v>0</v>
      </c>
      <c r="V21">
        <v>0</v>
      </c>
      <c r="W21">
        <v>0</v>
      </c>
    </row>
    <row r="22" spans="1:23" x14ac:dyDescent="0.35">
      <c r="A22" s="7" t="s">
        <v>73</v>
      </c>
      <c r="B22" t="s">
        <v>74</v>
      </c>
      <c r="C22" s="1">
        <v>45741</v>
      </c>
      <c r="D22">
        <v>78</v>
      </c>
      <c r="E22" t="str">
        <f t="shared" si="0"/>
        <v>55+</v>
      </c>
      <c r="F22" t="s">
        <v>75</v>
      </c>
      <c r="G22" t="s">
        <v>38</v>
      </c>
      <c r="H22" t="s">
        <v>20</v>
      </c>
      <c r="I22">
        <v>2</v>
      </c>
      <c r="J22" t="s">
        <v>21</v>
      </c>
      <c r="K22">
        <v>47</v>
      </c>
      <c r="L22" t="str">
        <f t="shared" si="1"/>
        <v>2+years</v>
      </c>
      <c r="M22" t="s">
        <v>68</v>
      </c>
      <c r="N22">
        <v>14500</v>
      </c>
      <c r="O22">
        <v>2</v>
      </c>
      <c r="P22">
        <v>29000</v>
      </c>
      <c r="Q22">
        <f t="shared" si="2"/>
        <v>14500</v>
      </c>
      <c r="R22" s="13">
        <v>82.51</v>
      </c>
      <c r="S22" t="s">
        <v>36</v>
      </c>
      <c r="T22">
        <f t="shared" si="3"/>
        <v>0</v>
      </c>
      <c r="U22">
        <v>0</v>
      </c>
      <c r="V22">
        <v>0</v>
      </c>
      <c r="W22">
        <v>0</v>
      </c>
    </row>
    <row r="23" spans="1:23" x14ac:dyDescent="0.35">
      <c r="A23" s="7" t="s">
        <v>76</v>
      </c>
      <c r="B23" t="s">
        <v>77</v>
      </c>
      <c r="C23" s="1">
        <v>45682</v>
      </c>
      <c r="D23">
        <v>23</v>
      </c>
      <c r="E23" t="str">
        <f t="shared" si="0"/>
        <v>Under25</v>
      </c>
      <c r="F23" t="s">
        <v>78</v>
      </c>
      <c r="G23" t="s">
        <v>19</v>
      </c>
      <c r="H23" t="s">
        <v>28</v>
      </c>
      <c r="I23">
        <v>2</v>
      </c>
      <c r="J23" t="s">
        <v>21</v>
      </c>
      <c r="K23">
        <v>52</v>
      </c>
      <c r="L23" t="str">
        <f t="shared" si="1"/>
        <v>2+years</v>
      </c>
      <c r="M23" t="s">
        <v>43</v>
      </c>
      <c r="N23">
        <v>4500</v>
      </c>
      <c r="O23">
        <v>8</v>
      </c>
      <c r="P23">
        <v>36000</v>
      </c>
      <c r="Q23">
        <f t="shared" si="2"/>
        <v>4500</v>
      </c>
      <c r="R23" s="13">
        <v>56.07</v>
      </c>
      <c r="S23" t="s">
        <v>23</v>
      </c>
      <c r="T23">
        <f t="shared" si="3"/>
        <v>1</v>
      </c>
      <c r="U23">
        <v>0</v>
      </c>
      <c r="V23">
        <v>0</v>
      </c>
      <c r="W23">
        <v>0</v>
      </c>
    </row>
    <row r="24" spans="1:23" x14ac:dyDescent="0.35">
      <c r="A24" s="7" t="s">
        <v>76</v>
      </c>
      <c r="B24" t="s">
        <v>77</v>
      </c>
      <c r="C24" s="1">
        <v>45682</v>
      </c>
      <c r="D24">
        <v>23</v>
      </c>
      <c r="E24" t="str">
        <f t="shared" si="0"/>
        <v>Under25</v>
      </c>
      <c r="F24" t="s">
        <v>78</v>
      </c>
      <c r="G24" t="s">
        <v>27</v>
      </c>
      <c r="H24" t="s">
        <v>28</v>
      </c>
      <c r="I24">
        <v>2</v>
      </c>
      <c r="J24" t="s">
        <v>21</v>
      </c>
      <c r="K24">
        <v>52</v>
      </c>
      <c r="L24" t="str">
        <f t="shared" si="1"/>
        <v>2+years</v>
      </c>
      <c r="M24" t="s">
        <v>79</v>
      </c>
      <c r="N24">
        <v>1000</v>
      </c>
      <c r="O24">
        <v>18</v>
      </c>
      <c r="P24">
        <v>18000</v>
      </c>
      <c r="Q24">
        <f t="shared" si="2"/>
        <v>1000</v>
      </c>
      <c r="R24" s="13">
        <v>88.9</v>
      </c>
      <c r="S24" t="s">
        <v>23</v>
      </c>
      <c r="T24">
        <f t="shared" si="3"/>
        <v>1</v>
      </c>
      <c r="U24">
        <v>0</v>
      </c>
      <c r="V24">
        <v>0</v>
      </c>
      <c r="W24">
        <v>0</v>
      </c>
    </row>
    <row r="25" spans="1:23" x14ac:dyDescent="0.35">
      <c r="A25" s="7" t="s">
        <v>80</v>
      </c>
      <c r="B25" t="s">
        <v>81</v>
      </c>
      <c r="C25" s="1">
        <v>45713</v>
      </c>
      <c r="D25">
        <v>22</v>
      </c>
      <c r="E25" t="str">
        <f t="shared" si="0"/>
        <v>Under25</v>
      </c>
      <c r="F25" t="s">
        <v>82</v>
      </c>
      <c r="G25" t="s">
        <v>19</v>
      </c>
      <c r="H25" t="s">
        <v>20</v>
      </c>
      <c r="I25">
        <v>2</v>
      </c>
      <c r="J25" t="s">
        <v>21</v>
      </c>
      <c r="K25">
        <v>6</v>
      </c>
      <c r="L25" t="str">
        <f t="shared" si="1"/>
        <v>6-12 months</v>
      </c>
      <c r="M25" t="s">
        <v>55</v>
      </c>
      <c r="N25">
        <v>16000</v>
      </c>
      <c r="O25">
        <v>1</v>
      </c>
      <c r="P25">
        <v>16000</v>
      </c>
      <c r="Q25">
        <f t="shared" si="2"/>
        <v>16000</v>
      </c>
      <c r="R25" s="13">
        <v>33.35</v>
      </c>
      <c r="S25" t="s">
        <v>36</v>
      </c>
      <c r="T25">
        <f t="shared" si="3"/>
        <v>0</v>
      </c>
      <c r="U25">
        <v>0</v>
      </c>
      <c r="V25">
        <v>0</v>
      </c>
      <c r="W25">
        <v>0</v>
      </c>
    </row>
    <row r="26" spans="1:23" x14ac:dyDescent="0.35">
      <c r="A26" s="7" t="s">
        <v>80</v>
      </c>
      <c r="B26" t="s">
        <v>81</v>
      </c>
      <c r="C26" s="1">
        <v>45713</v>
      </c>
      <c r="D26">
        <v>22</v>
      </c>
      <c r="E26" t="str">
        <f t="shared" si="0"/>
        <v>Under25</v>
      </c>
      <c r="F26" t="s">
        <v>82</v>
      </c>
      <c r="G26" t="s">
        <v>27</v>
      </c>
      <c r="H26" t="s">
        <v>20</v>
      </c>
      <c r="I26">
        <v>2</v>
      </c>
      <c r="J26" t="s">
        <v>21</v>
      </c>
      <c r="K26">
        <v>6</v>
      </c>
      <c r="L26" t="str">
        <f t="shared" si="1"/>
        <v>6-12 months</v>
      </c>
      <c r="M26" t="s">
        <v>83</v>
      </c>
      <c r="N26">
        <v>7500</v>
      </c>
      <c r="O26">
        <v>15</v>
      </c>
      <c r="P26">
        <v>112500</v>
      </c>
      <c r="Q26">
        <f t="shared" si="2"/>
        <v>7500</v>
      </c>
      <c r="R26" s="13">
        <v>53.41</v>
      </c>
      <c r="S26" t="s">
        <v>36</v>
      </c>
      <c r="T26">
        <f t="shared" si="3"/>
        <v>0</v>
      </c>
      <c r="U26">
        <v>0</v>
      </c>
      <c r="V26">
        <v>0</v>
      </c>
      <c r="W26">
        <v>0</v>
      </c>
    </row>
    <row r="27" spans="1:23" x14ac:dyDescent="0.35">
      <c r="A27" s="7" t="s">
        <v>84</v>
      </c>
      <c r="B27" t="s">
        <v>85</v>
      </c>
      <c r="C27" s="1">
        <v>45741</v>
      </c>
      <c r="D27">
        <v>70</v>
      </c>
      <c r="E27" t="str">
        <f t="shared" si="0"/>
        <v>55+</v>
      </c>
      <c r="F27" t="s">
        <v>86</v>
      </c>
      <c r="G27" t="s">
        <v>38</v>
      </c>
      <c r="H27" t="s">
        <v>20</v>
      </c>
      <c r="I27">
        <v>2</v>
      </c>
      <c r="J27" t="s">
        <v>21</v>
      </c>
      <c r="K27">
        <v>13</v>
      </c>
      <c r="L27" t="str">
        <f t="shared" si="1"/>
        <v>1-2 years</v>
      </c>
      <c r="M27" t="s">
        <v>39</v>
      </c>
      <c r="N27">
        <v>9000</v>
      </c>
      <c r="O27">
        <v>16</v>
      </c>
      <c r="P27">
        <v>144000</v>
      </c>
      <c r="Q27">
        <f t="shared" si="2"/>
        <v>9000</v>
      </c>
      <c r="R27" s="13">
        <v>10.5</v>
      </c>
      <c r="S27" t="s">
        <v>36</v>
      </c>
      <c r="T27">
        <f t="shared" si="3"/>
        <v>0</v>
      </c>
      <c r="U27">
        <v>0</v>
      </c>
      <c r="V27">
        <v>0</v>
      </c>
      <c r="W27">
        <v>0</v>
      </c>
    </row>
    <row r="28" spans="1:23" x14ac:dyDescent="0.35">
      <c r="A28" s="7" t="s">
        <v>84</v>
      </c>
      <c r="B28" t="s">
        <v>85</v>
      </c>
      <c r="C28" s="1">
        <v>45741</v>
      </c>
      <c r="D28">
        <v>70</v>
      </c>
      <c r="E28" t="str">
        <f t="shared" si="0"/>
        <v>55+</v>
      </c>
      <c r="F28" t="s">
        <v>86</v>
      </c>
      <c r="G28" t="s">
        <v>33</v>
      </c>
      <c r="H28" t="s">
        <v>20</v>
      </c>
      <c r="I28">
        <v>2</v>
      </c>
      <c r="J28" t="s">
        <v>21</v>
      </c>
      <c r="K28">
        <v>13</v>
      </c>
      <c r="L28" t="str">
        <f t="shared" si="1"/>
        <v>1-2 years</v>
      </c>
      <c r="M28" t="s">
        <v>62</v>
      </c>
      <c r="N28">
        <v>30000</v>
      </c>
      <c r="O28">
        <v>17</v>
      </c>
      <c r="P28">
        <v>510000</v>
      </c>
      <c r="Q28">
        <f t="shared" si="2"/>
        <v>30000</v>
      </c>
      <c r="R28" s="13">
        <v>11.85</v>
      </c>
      <c r="S28" t="s">
        <v>36</v>
      </c>
      <c r="T28">
        <f t="shared" si="3"/>
        <v>0</v>
      </c>
      <c r="U28">
        <v>0</v>
      </c>
      <c r="V28">
        <v>0</v>
      </c>
      <c r="W28">
        <v>0</v>
      </c>
    </row>
    <row r="29" spans="1:23" x14ac:dyDescent="0.35">
      <c r="A29" s="7" t="s">
        <v>84</v>
      </c>
      <c r="B29" t="s">
        <v>85</v>
      </c>
      <c r="C29" s="1">
        <v>45741</v>
      </c>
      <c r="D29">
        <v>70</v>
      </c>
      <c r="E29" t="str">
        <f t="shared" si="0"/>
        <v>55+</v>
      </c>
      <c r="F29" t="s">
        <v>86</v>
      </c>
      <c r="G29" t="s">
        <v>19</v>
      </c>
      <c r="H29" t="s">
        <v>20</v>
      </c>
      <c r="I29">
        <v>2</v>
      </c>
      <c r="J29" t="s">
        <v>21</v>
      </c>
      <c r="K29">
        <v>13</v>
      </c>
      <c r="L29" t="str">
        <f t="shared" si="1"/>
        <v>1-2 years</v>
      </c>
      <c r="M29" t="s">
        <v>55</v>
      </c>
      <c r="N29">
        <v>16000</v>
      </c>
      <c r="O29">
        <v>3</v>
      </c>
      <c r="P29">
        <v>48000</v>
      </c>
      <c r="Q29">
        <f t="shared" si="2"/>
        <v>16000</v>
      </c>
      <c r="R29" s="13">
        <v>170.34</v>
      </c>
      <c r="S29" t="s">
        <v>36</v>
      </c>
      <c r="T29">
        <f t="shared" si="3"/>
        <v>0</v>
      </c>
      <c r="U29">
        <v>0</v>
      </c>
      <c r="V29">
        <v>0</v>
      </c>
      <c r="W29">
        <v>0</v>
      </c>
    </row>
    <row r="30" spans="1:23" x14ac:dyDescent="0.35">
      <c r="A30" s="7" t="s">
        <v>87</v>
      </c>
      <c r="B30" t="s">
        <v>88</v>
      </c>
      <c r="C30" s="1">
        <v>45713</v>
      </c>
      <c r="D30">
        <v>46</v>
      </c>
      <c r="E30" t="str">
        <f t="shared" si="0"/>
        <v>45-54</v>
      </c>
      <c r="F30" t="s">
        <v>78</v>
      </c>
      <c r="G30" t="s">
        <v>38</v>
      </c>
      <c r="H30" t="s">
        <v>20</v>
      </c>
      <c r="I30">
        <v>5</v>
      </c>
      <c r="J30" t="s">
        <v>52</v>
      </c>
      <c r="K30">
        <v>57</v>
      </c>
      <c r="L30" t="str">
        <f t="shared" si="1"/>
        <v>2+years</v>
      </c>
      <c r="M30" t="s">
        <v>62</v>
      </c>
      <c r="N30">
        <v>30000</v>
      </c>
      <c r="O30">
        <v>11</v>
      </c>
      <c r="P30">
        <v>330000</v>
      </c>
      <c r="Q30">
        <f t="shared" si="2"/>
        <v>30000</v>
      </c>
      <c r="R30" s="13">
        <v>41.25</v>
      </c>
      <c r="S30" t="s">
        <v>36</v>
      </c>
      <c r="T30">
        <f t="shared" si="3"/>
        <v>0</v>
      </c>
      <c r="U30">
        <v>0</v>
      </c>
      <c r="V30">
        <v>0</v>
      </c>
      <c r="W30">
        <v>0</v>
      </c>
    </row>
    <row r="31" spans="1:23" x14ac:dyDescent="0.35">
      <c r="A31" s="7" t="s">
        <v>87</v>
      </c>
      <c r="B31" t="s">
        <v>88</v>
      </c>
      <c r="C31" s="1">
        <v>45713</v>
      </c>
      <c r="D31">
        <v>46</v>
      </c>
      <c r="E31" t="str">
        <f t="shared" si="0"/>
        <v>45-54</v>
      </c>
      <c r="F31" t="s">
        <v>78</v>
      </c>
      <c r="G31" t="s">
        <v>19</v>
      </c>
      <c r="H31" t="s">
        <v>20</v>
      </c>
      <c r="I31">
        <v>5</v>
      </c>
      <c r="J31" t="s">
        <v>52</v>
      </c>
      <c r="K31">
        <v>57</v>
      </c>
      <c r="L31" t="str">
        <f t="shared" si="1"/>
        <v>2+years</v>
      </c>
      <c r="M31" t="s">
        <v>43</v>
      </c>
      <c r="N31">
        <v>4500</v>
      </c>
      <c r="O31">
        <v>5</v>
      </c>
      <c r="P31">
        <v>22500</v>
      </c>
      <c r="Q31">
        <f t="shared" si="2"/>
        <v>4500</v>
      </c>
      <c r="R31" s="13">
        <v>53.49</v>
      </c>
      <c r="S31" t="s">
        <v>36</v>
      </c>
      <c r="T31">
        <f t="shared" si="3"/>
        <v>0</v>
      </c>
      <c r="U31">
        <v>0</v>
      </c>
      <c r="V31">
        <v>0</v>
      </c>
      <c r="W31">
        <v>0</v>
      </c>
    </row>
    <row r="32" spans="1:23" x14ac:dyDescent="0.35">
      <c r="A32" s="7" t="s">
        <v>87</v>
      </c>
      <c r="B32" t="s">
        <v>88</v>
      </c>
      <c r="C32" s="1">
        <v>45713</v>
      </c>
      <c r="D32">
        <v>46</v>
      </c>
      <c r="E32" t="str">
        <f t="shared" si="0"/>
        <v>45-54</v>
      </c>
      <c r="F32" t="s">
        <v>78</v>
      </c>
      <c r="G32" t="s">
        <v>33</v>
      </c>
      <c r="H32" t="s">
        <v>20</v>
      </c>
      <c r="I32">
        <v>5</v>
      </c>
      <c r="J32" t="s">
        <v>52</v>
      </c>
      <c r="K32">
        <v>57</v>
      </c>
      <c r="L32" t="str">
        <f t="shared" si="1"/>
        <v>2+years</v>
      </c>
      <c r="M32" t="s">
        <v>59</v>
      </c>
      <c r="N32">
        <v>24000</v>
      </c>
      <c r="O32">
        <v>3</v>
      </c>
      <c r="P32">
        <v>72000</v>
      </c>
      <c r="Q32">
        <f t="shared" si="2"/>
        <v>24000</v>
      </c>
      <c r="R32" s="13">
        <v>91.72</v>
      </c>
      <c r="S32" t="s">
        <v>36</v>
      </c>
      <c r="T32">
        <f t="shared" si="3"/>
        <v>0</v>
      </c>
      <c r="U32">
        <v>0</v>
      </c>
      <c r="V32">
        <v>0</v>
      </c>
      <c r="W32">
        <v>0</v>
      </c>
    </row>
    <row r="33" spans="1:23" x14ac:dyDescent="0.35">
      <c r="A33" s="7" t="s">
        <v>89</v>
      </c>
      <c r="B33" t="s">
        <v>90</v>
      </c>
      <c r="C33" s="1">
        <v>45713</v>
      </c>
      <c r="D33">
        <v>74</v>
      </c>
      <c r="E33" t="str">
        <f t="shared" si="0"/>
        <v>55+</v>
      </c>
      <c r="F33" t="s">
        <v>91</v>
      </c>
      <c r="G33" t="s">
        <v>19</v>
      </c>
      <c r="H33" t="s">
        <v>20</v>
      </c>
      <c r="I33">
        <v>5</v>
      </c>
      <c r="J33" t="s">
        <v>52</v>
      </c>
      <c r="K33">
        <v>35</v>
      </c>
      <c r="L33" t="str">
        <f t="shared" si="1"/>
        <v>2+years</v>
      </c>
      <c r="M33" t="s">
        <v>48</v>
      </c>
      <c r="N33">
        <v>9000</v>
      </c>
      <c r="O33">
        <v>15</v>
      </c>
      <c r="P33">
        <v>135000</v>
      </c>
      <c r="Q33">
        <f t="shared" si="2"/>
        <v>9000</v>
      </c>
      <c r="R33" s="13">
        <v>57.35</v>
      </c>
      <c r="S33" t="s">
        <v>23</v>
      </c>
      <c r="T33">
        <f t="shared" si="3"/>
        <v>1</v>
      </c>
      <c r="U33">
        <v>0</v>
      </c>
      <c r="V33">
        <v>0</v>
      </c>
      <c r="W33">
        <v>0</v>
      </c>
    </row>
    <row r="34" spans="1:23" x14ac:dyDescent="0.35">
      <c r="A34" s="7" t="s">
        <v>92</v>
      </c>
      <c r="B34" t="s">
        <v>93</v>
      </c>
      <c r="C34" s="1">
        <v>45741</v>
      </c>
      <c r="D34">
        <v>54</v>
      </c>
      <c r="E34" t="str">
        <f t="shared" si="0"/>
        <v>45-54</v>
      </c>
      <c r="F34" t="s">
        <v>72</v>
      </c>
      <c r="G34" t="s">
        <v>33</v>
      </c>
      <c r="H34" t="s">
        <v>20</v>
      </c>
      <c r="I34">
        <v>1</v>
      </c>
      <c r="J34" t="s">
        <v>34</v>
      </c>
      <c r="K34">
        <v>43</v>
      </c>
      <c r="L34" t="str">
        <f t="shared" si="1"/>
        <v>2+years</v>
      </c>
      <c r="M34" t="s">
        <v>35</v>
      </c>
      <c r="N34">
        <v>20000</v>
      </c>
      <c r="O34">
        <v>18</v>
      </c>
      <c r="P34">
        <v>360000</v>
      </c>
      <c r="Q34">
        <f t="shared" si="2"/>
        <v>20000</v>
      </c>
      <c r="R34" s="13">
        <v>178</v>
      </c>
      <c r="S34" t="s">
        <v>36</v>
      </c>
      <c r="T34">
        <f t="shared" si="3"/>
        <v>0</v>
      </c>
      <c r="U34">
        <v>0</v>
      </c>
      <c r="V34">
        <v>0</v>
      </c>
      <c r="W34">
        <v>0</v>
      </c>
    </row>
    <row r="35" spans="1:23" x14ac:dyDescent="0.35">
      <c r="A35" s="7" t="s">
        <v>94</v>
      </c>
      <c r="B35" t="s">
        <v>95</v>
      </c>
      <c r="C35" s="1">
        <v>45741</v>
      </c>
      <c r="D35">
        <v>50</v>
      </c>
      <c r="E35" t="str">
        <f t="shared" si="0"/>
        <v>45-54</v>
      </c>
      <c r="F35" t="s">
        <v>96</v>
      </c>
      <c r="G35" t="s">
        <v>27</v>
      </c>
      <c r="H35" t="s">
        <v>20</v>
      </c>
      <c r="I35">
        <v>2</v>
      </c>
      <c r="J35" t="s">
        <v>21</v>
      </c>
      <c r="K35">
        <v>46</v>
      </c>
      <c r="L35" t="str">
        <f t="shared" si="1"/>
        <v>2+years</v>
      </c>
      <c r="M35" t="s">
        <v>97</v>
      </c>
      <c r="N35">
        <v>900</v>
      </c>
      <c r="O35">
        <v>14</v>
      </c>
      <c r="P35">
        <v>12600</v>
      </c>
      <c r="Q35">
        <f t="shared" si="2"/>
        <v>900</v>
      </c>
      <c r="R35" s="13">
        <v>18.91</v>
      </c>
      <c r="S35" t="s">
        <v>36</v>
      </c>
      <c r="T35">
        <f t="shared" si="3"/>
        <v>0</v>
      </c>
      <c r="U35">
        <v>0</v>
      </c>
      <c r="V35">
        <v>0</v>
      </c>
      <c r="W35">
        <v>0</v>
      </c>
    </row>
    <row r="36" spans="1:23" x14ac:dyDescent="0.35">
      <c r="A36" s="7" t="s">
        <v>94</v>
      </c>
      <c r="B36" t="s">
        <v>95</v>
      </c>
      <c r="C36" s="1">
        <v>45741</v>
      </c>
      <c r="D36">
        <v>50</v>
      </c>
      <c r="E36" t="str">
        <f t="shared" si="0"/>
        <v>45-54</v>
      </c>
      <c r="F36" t="s">
        <v>96</v>
      </c>
      <c r="G36" t="s">
        <v>19</v>
      </c>
      <c r="H36" t="s">
        <v>20</v>
      </c>
      <c r="I36">
        <v>2</v>
      </c>
      <c r="J36" t="s">
        <v>21</v>
      </c>
      <c r="K36">
        <v>46</v>
      </c>
      <c r="L36" t="str">
        <f t="shared" si="1"/>
        <v>2+years</v>
      </c>
      <c r="M36" t="s">
        <v>48</v>
      </c>
      <c r="N36">
        <v>9000</v>
      </c>
      <c r="O36">
        <v>11</v>
      </c>
      <c r="P36">
        <v>99000</v>
      </c>
      <c r="Q36">
        <f t="shared" si="2"/>
        <v>9000</v>
      </c>
      <c r="R36" s="13">
        <v>9.3000000000000007</v>
      </c>
      <c r="S36" t="s">
        <v>36</v>
      </c>
      <c r="T36">
        <f t="shared" si="3"/>
        <v>0</v>
      </c>
      <c r="U36">
        <v>0</v>
      </c>
      <c r="V36">
        <v>0</v>
      </c>
      <c r="W36">
        <v>0</v>
      </c>
    </row>
    <row r="37" spans="1:23" x14ac:dyDescent="0.35">
      <c r="A37" s="7" t="s">
        <v>98</v>
      </c>
      <c r="B37" t="s">
        <v>99</v>
      </c>
      <c r="C37" s="1">
        <v>45741</v>
      </c>
      <c r="D37">
        <v>49</v>
      </c>
      <c r="E37" t="str">
        <f t="shared" si="0"/>
        <v>45-54</v>
      </c>
      <c r="F37" t="s">
        <v>26</v>
      </c>
      <c r="G37" t="s">
        <v>19</v>
      </c>
      <c r="H37" t="s">
        <v>28</v>
      </c>
      <c r="I37">
        <v>5</v>
      </c>
      <c r="J37" t="s">
        <v>52</v>
      </c>
      <c r="K37">
        <v>36</v>
      </c>
      <c r="L37" t="str">
        <f t="shared" si="1"/>
        <v>2+years</v>
      </c>
      <c r="M37" t="s">
        <v>48</v>
      </c>
      <c r="N37">
        <v>9000</v>
      </c>
      <c r="O37">
        <v>5</v>
      </c>
      <c r="P37">
        <v>45000</v>
      </c>
      <c r="Q37">
        <f t="shared" si="2"/>
        <v>9000</v>
      </c>
      <c r="R37" s="13">
        <v>116.71</v>
      </c>
      <c r="S37" t="s">
        <v>23</v>
      </c>
      <c r="T37">
        <f t="shared" si="3"/>
        <v>1</v>
      </c>
      <c r="U37">
        <v>0</v>
      </c>
      <c r="V37">
        <v>0</v>
      </c>
      <c r="W37">
        <v>0</v>
      </c>
    </row>
    <row r="38" spans="1:23" x14ac:dyDescent="0.35">
      <c r="A38" s="7" t="s">
        <v>98</v>
      </c>
      <c r="B38" t="s">
        <v>99</v>
      </c>
      <c r="C38" s="1">
        <v>45741</v>
      </c>
      <c r="D38">
        <v>49</v>
      </c>
      <c r="E38" t="str">
        <f t="shared" si="0"/>
        <v>45-54</v>
      </c>
      <c r="F38" t="s">
        <v>26</v>
      </c>
      <c r="G38" t="s">
        <v>33</v>
      </c>
      <c r="H38" t="s">
        <v>28</v>
      </c>
      <c r="I38">
        <v>5</v>
      </c>
      <c r="J38" t="s">
        <v>52</v>
      </c>
      <c r="K38">
        <v>36</v>
      </c>
      <c r="L38" t="str">
        <f t="shared" si="1"/>
        <v>2+years</v>
      </c>
      <c r="M38" t="s">
        <v>100</v>
      </c>
      <c r="N38">
        <v>75000</v>
      </c>
      <c r="O38">
        <v>10</v>
      </c>
      <c r="P38">
        <v>750000</v>
      </c>
      <c r="Q38">
        <f t="shared" si="2"/>
        <v>75000</v>
      </c>
      <c r="R38" s="13">
        <v>25.93</v>
      </c>
      <c r="S38" t="s">
        <v>23</v>
      </c>
      <c r="T38">
        <f t="shared" si="3"/>
        <v>1</v>
      </c>
      <c r="U38">
        <v>0</v>
      </c>
      <c r="V38">
        <v>0</v>
      </c>
      <c r="W38">
        <v>0</v>
      </c>
    </row>
    <row r="39" spans="1:23" x14ac:dyDescent="0.35">
      <c r="A39" s="7" t="s">
        <v>98</v>
      </c>
      <c r="B39" t="s">
        <v>99</v>
      </c>
      <c r="C39" s="1">
        <v>45741</v>
      </c>
      <c r="D39">
        <v>49</v>
      </c>
      <c r="E39" t="str">
        <f t="shared" si="0"/>
        <v>45-54</v>
      </c>
      <c r="F39" t="s">
        <v>26</v>
      </c>
      <c r="G39" t="s">
        <v>38</v>
      </c>
      <c r="H39" t="s">
        <v>28</v>
      </c>
      <c r="I39">
        <v>5</v>
      </c>
      <c r="J39" t="s">
        <v>52</v>
      </c>
      <c r="K39">
        <v>36</v>
      </c>
      <c r="L39" t="str">
        <f t="shared" si="1"/>
        <v>2+years</v>
      </c>
      <c r="M39" t="s">
        <v>62</v>
      </c>
      <c r="N39">
        <v>30000</v>
      </c>
      <c r="O39">
        <v>2</v>
      </c>
      <c r="P39">
        <v>60000</v>
      </c>
      <c r="Q39">
        <f t="shared" si="2"/>
        <v>30000</v>
      </c>
      <c r="R39" s="13">
        <v>179.85</v>
      </c>
      <c r="S39" t="s">
        <v>23</v>
      </c>
      <c r="T39">
        <f t="shared" si="3"/>
        <v>1</v>
      </c>
      <c r="U39">
        <v>0</v>
      </c>
      <c r="V39">
        <v>0</v>
      </c>
      <c r="W39">
        <v>0</v>
      </c>
    </row>
    <row r="40" spans="1:23" x14ac:dyDescent="0.35">
      <c r="A40" s="7" t="s">
        <v>101</v>
      </c>
      <c r="B40" t="s">
        <v>102</v>
      </c>
      <c r="C40" s="1">
        <v>45741</v>
      </c>
      <c r="D40">
        <v>42</v>
      </c>
      <c r="E40" t="str">
        <f t="shared" si="0"/>
        <v>35-44</v>
      </c>
      <c r="F40" t="s">
        <v>67</v>
      </c>
      <c r="G40" t="s">
        <v>27</v>
      </c>
      <c r="H40" t="s">
        <v>20</v>
      </c>
      <c r="I40">
        <v>5</v>
      </c>
      <c r="J40" t="s">
        <v>52</v>
      </c>
      <c r="K40">
        <v>23</v>
      </c>
      <c r="L40" t="str">
        <f t="shared" si="1"/>
        <v>1-2 years</v>
      </c>
      <c r="M40" t="s">
        <v>43</v>
      </c>
      <c r="N40">
        <v>4500</v>
      </c>
      <c r="O40">
        <v>1</v>
      </c>
      <c r="P40">
        <v>4500</v>
      </c>
      <c r="Q40">
        <f t="shared" si="2"/>
        <v>4500</v>
      </c>
      <c r="R40" s="13">
        <v>176.34</v>
      </c>
      <c r="S40" t="s">
        <v>36</v>
      </c>
      <c r="T40">
        <f t="shared" si="3"/>
        <v>0</v>
      </c>
      <c r="U40">
        <v>0</v>
      </c>
      <c r="V40">
        <v>0</v>
      </c>
      <c r="W40">
        <v>0</v>
      </c>
    </row>
    <row r="41" spans="1:23" x14ac:dyDescent="0.35">
      <c r="A41" s="7" t="s">
        <v>103</v>
      </c>
      <c r="B41" t="s">
        <v>104</v>
      </c>
      <c r="C41" s="1">
        <v>45713</v>
      </c>
      <c r="D41">
        <v>58</v>
      </c>
      <c r="E41" t="str">
        <f t="shared" si="0"/>
        <v>55+</v>
      </c>
      <c r="F41" t="s">
        <v>105</v>
      </c>
      <c r="G41" t="s">
        <v>27</v>
      </c>
      <c r="H41" t="s">
        <v>20</v>
      </c>
      <c r="I41">
        <v>1</v>
      </c>
      <c r="J41" t="s">
        <v>34</v>
      </c>
      <c r="K41">
        <v>18</v>
      </c>
      <c r="L41" t="str">
        <f t="shared" si="1"/>
        <v>1-2 years</v>
      </c>
      <c r="M41" t="s">
        <v>69</v>
      </c>
      <c r="N41">
        <v>350</v>
      </c>
      <c r="O41">
        <v>15</v>
      </c>
      <c r="P41">
        <v>5250</v>
      </c>
      <c r="Q41">
        <f t="shared" si="2"/>
        <v>350</v>
      </c>
      <c r="R41" s="13">
        <v>40.31</v>
      </c>
      <c r="S41" t="s">
        <v>36</v>
      </c>
      <c r="T41">
        <f t="shared" si="3"/>
        <v>0</v>
      </c>
      <c r="U41">
        <v>0</v>
      </c>
      <c r="V41">
        <v>0</v>
      </c>
      <c r="W41">
        <v>0</v>
      </c>
    </row>
    <row r="42" spans="1:23" x14ac:dyDescent="0.35">
      <c r="A42" s="7" t="s">
        <v>106</v>
      </c>
      <c r="B42" t="s">
        <v>107</v>
      </c>
      <c r="C42" s="1">
        <v>45713</v>
      </c>
      <c r="D42">
        <v>55</v>
      </c>
      <c r="E42" t="str">
        <f t="shared" si="0"/>
        <v>55+</v>
      </c>
      <c r="F42" t="s">
        <v>108</v>
      </c>
      <c r="G42" t="s">
        <v>33</v>
      </c>
      <c r="H42" t="s">
        <v>20</v>
      </c>
      <c r="I42">
        <v>4</v>
      </c>
      <c r="J42" t="s">
        <v>109</v>
      </c>
      <c r="K42">
        <v>2</v>
      </c>
      <c r="L42" t="str">
        <f t="shared" si="1"/>
        <v>0-5 months</v>
      </c>
      <c r="M42" t="s">
        <v>110</v>
      </c>
      <c r="N42">
        <v>25000</v>
      </c>
      <c r="O42">
        <v>13</v>
      </c>
      <c r="P42">
        <v>325000</v>
      </c>
      <c r="Q42">
        <f t="shared" si="2"/>
        <v>25000</v>
      </c>
      <c r="R42" s="13">
        <v>128.47999999999999</v>
      </c>
      <c r="S42" t="s">
        <v>36</v>
      </c>
      <c r="T42">
        <f t="shared" si="3"/>
        <v>0</v>
      </c>
      <c r="U42">
        <v>0</v>
      </c>
      <c r="V42">
        <v>0</v>
      </c>
      <c r="W42">
        <v>0</v>
      </c>
    </row>
    <row r="43" spans="1:23" x14ac:dyDescent="0.35">
      <c r="A43" s="7" t="s">
        <v>111</v>
      </c>
      <c r="B43" t="s">
        <v>112</v>
      </c>
      <c r="C43" s="1">
        <v>45741</v>
      </c>
      <c r="D43">
        <v>58</v>
      </c>
      <c r="E43" t="str">
        <f t="shared" si="0"/>
        <v>55+</v>
      </c>
      <c r="F43" t="s">
        <v>113</v>
      </c>
      <c r="G43" t="s">
        <v>38</v>
      </c>
      <c r="H43" t="s">
        <v>20</v>
      </c>
      <c r="I43">
        <v>2</v>
      </c>
      <c r="J43" t="s">
        <v>21</v>
      </c>
      <c r="K43">
        <v>57</v>
      </c>
      <c r="L43" t="str">
        <f t="shared" si="1"/>
        <v>2+years</v>
      </c>
      <c r="M43" t="s">
        <v>59</v>
      </c>
      <c r="N43">
        <v>24000</v>
      </c>
      <c r="O43">
        <v>11</v>
      </c>
      <c r="P43">
        <v>264000</v>
      </c>
      <c r="Q43">
        <f t="shared" si="2"/>
        <v>24000</v>
      </c>
      <c r="R43" s="13">
        <v>87.2</v>
      </c>
      <c r="S43" t="s">
        <v>36</v>
      </c>
      <c r="T43">
        <f t="shared" si="3"/>
        <v>0</v>
      </c>
      <c r="U43">
        <v>0</v>
      </c>
      <c r="V43">
        <v>0</v>
      </c>
      <c r="W43">
        <v>0</v>
      </c>
    </row>
    <row r="44" spans="1:23" x14ac:dyDescent="0.35">
      <c r="A44" s="7" t="s">
        <v>111</v>
      </c>
      <c r="B44" t="s">
        <v>112</v>
      </c>
      <c r="C44" s="1">
        <v>45741</v>
      </c>
      <c r="D44">
        <v>58</v>
      </c>
      <c r="E44" t="str">
        <f t="shared" si="0"/>
        <v>55+</v>
      </c>
      <c r="F44" t="s">
        <v>113</v>
      </c>
      <c r="G44" t="s">
        <v>27</v>
      </c>
      <c r="H44" t="s">
        <v>20</v>
      </c>
      <c r="I44">
        <v>2</v>
      </c>
      <c r="J44" t="s">
        <v>21</v>
      </c>
      <c r="K44">
        <v>57</v>
      </c>
      <c r="L44" t="str">
        <f t="shared" si="1"/>
        <v>2+years</v>
      </c>
      <c r="M44" t="s">
        <v>83</v>
      </c>
      <c r="N44">
        <v>7500</v>
      </c>
      <c r="O44">
        <v>17</v>
      </c>
      <c r="P44">
        <v>127500</v>
      </c>
      <c r="Q44">
        <f t="shared" si="2"/>
        <v>7500</v>
      </c>
      <c r="R44" s="13">
        <v>121.44</v>
      </c>
      <c r="S44" t="s">
        <v>36</v>
      </c>
      <c r="T44">
        <f t="shared" si="3"/>
        <v>0</v>
      </c>
      <c r="U44">
        <v>0</v>
      </c>
      <c r="V44">
        <v>0</v>
      </c>
      <c r="W44">
        <v>0</v>
      </c>
    </row>
    <row r="45" spans="1:23" x14ac:dyDescent="0.35">
      <c r="A45" s="7" t="s">
        <v>114</v>
      </c>
      <c r="B45" t="s">
        <v>115</v>
      </c>
      <c r="C45" s="1">
        <v>45741</v>
      </c>
      <c r="D45">
        <v>65</v>
      </c>
      <c r="E45" t="str">
        <f t="shared" si="0"/>
        <v>55+</v>
      </c>
      <c r="F45" t="s">
        <v>116</v>
      </c>
      <c r="G45" t="s">
        <v>19</v>
      </c>
      <c r="H45" t="s">
        <v>28</v>
      </c>
      <c r="I45">
        <v>1</v>
      </c>
      <c r="J45" t="s">
        <v>34</v>
      </c>
      <c r="K45">
        <v>3</v>
      </c>
      <c r="L45" t="str">
        <f t="shared" si="1"/>
        <v>0-5 months</v>
      </c>
      <c r="M45" t="s">
        <v>55</v>
      </c>
      <c r="N45">
        <v>16000</v>
      </c>
      <c r="O45">
        <v>11</v>
      </c>
      <c r="P45">
        <v>176000</v>
      </c>
      <c r="Q45">
        <f t="shared" si="2"/>
        <v>16000</v>
      </c>
      <c r="R45" s="13">
        <v>189.8</v>
      </c>
      <c r="S45" t="s">
        <v>36</v>
      </c>
      <c r="T45">
        <f t="shared" si="3"/>
        <v>0</v>
      </c>
      <c r="U45">
        <v>0</v>
      </c>
      <c r="V45">
        <v>0</v>
      </c>
      <c r="W45">
        <v>0</v>
      </c>
    </row>
    <row r="46" spans="1:23" x14ac:dyDescent="0.35">
      <c r="A46" s="7" t="s">
        <v>114</v>
      </c>
      <c r="B46" t="s">
        <v>115</v>
      </c>
      <c r="C46" s="1">
        <v>45741</v>
      </c>
      <c r="D46">
        <v>65</v>
      </c>
      <c r="E46" t="str">
        <f t="shared" si="0"/>
        <v>55+</v>
      </c>
      <c r="F46" t="s">
        <v>116</v>
      </c>
      <c r="G46" t="s">
        <v>27</v>
      </c>
      <c r="H46" t="s">
        <v>28</v>
      </c>
      <c r="I46">
        <v>1</v>
      </c>
      <c r="J46" t="s">
        <v>34</v>
      </c>
      <c r="K46">
        <v>3</v>
      </c>
      <c r="L46" t="str">
        <f t="shared" si="1"/>
        <v>0-5 months</v>
      </c>
      <c r="M46" t="s">
        <v>53</v>
      </c>
      <c r="N46">
        <v>3500</v>
      </c>
      <c r="O46">
        <v>4</v>
      </c>
      <c r="P46">
        <v>14000</v>
      </c>
      <c r="Q46">
        <f t="shared" si="2"/>
        <v>3500</v>
      </c>
      <c r="R46" s="13">
        <v>132.85</v>
      </c>
      <c r="S46" t="s">
        <v>36</v>
      </c>
      <c r="T46">
        <f t="shared" si="3"/>
        <v>0</v>
      </c>
      <c r="U46">
        <v>0</v>
      </c>
      <c r="V46">
        <v>0</v>
      </c>
      <c r="W46">
        <v>0</v>
      </c>
    </row>
    <row r="47" spans="1:23" x14ac:dyDescent="0.35">
      <c r="A47" s="7" t="s">
        <v>114</v>
      </c>
      <c r="B47" t="s">
        <v>115</v>
      </c>
      <c r="C47" s="1">
        <v>45741</v>
      </c>
      <c r="D47">
        <v>65</v>
      </c>
      <c r="E47" t="str">
        <f t="shared" si="0"/>
        <v>55+</v>
      </c>
      <c r="F47" t="s">
        <v>116</v>
      </c>
      <c r="G47" t="s">
        <v>33</v>
      </c>
      <c r="H47" t="s">
        <v>28</v>
      </c>
      <c r="I47">
        <v>1</v>
      </c>
      <c r="J47" t="s">
        <v>34</v>
      </c>
      <c r="K47">
        <v>3</v>
      </c>
      <c r="L47" t="str">
        <f t="shared" si="1"/>
        <v>0-5 months</v>
      </c>
      <c r="M47" t="s">
        <v>59</v>
      </c>
      <c r="N47">
        <v>24000</v>
      </c>
      <c r="O47">
        <v>14</v>
      </c>
      <c r="P47">
        <v>336000</v>
      </c>
      <c r="Q47">
        <f t="shared" si="2"/>
        <v>24000</v>
      </c>
      <c r="R47" s="13">
        <v>101.67</v>
      </c>
      <c r="S47" t="s">
        <v>36</v>
      </c>
      <c r="T47">
        <f t="shared" si="3"/>
        <v>0</v>
      </c>
      <c r="U47">
        <v>0</v>
      </c>
      <c r="V47">
        <v>0</v>
      </c>
      <c r="W47">
        <v>0</v>
      </c>
    </row>
    <row r="48" spans="1:23" x14ac:dyDescent="0.35">
      <c r="A48" s="7" t="s">
        <v>117</v>
      </c>
      <c r="B48" t="s">
        <v>118</v>
      </c>
      <c r="C48" s="1">
        <v>45741</v>
      </c>
      <c r="D48">
        <v>67</v>
      </c>
      <c r="E48" t="str">
        <f t="shared" si="0"/>
        <v>55+</v>
      </c>
      <c r="F48" t="s">
        <v>96</v>
      </c>
      <c r="G48" t="s">
        <v>33</v>
      </c>
      <c r="H48" t="s">
        <v>20</v>
      </c>
      <c r="I48">
        <v>4</v>
      </c>
      <c r="J48" t="s">
        <v>109</v>
      </c>
      <c r="K48">
        <v>13</v>
      </c>
      <c r="L48" t="str">
        <f t="shared" si="1"/>
        <v>1-2 years</v>
      </c>
      <c r="M48" t="s">
        <v>100</v>
      </c>
      <c r="N48">
        <v>75000</v>
      </c>
      <c r="O48">
        <v>1</v>
      </c>
      <c r="P48">
        <v>75000</v>
      </c>
      <c r="Q48">
        <f t="shared" si="2"/>
        <v>75000</v>
      </c>
      <c r="R48" s="13">
        <v>109.81</v>
      </c>
      <c r="S48" t="s">
        <v>36</v>
      </c>
      <c r="T48">
        <f t="shared" si="3"/>
        <v>0</v>
      </c>
      <c r="U48">
        <v>0</v>
      </c>
      <c r="V48">
        <v>0</v>
      </c>
      <c r="W48">
        <v>0</v>
      </c>
    </row>
    <row r="49" spans="1:23" x14ac:dyDescent="0.35">
      <c r="A49" s="7" t="s">
        <v>119</v>
      </c>
      <c r="B49" t="s">
        <v>120</v>
      </c>
      <c r="C49" s="1">
        <v>45741</v>
      </c>
      <c r="D49">
        <v>52</v>
      </c>
      <c r="E49" t="str">
        <f t="shared" si="0"/>
        <v>45-54</v>
      </c>
      <c r="F49" t="s">
        <v>75</v>
      </c>
      <c r="G49" t="s">
        <v>19</v>
      </c>
      <c r="H49" t="s">
        <v>28</v>
      </c>
      <c r="I49">
        <v>4</v>
      </c>
      <c r="J49" t="s">
        <v>109</v>
      </c>
      <c r="K49">
        <v>51</v>
      </c>
      <c r="L49" t="str">
        <f t="shared" si="1"/>
        <v>2+years</v>
      </c>
      <c r="M49" t="s">
        <v>43</v>
      </c>
      <c r="N49">
        <v>4500</v>
      </c>
      <c r="O49">
        <v>10</v>
      </c>
      <c r="P49">
        <v>45000</v>
      </c>
      <c r="Q49">
        <f t="shared" si="2"/>
        <v>4500</v>
      </c>
      <c r="R49" s="13">
        <v>131.94</v>
      </c>
      <c r="S49" t="s">
        <v>36</v>
      </c>
      <c r="T49">
        <f t="shared" si="3"/>
        <v>0</v>
      </c>
      <c r="U49">
        <v>0</v>
      </c>
      <c r="V49">
        <v>0</v>
      </c>
      <c r="W49">
        <v>0</v>
      </c>
    </row>
    <row r="50" spans="1:23" x14ac:dyDescent="0.35">
      <c r="A50" s="7" t="s">
        <v>119</v>
      </c>
      <c r="B50" t="s">
        <v>120</v>
      </c>
      <c r="C50" s="1">
        <v>45741</v>
      </c>
      <c r="D50">
        <v>52</v>
      </c>
      <c r="E50" t="str">
        <f t="shared" si="0"/>
        <v>45-54</v>
      </c>
      <c r="F50" t="s">
        <v>75</v>
      </c>
      <c r="G50" t="s">
        <v>33</v>
      </c>
      <c r="H50" t="s">
        <v>28</v>
      </c>
      <c r="I50">
        <v>4</v>
      </c>
      <c r="J50" t="s">
        <v>109</v>
      </c>
      <c r="K50">
        <v>51</v>
      </c>
      <c r="L50" t="str">
        <f t="shared" si="1"/>
        <v>2+years</v>
      </c>
      <c r="M50" t="s">
        <v>110</v>
      </c>
      <c r="N50">
        <v>25000</v>
      </c>
      <c r="O50">
        <v>8</v>
      </c>
      <c r="P50">
        <v>200000</v>
      </c>
      <c r="Q50">
        <f t="shared" si="2"/>
        <v>25000</v>
      </c>
      <c r="R50" s="13">
        <v>19.13</v>
      </c>
      <c r="S50" t="s">
        <v>36</v>
      </c>
      <c r="T50">
        <f t="shared" si="3"/>
        <v>0</v>
      </c>
      <c r="U50">
        <v>0</v>
      </c>
      <c r="V50">
        <v>0</v>
      </c>
      <c r="W50">
        <v>0</v>
      </c>
    </row>
    <row r="51" spans="1:23" x14ac:dyDescent="0.35">
      <c r="A51" s="7" t="s">
        <v>119</v>
      </c>
      <c r="B51" t="s">
        <v>120</v>
      </c>
      <c r="C51" s="1">
        <v>45741</v>
      </c>
      <c r="D51">
        <v>52</v>
      </c>
      <c r="E51" t="str">
        <f t="shared" si="0"/>
        <v>45-54</v>
      </c>
      <c r="F51" t="s">
        <v>75</v>
      </c>
      <c r="G51" t="s">
        <v>27</v>
      </c>
      <c r="H51" t="s">
        <v>28</v>
      </c>
      <c r="I51">
        <v>4</v>
      </c>
      <c r="J51" t="s">
        <v>109</v>
      </c>
      <c r="K51">
        <v>51</v>
      </c>
      <c r="L51" t="str">
        <f t="shared" si="1"/>
        <v>2+years</v>
      </c>
      <c r="M51" t="s">
        <v>37</v>
      </c>
      <c r="N51">
        <v>500</v>
      </c>
      <c r="O51">
        <v>7</v>
      </c>
      <c r="P51">
        <v>3500</v>
      </c>
      <c r="Q51">
        <f t="shared" si="2"/>
        <v>500</v>
      </c>
      <c r="R51" s="13">
        <v>45.32</v>
      </c>
      <c r="S51" t="s">
        <v>36</v>
      </c>
      <c r="T51">
        <f t="shared" si="3"/>
        <v>0</v>
      </c>
      <c r="U51">
        <v>0</v>
      </c>
      <c r="V51">
        <v>0</v>
      </c>
      <c r="W51">
        <v>0</v>
      </c>
    </row>
    <row r="52" spans="1:23" x14ac:dyDescent="0.35">
      <c r="A52" s="7" t="s">
        <v>121</v>
      </c>
      <c r="B52" t="s">
        <v>122</v>
      </c>
      <c r="C52" s="1">
        <v>45682</v>
      </c>
      <c r="D52">
        <v>19</v>
      </c>
      <c r="E52" t="str">
        <f t="shared" si="0"/>
        <v>Under25</v>
      </c>
      <c r="F52" t="s">
        <v>123</v>
      </c>
      <c r="G52" t="s">
        <v>27</v>
      </c>
      <c r="H52" t="s">
        <v>20</v>
      </c>
      <c r="I52">
        <v>4</v>
      </c>
      <c r="J52" t="s">
        <v>109</v>
      </c>
      <c r="K52">
        <v>31</v>
      </c>
      <c r="L52" t="str">
        <f t="shared" si="1"/>
        <v>2+years</v>
      </c>
      <c r="M52" t="s">
        <v>43</v>
      </c>
      <c r="N52">
        <v>4500</v>
      </c>
      <c r="O52">
        <v>5</v>
      </c>
      <c r="P52">
        <v>22500</v>
      </c>
      <c r="Q52">
        <f t="shared" si="2"/>
        <v>4500</v>
      </c>
      <c r="R52" s="13">
        <v>80.23</v>
      </c>
      <c r="S52" t="s">
        <v>36</v>
      </c>
      <c r="T52">
        <f t="shared" si="3"/>
        <v>0</v>
      </c>
      <c r="U52">
        <v>0</v>
      </c>
      <c r="V52">
        <v>0</v>
      </c>
      <c r="W52">
        <v>0</v>
      </c>
    </row>
    <row r="53" spans="1:23" x14ac:dyDescent="0.35">
      <c r="A53" s="7" t="s">
        <v>121</v>
      </c>
      <c r="B53" t="s">
        <v>122</v>
      </c>
      <c r="C53" s="1">
        <v>45682</v>
      </c>
      <c r="D53">
        <v>19</v>
      </c>
      <c r="E53" t="str">
        <f t="shared" si="0"/>
        <v>Under25</v>
      </c>
      <c r="F53" t="s">
        <v>123</v>
      </c>
      <c r="G53" t="s">
        <v>27</v>
      </c>
      <c r="H53" t="s">
        <v>20</v>
      </c>
      <c r="I53">
        <v>4</v>
      </c>
      <c r="J53" t="s">
        <v>109</v>
      </c>
      <c r="K53">
        <v>31</v>
      </c>
      <c r="L53" t="str">
        <f t="shared" si="1"/>
        <v>2+years</v>
      </c>
      <c r="M53" t="s">
        <v>97</v>
      </c>
      <c r="N53">
        <v>900</v>
      </c>
      <c r="O53">
        <v>4</v>
      </c>
      <c r="P53">
        <v>3600</v>
      </c>
      <c r="Q53">
        <f t="shared" si="2"/>
        <v>900</v>
      </c>
      <c r="R53" s="13">
        <v>178.59</v>
      </c>
      <c r="S53" t="s">
        <v>36</v>
      </c>
      <c r="T53">
        <f t="shared" si="3"/>
        <v>0</v>
      </c>
      <c r="U53">
        <v>0</v>
      </c>
      <c r="V53">
        <v>0</v>
      </c>
      <c r="W53">
        <v>0</v>
      </c>
    </row>
    <row r="54" spans="1:23" x14ac:dyDescent="0.35">
      <c r="A54" s="7" t="s">
        <v>124</v>
      </c>
      <c r="B54" t="s">
        <v>125</v>
      </c>
      <c r="C54" s="1">
        <v>45713</v>
      </c>
      <c r="D54">
        <v>44</v>
      </c>
      <c r="E54" t="str">
        <f t="shared" si="0"/>
        <v>35-44</v>
      </c>
      <c r="F54" t="s">
        <v>126</v>
      </c>
      <c r="G54" t="s">
        <v>33</v>
      </c>
      <c r="H54" t="s">
        <v>28</v>
      </c>
      <c r="I54">
        <v>1</v>
      </c>
      <c r="J54" t="s">
        <v>34</v>
      </c>
      <c r="K54">
        <v>4</v>
      </c>
      <c r="L54" t="str">
        <f t="shared" si="1"/>
        <v>0-5 months</v>
      </c>
      <c r="M54" t="s">
        <v>100</v>
      </c>
      <c r="N54">
        <v>75000</v>
      </c>
      <c r="O54">
        <v>18</v>
      </c>
      <c r="P54">
        <v>1350000</v>
      </c>
      <c r="Q54">
        <f t="shared" si="2"/>
        <v>75000</v>
      </c>
      <c r="R54" s="13">
        <v>166.2</v>
      </c>
      <c r="S54" t="s">
        <v>36</v>
      </c>
      <c r="T54">
        <f t="shared" si="3"/>
        <v>0</v>
      </c>
      <c r="U54">
        <v>0</v>
      </c>
      <c r="V54">
        <v>0</v>
      </c>
      <c r="W54">
        <v>0</v>
      </c>
    </row>
    <row r="55" spans="1:23" x14ac:dyDescent="0.35">
      <c r="A55" s="7" t="s">
        <v>124</v>
      </c>
      <c r="B55" t="s">
        <v>125</v>
      </c>
      <c r="C55" s="1">
        <v>45713</v>
      </c>
      <c r="D55">
        <v>44</v>
      </c>
      <c r="E55" t="str">
        <f t="shared" si="0"/>
        <v>35-44</v>
      </c>
      <c r="F55" t="s">
        <v>126</v>
      </c>
      <c r="G55" t="s">
        <v>19</v>
      </c>
      <c r="H55" t="s">
        <v>28</v>
      </c>
      <c r="I55">
        <v>1</v>
      </c>
      <c r="J55" t="s">
        <v>34</v>
      </c>
      <c r="K55">
        <v>4</v>
      </c>
      <c r="L55" t="str">
        <f t="shared" si="1"/>
        <v>0-5 months</v>
      </c>
      <c r="M55" t="s">
        <v>22</v>
      </c>
      <c r="N55">
        <v>35000</v>
      </c>
      <c r="O55">
        <v>16</v>
      </c>
      <c r="P55">
        <v>560000</v>
      </c>
      <c r="Q55">
        <f t="shared" si="2"/>
        <v>35000</v>
      </c>
      <c r="R55" s="13">
        <v>179.49</v>
      </c>
      <c r="S55" t="s">
        <v>36</v>
      </c>
      <c r="T55">
        <f t="shared" si="3"/>
        <v>0</v>
      </c>
      <c r="U55">
        <v>0</v>
      </c>
      <c r="V55">
        <v>0</v>
      </c>
      <c r="W55">
        <v>0</v>
      </c>
    </row>
    <row r="56" spans="1:23" x14ac:dyDescent="0.35">
      <c r="A56" s="7" t="s">
        <v>127</v>
      </c>
      <c r="B56" t="s">
        <v>128</v>
      </c>
      <c r="C56" s="1">
        <v>45741</v>
      </c>
      <c r="D56">
        <v>49</v>
      </c>
      <c r="E56" t="str">
        <f t="shared" si="0"/>
        <v>45-54</v>
      </c>
      <c r="F56" t="s">
        <v>67</v>
      </c>
      <c r="G56" t="s">
        <v>33</v>
      </c>
      <c r="H56" t="s">
        <v>28</v>
      </c>
      <c r="I56">
        <v>2</v>
      </c>
      <c r="J56" t="s">
        <v>21</v>
      </c>
      <c r="K56">
        <v>50</v>
      </c>
      <c r="L56" t="str">
        <f t="shared" si="1"/>
        <v>2+years</v>
      </c>
      <c r="M56" t="s">
        <v>110</v>
      </c>
      <c r="N56">
        <v>25000</v>
      </c>
      <c r="O56">
        <v>18</v>
      </c>
      <c r="P56">
        <v>450000</v>
      </c>
      <c r="Q56">
        <f t="shared" si="2"/>
        <v>25000</v>
      </c>
      <c r="R56" s="13">
        <v>64.28</v>
      </c>
      <c r="S56" t="s">
        <v>23</v>
      </c>
      <c r="T56">
        <f t="shared" si="3"/>
        <v>1</v>
      </c>
      <c r="U56">
        <v>0</v>
      </c>
      <c r="V56">
        <v>0</v>
      </c>
      <c r="W56">
        <v>0</v>
      </c>
    </row>
    <row r="57" spans="1:23" x14ac:dyDescent="0.35">
      <c r="A57" s="7" t="s">
        <v>127</v>
      </c>
      <c r="B57" t="s">
        <v>128</v>
      </c>
      <c r="C57" s="1">
        <v>45741</v>
      </c>
      <c r="D57">
        <v>49</v>
      </c>
      <c r="E57" t="str">
        <f t="shared" si="0"/>
        <v>45-54</v>
      </c>
      <c r="F57" t="s">
        <v>67</v>
      </c>
      <c r="G57" t="s">
        <v>38</v>
      </c>
      <c r="H57" t="s">
        <v>28</v>
      </c>
      <c r="I57">
        <v>2</v>
      </c>
      <c r="J57" t="s">
        <v>21</v>
      </c>
      <c r="K57">
        <v>50</v>
      </c>
      <c r="L57" t="str">
        <f t="shared" si="1"/>
        <v>2+years</v>
      </c>
      <c r="M57" t="s">
        <v>39</v>
      </c>
      <c r="N57">
        <v>9000</v>
      </c>
      <c r="O57">
        <v>8</v>
      </c>
      <c r="P57">
        <v>72000</v>
      </c>
      <c r="Q57">
        <f t="shared" si="2"/>
        <v>9000</v>
      </c>
      <c r="R57" s="13">
        <v>28.11</v>
      </c>
      <c r="S57" t="s">
        <v>23</v>
      </c>
      <c r="T57">
        <f t="shared" si="3"/>
        <v>1</v>
      </c>
      <c r="U57">
        <v>0</v>
      </c>
      <c r="V57">
        <v>0</v>
      </c>
      <c r="W57">
        <v>0</v>
      </c>
    </row>
    <row r="58" spans="1:23" x14ac:dyDescent="0.35">
      <c r="A58" s="7" t="s">
        <v>127</v>
      </c>
      <c r="B58" t="s">
        <v>128</v>
      </c>
      <c r="C58" s="1">
        <v>45741</v>
      </c>
      <c r="D58">
        <v>49</v>
      </c>
      <c r="E58" t="str">
        <f t="shared" si="0"/>
        <v>45-54</v>
      </c>
      <c r="F58" t="s">
        <v>67</v>
      </c>
      <c r="G58" t="s">
        <v>19</v>
      </c>
      <c r="H58" t="s">
        <v>28</v>
      </c>
      <c r="I58">
        <v>2</v>
      </c>
      <c r="J58" t="s">
        <v>21</v>
      </c>
      <c r="K58">
        <v>50</v>
      </c>
      <c r="L58" t="str">
        <f t="shared" si="1"/>
        <v>2+years</v>
      </c>
      <c r="M58" t="s">
        <v>22</v>
      </c>
      <c r="N58">
        <v>35000</v>
      </c>
      <c r="O58">
        <v>7</v>
      </c>
      <c r="P58">
        <v>245000</v>
      </c>
      <c r="Q58">
        <f t="shared" si="2"/>
        <v>35000</v>
      </c>
      <c r="R58" s="13">
        <v>138.94</v>
      </c>
      <c r="S58" t="s">
        <v>23</v>
      </c>
      <c r="T58">
        <f t="shared" si="3"/>
        <v>1</v>
      </c>
      <c r="U58">
        <v>0</v>
      </c>
      <c r="V58">
        <v>0</v>
      </c>
      <c r="W58">
        <v>0</v>
      </c>
    </row>
    <row r="59" spans="1:23" x14ac:dyDescent="0.35">
      <c r="A59" s="7" t="s">
        <v>129</v>
      </c>
      <c r="B59" t="s">
        <v>130</v>
      </c>
      <c r="C59" s="1">
        <v>45741</v>
      </c>
      <c r="D59">
        <v>69</v>
      </c>
      <c r="E59" t="str">
        <f t="shared" si="0"/>
        <v>55+</v>
      </c>
      <c r="F59" t="s">
        <v>105</v>
      </c>
      <c r="G59" t="s">
        <v>27</v>
      </c>
      <c r="H59" t="s">
        <v>28</v>
      </c>
      <c r="I59">
        <v>4</v>
      </c>
      <c r="J59" t="s">
        <v>109</v>
      </c>
      <c r="K59">
        <v>35</v>
      </c>
      <c r="L59" t="str">
        <f t="shared" si="1"/>
        <v>2+years</v>
      </c>
      <c r="M59" t="s">
        <v>97</v>
      </c>
      <c r="N59">
        <v>900</v>
      </c>
      <c r="O59">
        <v>19</v>
      </c>
      <c r="P59">
        <v>17100</v>
      </c>
      <c r="Q59">
        <f t="shared" si="2"/>
        <v>900</v>
      </c>
      <c r="R59" s="13">
        <v>171.42</v>
      </c>
      <c r="S59" t="s">
        <v>23</v>
      </c>
      <c r="T59">
        <f t="shared" si="3"/>
        <v>1</v>
      </c>
      <c r="U59">
        <v>0</v>
      </c>
      <c r="V59">
        <v>0</v>
      </c>
      <c r="W59">
        <v>0</v>
      </c>
    </row>
    <row r="60" spans="1:23" x14ac:dyDescent="0.35">
      <c r="A60" s="7" t="s">
        <v>129</v>
      </c>
      <c r="B60" t="s">
        <v>130</v>
      </c>
      <c r="C60" s="1">
        <v>45713</v>
      </c>
      <c r="D60">
        <v>69</v>
      </c>
      <c r="E60" t="str">
        <f t="shared" si="0"/>
        <v>55+</v>
      </c>
      <c r="F60" t="s">
        <v>105</v>
      </c>
      <c r="G60" t="s">
        <v>33</v>
      </c>
      <c r="H60" t="s">
        <v>28</v>
      </c>
      <c r="I60">
        <v>4</v>
      </c>
      <c r="J60" t="s">
        <v>109</v>
      </c>
      <c r="K60">
        <v>35</v>
      </c>
      <c r="L60" t="str">
        <f t="shared" si="1"/>
        <v>2+years</v>
      </c>
      <c r="M60" t="s">
        <v>100</v>
      </c>
      <c r="N60">
        <v>75000</v>
      </c>
      <c r="O60">
        <v>12</v>
      </c>
      <c r="P60">
        <v>900000</v>
      </c>
      <c r="Q60">
        <f t="shared" si="2"/>
        <v>75000</v>
      </c>
      <c r="R60" s="13">
        <v>95.66</v>
      </c>
      <c r="S60" t="s">
        <v>23</v>
      </c>
      <c r="T60">
        <f t="shared" si="3"/>
        <v>1</v>
      </c>
      <c r="U60">
        <v>0</v>
      </c>
      <c r="V60">
        <v>0</v>
      </c>
      <c r="W60">
        <v>0</v>
      </c>
    </row>
    <row r="61" spans="1:23" x14ac:dyDescent="0.35">
      <c r="A61" s="7" t="s">
        <v>131</v>
      </c>
      <c r="B61" t="s">
        <v>132</v>
      </c>
      <c r="C61" s="1">
        <v>45713</v>
      </c>
      <c r="D61">
        <v>65</v>
      </c>
      <c r="E61" t="str">
        <f t="shared" si="0"/>
        <v>55+</v>
      </c>
      <c r="F61" t="s">
        <v>105</v>
      </c>
      <c r="G61" t="s">
        <v>27</v>
      </c>
      <c r="H61" t="s">
        <v>20</v>
      </c>
      <c r="I61">
        <v>3</v>
      </c>
      <c r="J61" t="s">
        <v>47</v>
      </c>
      <c r="K61">
        <v>32</v>
      </c>
      <c r="L61" t="str">
        <f t="shared" si="1"/>
        <v>2+years</v>
      </c>
      <c r="M61" t="s">
        <v>53</v>
      </c>
      <c r="N61">
        <v>3500</v>
      </c>
      <c r="O61">
        <v>13</v>
      </c>
      <c r="P61">
        <v>45500</v>
      </c>
      <c r="Q61">
        <f t="shared" si="2"/>
        <v>3500</v>
      </c>
      <c r="R61" s="13">
        <v>133.94</v>
      </c>
      <c r="S61" t="s">
        <v>36</v>
      </c>
      <c r="T61">
        <f t="shared" si="3"/>
        <v>0</v>
      </c>
      <c r="U61">
        <v>0</v>
      </c>
      <c r="V61">
        <v>0</v>
      </c>
      <c r="W61">
        <v>0</v>
      </c>
    </row>
    <row r="62" spans="1:23" x14ac:dyDescent="0.35">
      <c r="A62" s="7" t="s">
        <v>133</v>
      </c>
      <c r="B62" t="s">
        <v>134</v>
      </c>
      <c r="C62" s="1">
        <v>45713</v>
      </c>
      <c r="D62">
        <v>75</v>
      </c>
      <c r="E62" t="str">
        <f t="shared" si="0"/>
        <v>55+</v>
      </c>
      <c r="F62" t="s">
        <v>135</v>
      </c>
      <c r="G62" t="s">
        <v>38</v>
      </c>
      <c r="H62" t="s">
        <v>20</v>
      </c>
      <c r="I62">
        <v>5</v>
      </c>
      <c r="J62" t="s">
        <v>52</v>
      </c>
      <c r="K62">
        <v>59</v>
      </c>
      <c r="L62" t="str">
        <f t="shared" si="1"/>
        <v>2+years</v>
      </c>
      <c r="M62" t="s">
        <v>68</v>
      </c>
      <c r="N62">
        <v>14500</v>
      </c>
      <c r="O62">
        <v>15</v>
      </c>
      <c r="P62">
        <v>217500</v>
      </c>
      <c r="Q62">
        <f t="shared" si="2"/>
        <v>14500</v>
      </c>
      <c r="R62" s="13">
        <v>27.57</v>
      </c>
      <c r="S62" t="s">
        <v>36</v>
      </c>
      <c r="T62">
        <f t="shared" si="3"/>
        <v>0</v>
      </c>
      <c r="U62">
        <v>0</v>
      </c>
      <c r="V62">
        <v>0</v>
      </c>
      <c r="W62">
        <v>0</v>
      </c>
    </row>
    <row r="63" spans="1:23" x14ac:dyDescent="0.35">
      <c r="A63" s="7" t="s">
        <v>136</v>
      </c>
      <c r="B63" t="s">
        <v>137</v>
      </c>
      <c r="C63" s="1">
        <v>45713</v>
      </c>
      <c r="D63">
        <v>22</v>
      </c>
      <c r="E63" t="str">
        <f t="shared" si="0"/>
        <v>Under25</v>
      </c>
      <c r="F63" t="s">
        <v>138</v>
      </c>
      <c r="G63" t="s">
        <v>33</v>
      </c>
      <c r="H63" t="s">
        <v>28</v>
      </c>
      <c r="I63">
        <v>4</v>
      </c>
      <c r="J63" t="s">
        <v>109</v>
      </c>
      <c r="K63">
        <v>21</v>
      </c>
      <c r="L63" t="str">
        <f t="shared" si="1"/>
        <v>1-2 years</v>
      </c>
      <c r="M63" t="s">
        <v>59</v>
      </c>
      <c r="N63">
        <v>24000</v>
      </c>
      <c r="O63">
        <v>16</v>
      </c>
      <c r="P63">
        <v>384000</v>
      </c>
      <c r="Q63">
        <f t="shared" si="2"/>
        <v>24000</v>
      </c>
      <c r="R63" s="13">
        <v>167.06</v>
      </c>
      <c r="S63" t="s">
        <v>36</v>
      </c>
      <c r="T63">
        <f t="shared" si="3"/>
        <v>0</v>
      </c>
      <c r="U63">
        <v>0</v>
      </c>
      <c r="V63">
        <v>0</v>
      </c>
      <c r="W63">
        <v>0</v>
      </c>
    </row>
    <row r="64" spans="1:23" x14ac:dyDescent="0.35">
      <c r="A64" s="7" t="s">
        <v>136</v>
      </c>
      <c r="B64" t="s">
        <v>137</v>
      </c>
      <c r="C64" s="1">
        <v>45713</v>
      </c>
      <c r="D64">
        <v>22</v>
      </c>
      <c r="E64" t="str">
        <f t="shared" si="0"/>
        <v>Under25</v>
      </c>
      <c r="F64" t="s">
        <v>138</v>
      </c>
      <c r="G64" t="s">
        <v>27</v>
      </c>
      <c r="H64" t="s">
        <v>28</v>
      </c>
      <c r="I64">
        <v>4</v>
      </c>
      <c r="J64" t="s">
        <v>109</v>
      </c>
      <c r="K64">
        <v>21</v>
      </c>
      <c r="L64" t="str">
        <f t="shared" si="1"/>
        <v>1-2 years</v>
      </c>
      <c r="M64" t="s">
        <v>55</v>
      </c>
      <c r="N64">
        <v>16000</v>
      </c>
      <c r="O64">
        <v>2</v>
      </c>
      <c r="P64">
        <v>32000</v>
      </c>
      <c r="Q64">
        <f t="shared" si="2"/>
        <v>16000</v>
      </c>
      <c r="R64" s="13">
        <v>149.93</v>
      </c>
      <c r="S64" t="s">
        <v>36</v>
      </c>
      <c r="T64">
        <f t="shared" si="3"/>
        <v>0</v>
      </c>
      <c r="U64">
        <v>0</v>
      </c>
      <c r="V64">
        <v>0</v>
      </c>
      <c r="W64">
        <v>0</v>
      </c>
    </row>
    <row r="65" spans="1:23" x14ac:dyDescent="0.35">
      <c r="A65" s="7" t="s">
        <v>139</v>
      </c>
      <c r="B65" t="s">
        <v>140</v>
      </c>
      <c r="C65" s="1">
        <v>45682</v>
      </c>
      <c r="D65">
        <v>44</v>
      </c>
      <c r="E65" t="str">
        <f t="shared" si="0"/>
        <v>35-44</v>
      </c>
      <c r="F65" t="s">
        <v>141</v>
      </c>
      <c r="G65" t="s">
        <v>19</v>
      </c>
      <c r="H65" t="s">
        <v>20</v>
      </c>
      <c r="I65">
        <v>2</v>
      </c>
      <c r="J65" t="s">
        <v>21</v>
      </c>
      <c r="K65">
        <v>49</v>
      </c>
      <c r="L65" t="str">
        <f t="shared" si="1"/>
        <v>2+years</v>
      </c>
      <c r="M65" t="s">
        <v>22</v>
      </c>
      <c r="N65">
        <v>35000</v>
      </c>
      <c r="O65">
        <v>19</v>
      </c>
      <c r="P65">
        <v>665000</v>
      </c>
      <c r="Q65">
        <f t="shared" si="2"/>
        <v>35000</v>
      </c>
      <c r="R65" s="13">
        <v>134.06</v>
      </c>
      <c r="S65" t="s">
        <v>23</v>
      </c>
      <c r="T65">
        <f t="shared" si="3"/>
        <v>1</v>
      </c>
      <c r="U65">
        <v>0</v>
      </c>
      <c r="V65">
        <v>0</v>
      </c>
      <c r="W65">
        <v>0</v>
      </c>
    </row>
    <row r="66" spans="1:23" x14ac:dyDescent="0.35">
      <c r="A66" s="7" t="s">
        <v>139</v>
      </c>
      <c r="B66" t="s">
        <v>140</v>
      </c>
      <c r="C66" s="1">
        <v>45682</v>
      </c>
      <c r="D66">
        <v>44</v>
      </c>
      <c r="E66" t="str">
        <f t="shared" si="0"/>
        <v>35-44</v>
      </c>
      <c r="F66" t="s">
        <v>141</v>
      </c>
      <c r="G66" t="s">
        <v>38</v>
      </c>
      <c r="H66" t="s">
        <v>20</v>
      </c>
      <c r="I66">
        <v>2</v>
      </c>
      <c r="J66" t="s">
        <v>21</v>
      </c>
      <c r="K66">
        <v>49</v>
      </c>
      <c r="L66" t="str">
        <f t="shared" si="1"/>
        <v>2+years</v>
      </c>
      <c r="M66" t="s">
        <v>35</v>
      </c>
      <c r="N66">
        <v>20000</v>
      </c>
      <c r="O66">
        <v>9</v>
      </c>
      <c r="P66">
        <v>180000</v>
      </c>
      <c r="Q66">
        <f t="shared" si="2"/>
        <v>20000</v>
      </c>
      <c r="R66" s="13">
        <v>93.27</v>
      </c>
      <c r="S66" t="s">
        <v>23</v>
      </c>
      <c r="T66">
        <f t="shared" si="3"/>
        <v>1</v>
      </c>
      <c r="U66">
        <v>0</v>
      </c>
      <c r="V66">
        <v>0</v>
      </c>
      <c r="W66">
        <v>0</v>
      </c>
    </row>
    <row r="67" spans="1:23" x14ac:dyDescent="0.35">
      <c r="A67" s="7" t="s">
        <v>139</v>
      </c>
      <c r="B67" t="s">
        <v>140</v>
      </c>
      <c r="C67" s="1">
        <v>45682</v>
      </c>
      <c r="D67">
        <v>44</v>
      </c>
      <c r="E67" t="str">
        <f t="shared" ref="E67:E130" si="4">IF(D67&lt;25,"Under25",IF(D67&lt;35,"25-34",IF(D67&lt;45,"35-44",IF(D67&lt;55,"45-54","55+"))) )</f>
        <v>35-44</v>
      </c>
      <c r="F67" t="s">
        <v>141</v>
      </c>
      <c r="G67" t="s">
        <v>33</v>
      </c>
      <c r="H67" t="s">
        <v>20</v>
      </c>
      <c r="I67">
        <v>2</v>
      </c>
      <c r="J67" t="s">
        <v>21</v>
      </c>
      <c r="K67">
        <v>49</v>
      </c>
      <c r="L67" t="str">
        <f t="shared" ref="L67:L130" si="5">IF(K67&lt;6,"0-5 months",IF(K67&lt;13,"6-12 months",IF(K67&lt;25,"1-2 years","2+years")))</f>
        <v>2+years</v>
      </c>
      <c r="M67" t="s">
        <v>110</v>
      </c>
      <c r="N67">
        <v>25000</v>
      </c>
      <c r="O67">
        <v>20</v>
      </c>
      <c r="P67">
        <v>500000</v>
      </c>
      <c r="Q67">
        <f t="shared" ref="Q67:Q130" si="6">P67/O67</f>
        <v>25000</v>
      </c>
      <c r="R67" s="13">
        <v>33.97</v>
      </c>
      <c r="S67" t="s">
        <v>23</v>
      </c>
      <c r="T67">
        <f t="shared" ref="T67:T130" si="7">IF(S67="yes",1,0)</f>
        <v>1</v>
      </c>
      <c r="U67">
        <v>0</v>
      </c>
      <c r="V67">
        <v>0</v>
      </c>
      <c r="W67">
        <v>0</v>
      </c>
    </row>
    <row r="68" spans="1:23" x14ac:dyDescent="0.35">
      <c r="A68" s="7" t="s">
        <v>142</v>
      </c>
      <c r="B68" t="s">
        <v>143</v>
      </c>
      <c r="C68" s="1">
        <v>45682</v>
      </c>
      <c r="D68">
        <v>36</v>
      </c>
      <c r="E68" t="str">
        <f t="shared" si="4"/>
        <v>35-44</v>
      </c>
      <c r="F68" t="s">
        <v>144</v>
      </c>
      <c r="G68" t="s">
        <v>27</v>
      </c>
      <c r="H68" t="s">
        <v>20</v>
      </c>
      <c r="I68">
        <v>3</v>
      </c>
      <c r="J68" t="s">
        <v>47</v>
      </c>
      <c r="K68">
        <v>38</v>
      </c>
      <c r="L68" t="str">
        <f t="shared" si="5"/>
        <v>2+years</v>
      </c>
      <c r="M68" t="s">
        <v>69</v>
      </c>
      <c r="N68">
        <v>350</v>
      </c>
      <c r="O68">
        <v>8</v>
      </c>
      <c r="P68">
        <v>2800</v>
      </c>
      <c r="Q68">
        <f t="shared" si="6"/>
        <v>350</v>
      </c>
      <c r="R68" s="13">
        <v>15.66</v>
      </c>
      <c r="S68" t="s">
        <v>36</v>
      </c>
      <c r="T68">
        <f t="shared" si="7"/>
        <v>0</v>
      </c>
      <c r="U68">
        <v>0</v>
      </c>
      <c r="V68">
        <v>0</v>
      </c>
      <c r="W68">
        <v>0</v>
      </c>
    </row>
    <row r="69" spans="1:23" x14ac:dyDescent="0.35">
      <c r="A69" s="7" t="s">
        <v>142</v>
      </c>
      <c r="B69" t="s">
        <v>143</v>
      </c>
      <c r="C69" s="1">
        <v>45682</v>
      </c>
      <c r="D69">
        <v>36</v>
      </c>
      <c r="E69" t="str">
        <f t="shared" si="4"/>
        <v>35-44</v>
      </c>
      <c r="F69" t="s">
        <v>144</v>
      </c>
      <c r="G69" t="s">
        <v>33</v>
      </c>
      <c r="H69" t="s">
        <v>20</v>
      </c>
      <c r="I69">
        <v>3</v>
      </c>
      <c r="J69" t="s">
        <v>47</v>
      </c>
      <c r="K69">
        <v>38</v>
      </c>
      <c r="L69" t="str">
        <f t="shared" si="5"/>
        <v>2+years</v>
      </c>
      <c r="M69" t="s">
        <v>35</v>
      </c>
      <c r="N69">
        <v>20000</v>
      </c>
      <c r="O69">
        <v>10</v>
      </c>
      <c r="P69">
        <v>200000</v>
      </c>
      <c r="Q69">
        <f t="shared" si="6"/>
        <v>20000</v>
      </c>
      <c r="R69" s="13">
        <v>139.59</v>
      </c>
      <c r="S69" t="s">
        <v>36</v>
      </c>
      <c r="T69">
        <f t="shared" si="7"/>
        <v>0</v>
      </c>
      <c r="U69">
        <v>0</v>
      </c>
      <c r="V69">
        <v>0</v>
      </c>
      <c r="W69">
        <v>0</v>
      </c>
    </row>
    <row r="70" spans="1:23" x14ac:dyDescent="0.35">
      <c r="A70" s="7" t="s">
        <v>145</v>
      </c>
      <c r="B70" t="s">
        <v>146</v>
      </c>
      <c r="C70" s="1">
        <v>45741</v>
      </c>
      <c r="D70">
        <v>21</v>
      </c>
      <c r="E70" t="str">
        <f t="shared" si="4"/>
        <v>Under25</v>
      </c>
      <c r="F70" t="s">
        <v>147</v>
      </c>
      <c r="G70" t="s">
        <v>38</v>
      </c>
      <c r="H70" t="s">
        <v>28</v>
      </c>
      <c r="I70">
        <v>1</v>
      </c>
      <c r="J70" t="s">
        <v>34</v>
      </c>
      <c r="K70">
        <v>43</v>
      </c>
      <c r="L70" t="str">
        <f t="shared" si="5"/>
        <v>2+years</v>
      </c>
      <c r="M70" t="s">
        <v>68</v>
      </c>
      <c r="N70">
        <v>14500</v>
      </c>
      <c r="O70">
        <v>12</v>
      </c>
      <c r="P70">
        <v>174000</v>
      </c>
      <c r="Q70">
        <f t="shared" si="6"/>
        <v>14500</v>
      </c>
      <c r="R70" s="13">
        <v>21.56</v>
      </c>
      <c r="S70" t="s">
        <v>36</v>
      </c>
      <c r="T70">
        <f t="shared" si="7"/>
        <v>0</v>
      </c>
      <c r="U70">
        <v>0</v>
      </c>
      <c r="V70">
        <v>0</v>
      </c>
      <c r="W70">
        <v>0</v>
      </c>
    </row>
    <row r="71" spans="1:23" x14ac:dyDescent="0.35">
      <c r="A71" s="7" t="s">
        <v>145</v>
      </c>
      <c r="B71" t="s">
        <v>146</v>
      </c>
      <c r="C71" s="1">
        <v>45741</v>
      </c>
      <c r="D71">
        <v>21</v>
      </c>
      <c r="E71" t="str">
        <f t="shared" si="4"/>
        <v>Under25</v>
      </c>
      <c r="F71" t="s">
        <v>147</v>
      </c>
      <c r="G71" t="s">
        <v>19</v>
      </c>
      <c r="H71" t="s">
        <v>28</v>
      </c>
      <c r="I71">
        <v>1</v>
      </c>
      <c r="J71" t="s">
        <v>34</v>
      </c>
      <c r="K71">
        <v>43</v>
      </c>
      <c r="L71" t="str">
        <f t="shared" si="5"/>
        <v>2+years</v>
      </c>
      <c r="M71" t="s">
        <v>22</v>
      </c>
      <c r="N71">
        <v>35000</v>
      </c>
      <c r="O71">
        <v>14</v>
      </c>
      <c r="P71">
        <v>490000</v>
      </c>
      <c r="Q71">
        <f t="shared" si="6"/>
        <v>35000</v>
      </c>
      <c r="R71" s="13">
        <v>141.61000000000001</v>
      </c>
      <c r="S71" t="s">
        <v>36</v>
      </c>
      <c r="T71">
        <f t="shared" si="7"/>
        <v>0</v>
      </c>
      <c r="U71">
        <v>0</v>
      </c>
      <c r="V71">
        <v>0</v>
      </c>
      <c r="W71">
        <v>0</v>
      </c>
    </row>
    <row r="72" spans="1:23" x14ac:dyDescent="0.35">
      <c r="A72" s="7" t="s">
        <v>148</v>
      </c>
      <c r="B72" t="s">
        <v>149</v>
      </c>
      <c r="C72" s="1">
        <v>45713</v>
      </c>
      <c r="D72">
        <v>50</v>
      </c>
      <c r="E72" t="str">
        <f t="shared" si="4"/>
        <v>45-54</v>
      </c>
      <c r="F72" t="s">
        <v>82</v>
      </c>
      <c r="G72" t="s">
        <v>38</v>
      </c>
      <c r="H72" t="s">
        <v>28</v>
      </c>
      <c r="I72">
        <v>5</v>
      </c>
      <c r="J72" t="s">
        <v>52</v>
      </c>
      <c r="K72">
        <v>30</v>
      </c>
      <c r="L72" t="str">
        <f t="shared" si="5"/>
        <v>2+years</v>
      </c>
      <c r="M72" t="s">
        <v>62</v>
      </c>
      <c r="N72">
        <v>30000</v>
      </c>
      <c r="O72">
        <v>8</v>
      </c>
      <c r="P72">
        <v>240000</v>
      </c>
      <c r="Q72">
        <f t="shared" si="6"/>
        <v>30000</v>
      </c>
      <c r="R72" s="13">
        <v>176.39</v>
      </c>
      <c r="S72" t="s">
        <v>23</v>
      </c>
      <c r="T72">
        <f t="shared" si="7"/>
        <v>1</v>
      </c>
      <c r="U72">
        <v>0</v>
      </c>
      <c r="V72">
        <v>0</v>
      </c>
      <c r="W72">
        <v>0</v>
      </c>
    </row>
    <row r="73" spans="1:23" x14ac:dyDescent="0.35">
      <c r="A73" s="7" t="s">
        <v>150</v>
      </c>
      <c r="B73" t="s">
        <v>151</v>
      </c>
      <c r="C73" s="1">
        <v>45741</v>
      </c>
      <c r="D73">
        <v>64</v>
      </c>
      <c r="E73" t="str">
        <f t="shared" si="4"/>
        <v>55+</v>
      </c>
      <c r="F73" t="s">
        <v>152</v>
      </c>
      <c r="G73" t="s">
        <v>33</v>
      </c>
      <c r="H73" t="s">
        <v>20</v>
      </c>
      <c r="I73">
        <v>2</v>
      </c>
      <c r="J73" t="s">
        <v>21</v>
      </c>
      <c r="K73">
        <v>32</v>
      </c>
      <c r="L73" t="str">
        <f t="shared" si="5"/>
        <v>2+years</v>
      </c>
      <c r="M73" t="s">
        <v>59</v>
      </c>
      <c r="N73">
        <v>24000</v>
      </c>
      <c r="O73">
        <v>9</v>
      </c>
      <c r="P73">
        <v>216000</v>
      </c>
      <c r="Q73">
        <f t="shared" si="6"/>
        <v>24000</v>
      </c>
      <c r="R73" s="13">
        <v>176.12</v>
      </c>
      <c r="S73" t="s">
        <v>36</v>
      </c>
      <c r="T73">
        <f t="shared" si="7"/>
        <v>0</v>
      </c>
      <c r="U73">
        <v>0</v>
      </c>
      <c r="V73">
        <v>0</v>
      </c>
      <c r="W73">
        <v>0</v>
      </c>
    </row>
    <row r="74" spans="1:23" x14ac:dyDescent="0.35">
      <c r="A74" s="7" t="s">
        <v>150</v>
      </c>
      <c r="B74" t="s">
        <v>151</v>
      </c>
      <c r="C74" s="1">
        <v>45741</v>
      </c>
      <c r="D74">
        <v>64</v>
      </c>
      <c r="E74" t="str">
        <f t="shared" si="4"/>
        <v>55+</v>
      </c>
      <c r="F74" t="s">
        <v>152</v>
      </c>
      <c r="G74" t="s">
        <v>27</v>
      </c>
      <c r="H74" t="s">
        <v>20</v>
      </c>
      <c r="I74">
        <v>2</v>
      </c>
      <c r="J74" t="s">
        <v>21</v>
      </c>
      <c r="K74">
        <v>32</v>
      </c>
      <c r="L74" t="str">
        <f t="shared" si="5"/>
        <v>2+years</v>
      </c>
      <c r="M74" t="s">
        <v>55</v>
      </c>
      <c r="N74">
        <v>16000</v>
      </c>
      <c r="O74">
        <v>7</v>
      </c>
      <c r="P74">
        <v>112000</v>
      </c>
      <c r="Q74">
        <f t="shared" si="6"/>
        <v>16000</v>
      </c>
      <c r="R74" s="13">
        <v>103.57</v>
      </c>
      <c r="S74" t="s">
        <v>36</v>
      </c>
      <c r="T74">
        <f t="shared" si="7"/>
        <v>0</v>
      </c>
      <c r="U74">
        <v>0</v>
      </c>
      <c r="V74">
        <v>0</v>
      </c>
      <c r="W74">
        <v>0</v>
      </c>
    </row>
    <row r="75" spans="1:23" x14ac:dyDescent="0.35">
      <c r="A75" s="7" t="s">
        <v>153</v>
      </c>
      <c r="B75" t="s">
        <v>154</v>
      </c>
      <c r="C75" s="1">
        <v>45713</v>
      </c>
      <c r="D75">
        <v>46</v>
      </c>
      <c r="E75" t="str">
        <f t="shared" si="4"/>
        <v>45-54</v>
      </c>
      <c r="F75" t="s">
        <v>105</v>
      </c>
      <c r="G75" t="s">
        <v>27</v>
      </c>
      <c r="H75" t="s">
        <v>28</v>
      </c>
      <c r="I75">
        <v>4</v>
      </c>
      <c r="J75" t="s">
        <v>109</v>
      </c>
      <c r="K75">
        <v>36</v>
      </c>
      <c r="L75" t="str">
        <f t="shared" si="5"/>
        <v>2+years</v>
      </c>
      <c r="M75" t="s">
        <v>79</v>
      </c>
      <c r="N75">
        <v>1000</v>
      </c>
      <c r="O75">
        <v>13</v>
      </c>
      <c r="P75">
        <v>13000</v>
      </c>
      <c r="Q75">
        <f t="shared" si="6"/>
        <v>1000</v>
      </c>
      <c r="R75" s="13">
        <v>59.2</v>
      </c>
      <c r="S75" t="s">
        <v>36</v>
      </c>
      <c r="T75">
        <f t="shared" si="7"/>
        <v>0</v>
      </c>
      <c r="U75">
        <v>0</v>
      </c>
      <c r="V75">
        <v>0</v>
      </c>
      <c r="W75">
        <v>0</v>
      </c>
    </row>
    <row r="76" spans="1:23" x14ac:dyDescent="0.35">
      <c r="A76" s="7" t="s">
        <v>153</v>
      </c>
      <c r="B76" t="s">
        <v>154</v>
      </c>
      <c r="C76" s="1">
        <v>45713</v>
      </c>
      <c r="D76">
        <v>46</v>
      </c>
      <c r="E76" t="str">
        <f t="shared" si="4"/>
        <v>45-54</v>
      </c>
      <c r="F76" t="s">
        <v>105</v>
      </c>
      <c r="G76" t="s">
        <v>38</v>
      </c>
      <c r="H76" t="s">
        <v>28</v>
      </c>
      <c r="I76">
        <v>4</v>
      </c>
      <c r="J76" t="s">
        <v>109</v>
      </c>
      <c r="K76">
        <v>36</v>
      </c>
      <c r="L76" t="str">
        <f t="shared" si="5"/>
        <v>2+years</v>
      </c>
      <c r="M76" t="s">
        <v>35</v>
      </c>
      <c r="N76">
        <v>20000</v>
      </c>
      <c r="O76">
        <v>19</v>
      </c>
      <c r="P76">
        <v>380000</v>
      </c>
      <c r="Q76">
        <f t="shared" si="6"/>
        <v>20000</v>
      </c>
      <c r="R76" s="13">
        <v>61.59</v>
      </c>
      <c r="S76" t="s">
        <v>36</v>
      </c>
      <c r="T76">
        <f t="shared" si="7"/>
        <v>0</v>
      </c>
      <c r="U76">
        <v>0</v>
      </c>
      <c r="V76">
        <v>0</v>
      </c>
      <c r="W76">
        <v>0</v>
      </c>
    </row>
    <row r="77" spans="1:23" x14ac:dyDescent="0.35">
      <c r="A77" s="7" t="s">
        <v>155</v>
      </c>
      <c r="B77" t="s">
        <v>156</v>
      </c>
      <c r="C77" s="1">
        <v>45741</v>
      </c>
      <c r="D77">
        <v>76</v>
      </c>
      <c r="E77" t="str">
        <f t="shared" si="4"/>
        <v>55+</v>
      </c>
      <c r="F77" t="s">
        <v>72</v>
      </c>
      <c r="G77" t="s">
        <v>33</v>
      </c>
      <c r="H77" t="s">
        <v>28</v>
      </c>
      <c r="I77">
        <v>3</v>
      </c>
      <c r="J77" t="s">
        <v>47</v>
      </c>
      <c r="K77">
        <v>28</v>
      </c>
      <c r="L77" t="str">
        <f t="shared" si="5"/>
        <v>2+years</v>
      </c>
      <c r="M77" t="s">
        <v>68</v>
      </c>
      <c r="N77">
        <v>14500</v>
      </c>
      <c r="O77">
        <v>7</v>
      </c>
      <c r="P77">
        <v>101500</v>
      </c>
      <c r="Q77">
        <f t="shared" si="6"/>
        <v>14500</v>
      </c>
      <c r="R77" s="13">
        <v>24.57</v>
      </c>
      <c r="S77" t="s">
        <v>36</v>
      </c>
      <c r="T77">
        <f t="shared" si="7"/>
        <v>0</v>
      </c>
      <c r="U77">
        <v>0</v>
      </c>
      <c r="V77">
        <v>0</v>
      </c>
      <c r="W77">
        <v>0</v>
      </c>
    </row>
    <row r="78" spans="1:23" x14ac:dyDescent="0.35">
      <c r="A78" s="7" t="s">
        <v>155</v>
      </c>
      <c r="B78" t="s">
        <v>156</v>
      </c>
      <c r="C78" s="1">
        <v>45741</v>
      </c>
      <c r="D78">
        <v>76</v>
      </c>
      <c r="E78" t="str">
        <f t="shared" si="4"/>
        <v>55+</v>
      </c>
      <c r="F78" t="s">
        <v>72</v>
      </c>
      <c r="G78" t="s">
        <v>27</v>
      </c>
      <c r="H78" t="s">
        <v>28</v>
      </c>
      <c r="I78">
        <v>3</v>
      </c>
      <c r="J78" t="s">
        <v>47</v>
      </c>
      <c r="K78">
        <v>28</v>
      </c>
      <c r="L78" t="str">
        <f t="shared" si="5"/>
        <v>2+years</v>
      </c>
      <c r="M78" t="s">
        <v>48</v>
      </c>
      <c r="N78">
        <v>9000</v>
      </c>
      <c r="O78">
        <v>18</v>
      </c>
      <c r="P78">
        <v>162000</v>
      </c>
      <c r="Q78">
        <f t="shared" si="6"/>
        <v>9000</v>
      </c>
      <c r="R78" s="13">
        <v>24.35</v>
      </c>
      <c r="S78" t="s">
        <v>36</v>
      </c>
      <c r="T78">
        <f t="shared" si="7"/>
        <v>0</v>
      </c>
      <c r="U78">
        <v>0</v>
      </c>
      <c r="V78">
        <v>0</v>
      </c>
      <c r="W78">
        <v>0</v>
      </c>
    </row>
    <row r="79" spans="1:23" x14ac:dyDescent="0.35">
      <c r="A79" s="7" t="s">
        <v>157</v>
      </c>
      <c r="B79" t="s">
        <v>158</v>
      </c>
      <c r="C79" s="1">
        <v>45741</v>
      </c>
      <c r="D79">
        <v>40</v>
      </c>
      <c r="E79" t="str">
        <f t="shared" si="4"/>
        <v>35-44</v>
      </c>
      <c r="F79" t="s">
        <v>75</v>
      </c>
      <c r="G79" t="s">
        <v>19</v>
      </c>
      <c r="H79" t="s">
        <v>28</v>
      </c>
      <c r="I79">
        <v>1</v>
      </c>
      <c r="J79" t="s">
        <v>34</v>
      </c>
      <c r="K79">
        <v>18</v>
      </c>
      <c r="L79" t="str">
        <f t="shared" si="5"/>
        <v>1-2 years</v>
      </c>
      <c r="M79" t="s">
        <v>43</v>
      </c>
      <c r="N79">
        <v>4500</v>
      </c>
      <c r="O79">
        <v>18</v>
      </c>
      <c r="P79">
        <v>81000</v>
      </c>
      <c r="Q79">
        <f t="shared" si="6"/>
        <v>4500</v>
      </c>
      <c r="R79" s="13">
        <v>60.8</v>
      </c>
      <c r="S79" t="s">
        <v>36</v>
      </c>
      <c r="T79">
        <f t="shared" si="7"/>
        <v>0</v>
      </c>
      <c r="U79">
        <v>0</v>
      </c>
      <c r="V79">
        <v>0</v>
      </c>
      <c r="W79">
        <v>0</v>
      </c>
    </row>
    <row r="80" spans="1:23" x14ac:dyDescent="0.35">
      <c r="A80" s="7" t="s">
        <v>157</v>
      </c>
      <c r="B80" t="s">
        <v>158</v>
      </c>
      <c r="C80" s="1">
        <v>45741</v>
      </c>
      <c r="D80">
        <v>40</v>
      </c>
      <c r="E80" t="str">
        <f t="shared" si="4"/>
        <v>35-44</v>
      </c>
      <c r="F80" t="s">
        <v>75</v>
      </c>
      <c r="G80" t="s">
        <v>27</v>
      </c>
      <c r="H80" t="s">
        <v>28</v>
      </c>
      <c r="I80">
        <v>1</v>
      </c>
      <c r="J80" t="s">
        <v>34</v>
      </c>
      <c r="K80">
        <v>18</v>
      </c>
      <c r="L80" t="str">
        <f t="shared" si="5"/>
        <v>1-2 years</v>
      </c>
      <c r="M80" t="s">
        <v>159</v>
      </c>
      <c r="N80">
        <v>600</v>
      </c>
      <c r="O80">
        <v>2</v>
      </c>
      <c r="P80">
        <v>1200</v>
      </c>
      <c r="Q80">
        <f t="shared" si="6"/>
        <v>600</v>
      </c>
      <c r="R80" s="13">
        <v>55.23</v>
      </c>
      <c r="S80" t="s">
        <v>36</v>
      </c>
      <c r="T80">
        <f t="shared" si="7"/>
        <v>0</v>
      </c>
      <c r="U80">
        <v>0</v>
      </c>
      <c r="V80">
        <v>0</v>
      </c>
      <c r="W80">
        <v>0</v>
      </c>
    </row>
    <row r="81" spans="1:23" x14ac:dyDescent="0.35">
      <c r="A81" s="7" t="s">
        <v>160</v>
      </c>
      <c r="B81" t="s">
        <v>161</v>
      </c>
      <c r="C81" s="1">
        <v>45682</v>
      </c>
      <c r="D81">
        <v>32</v>
      </c>
      <c r="E81" t="str">
        <f t="shared" si="4"/>
        <v>25-34</v>
      </c>
      <c r="F81" t="s">
        <v>86</v>
      </c>
      <c r="G81" t="s">
        <v>33</v>
      </c>
      <c r="H81" t="s">
        <v>20</v>
      </c>
      <c r="I81">
        <v>5</v>
      </c>
      <c r="J81" t="s">
        <v>52</v>
      </c>
      <c r="K81">
        <v>56</v>
      </c>
      <c r="L81" t="str">
        <f t="shared" si="5"/>
        <v>2+years</v>
      </c>
      <c r="M81" t="s">
        <v>39</v>
      </c>
      <c r="N81">
        <v>9000</v>
      </c>
      <c r="O81">
        <v>16</v>
      </c>
      <c r="P81">
        <v>144000</v>
      </c>
      <c r="Q81">
        <f t="shared" si="6"/>
        <v>9000</v>
      </c>
      <c r="R81" s="13">
        <v>50.87</v>
      </c>
      <c r="S81" t="s">
        <v>23</v>
      </c>
      <c r="T81">
        <f t="shared" si="7"/>
        <v>1</v>
      </c>
      <c r="U81">
        <v>0</v>
      </c>
      <c r="V81">
        <v>0</v>
      </c>
      <c r="W81">
        <v>0</v>
      </c>
    </row>
    <row r="82" spans="1:23" x14ac:dyDescent="0.35">
      <c r="A82" s="7" t="s">
        <v>160</v>
      </c>
      <c r="B82" t="s">
        <v>161</v>
      </c>
      <c r="C82" s="1">
        <v>45682</v>
      </c>
      <c r="D82">
        <v>32</v>
      </c>
      <c r="E82" t="str">
        <f t="shared" si="4"/>
        <v>25-34</v>
      </c>
      <c r="F82" t="s">
        <v>86</v>
      </c>
      <c r="G82" t="s">
        <v>38</v>
      </c>
      <c r="H82" t="s">
        <v>20</v>
      </c>
      <c r="I82">
        <v>5</v>
      </c>
      <c r="J82" t="s">
        <v>52</v>
      </c>
      <c r="K82">
        <v>56</v>
      </c>
      <c r="L82" t="str">
        <f t="shared" si="5"/>
        <v>2+years</v>
      </c>
      <c r="M82" t="s">
        <v>39</v>
      </c>
      <c r="N82">
        <v>9000</v>
      </c>
      <c r="O82">
        <v>13</v>
      </c>
      <c r="P82">
        <v>117000</v>
      </c>
      <c r="Q82">
        <f t="shared" si="6"/>
        <v>9000</v>
      </c>
      <c r="R82" s="13">
        <v>164.51</v>
      </c>
      <c r="S82" t="s">
        <v>23</v>
      </c>
      <c r="T82">
        <f t="shared" si="7"/>
        <v>1</v>
      </c>
      <c r="U82">
        <v>0</v>
      </c>
      <c r="V82">
        <v>0</v>
      </c>
      <c r="W82">
        <v>0</v>
      </c>
    </row>
    <row r="83" spans="1:23" x14ac:dyDescent="0.35">
      <c r="A83" s="7" t="s">
        <v>162</v>
      </c>
      <c r="B83" t="s">
        <v>163</v>
      </c>
      <c r="C83" s="1">
        <v>45741</v>
      </c>
      <c r="D83">
        <v>25</v>
      </c>
      <c r="E83" t="str">
        <f t="shared" si="4"/>
        <v>25-34</v>
      </c>
      <c r="F83" t="s">
        <v>46</v>
      </c>
      <c r="G83" t="s">
        <v>27</v>
      </c>
      <c r="H83" t="s">
        <v>20</v>
      </c>
      <c r="I83">
        <v>1</v>
      </c>
      <c r="J83" t="s">
        <v>34</v>
      </c>
      <c r="K83">
        <v>10</v>
      </c>
      <c r="L83" t="str">
        <f t="shared" si="5"/>
        <v>6-12 months</v>
      </c>
      <c r="M83" t="s">
        <v>69</v>
      </c>
      <c r="N83">
        <v>350</v>
      </c>
      <c r="O83">
        <v>13</v>
      </c>
      <c r="P83">
        <v>4550</v>
      </c>
      <c r="Q83">
        <f t="shared" si="6"/>
        <v>350</v>
      </c>
      <c r="R83" s="13">
        <v>155.25</v>
      </c>
      <c r="S83" t="s">
        <v>36</v>
      </c>
      <c r="T83">
        <f t="shared" si="7"/>
        <v>0</v>
      </c>
      <c r="U83">
        <v>0</v>
      </c>
      <c r="V83">
        <v>0</v>
      </c>
      <c r="W83">
        <v>0</v>
      </c>
    </row>
    <row r="84" spans="1:23" x14ac:dyDescent="0.35">
      <c r="A84" s="7" t="s">
        <v>164</v>
      </c>
      <c r="B84" t="s">
        <v>165</v>
      </c>
      <c r="C84" s="1">
        <v>45682</v>
      </c>
      <c r="D84">
        <v>72</v>
      </c>
      <c r="E84" t="str">
        <f t="shared" si="4"/>
        <v>55+</v>
      </c>
      <c r="F84" t="s">
        <v>144</v>
      </c>
      <c r="G84" t="s">
        <v>19</v>
      </c>
      <c r="H84" t="s">
        <v>28</v>
      </c>
      <c r="I84">
        <v>5</v>
      </c>
      <c r="J84" t="s">
        <v>52</v>
      </c>
      <c r="K84">
        <v>20</v>
      </c>
      <c r="L84" t="str">
        <f t="shared" si="5"/>
        <v>1-2 years</v>
      </c>
      <c r="M84" t="s">
        <v>43</v>
      </c>
      <c r="N84">
        <v>4500</v>
      </c>
      <c r="O84">
        <v>3</v>
      </c>
      <c r="P84">
        <v>13500</v>
      </c>
      <c r="Q84">
        <f t="shared" si="6"/>
        <v>4500</v>
      </c>
      <c r="R84" s="13">
        <v>53.3</v>
      </c>
      <c r="S84" t="s">
        <v>36</v>
      </c>
      <c r="T84">
        <f t="shared" si="7"/>
        <v>0</v>
      </c>
      <c r="U84">
        <v>0</v>
      </c>
      <c r="V84">
        <v>0</v>
      </c>
      <c r="W84">
        <v>0</v>
      </c>
    </row>
    <row r="85" spans="1:23" x14ac:dyDescent="0.35">
      <c r="A85" s="7" t="s">
        <v>166</v>
      </c>
      <c r="B85" t="s">
        <v>167</v>
      </c>
      <c r="C85" s="1">
        <v>45682</v>
      </c>
      <c r="D85">
        <v>46</v>
      </c>
      <c r="E85" t="str">
        <f t="shared" si="4"/>
        <v>45-54</v>
      </c>
      <c r="F85" t="s">
        <v>126</v>
      </c>
      <c r="G85" t="s">
        <v>27</v>
      </c>
      <c r="H85" t="s">
        <v>20</v>
      </c>
      <c r="I85">
        <v>4</v>
      </c>
      <c r="J85" t="s">
        <v>109</v>
      </c>
      <c r="K85">
        <v>11</v>
      </c>
      <c r="L85" t="str">
        <f t="shared" si="5"/>
        <v>6-12 months</v>
      </c>
      <c r="M85" t="s">
        <v>69</v>
      </c>
      <c r="N85">
        <v>350</v>
      </c>
      <c r="O85">
        <v>10</v>
      </c>
      <c r="P85">
        <v>3500</v>
      </c>
      <c r="Q85">
        <f t="shared" si="6"/>
        <v>350</v>
      </c>
      <c r="R85" s="13">
        <v>57.98</v>
      </c>
      <c r="S85" t="s">
        <v>36</v>
      </c>
      <c r="T85">
        <f t="shared" si="7"/>
        <v>0</v>
      </c>
      <c r="U85">
        <v>0</v>
      </c>
      <c r="V85">
        <v>0</v>
      </c>
      <c r="W85">
        <v>0</v>
      </c>
    </row>
    <row r="86" spans="1:23" x14ac:dyDescent="0.35">
      <c r="A86" s="7" t="s">
        <v>166</v>
      </c>
      <c r="B86" t="s">
        <v>167</v>
      </c>
      <c r="C86" s="1">
        <v>45682</v>
      </c>
      <c r="D86">
        <v>46</v>
      </c>
      <c r="E86" t="str">
        <f t="shared" si="4"/>
        <v>45-54</v>
      </c>
      <c r="F86" t="s">
        <v>126</v>
      </c>
      <c r="G86" t="s">
        <v>19</v>
      </c>
      <c r="H86" t="s">
        <v>20</v>
      </c>
      <c r="I86">
        <v>4</v>
      </c>
      <c r="J86" t="s">
        <v>109</v>
      </c>
      <c r="K86">
        <v>11</v>
      </c>
      <c r="L86" t="str">
        <f t="shared" si="5"/>
        <v>6-12 months</v>
      </c>
      <c r="M86" t="s">
        <v>22</v>
      </c>
      <c r="N86">
        <v>35000</v>
      </c>
      <c r="O86">
        <v>8</v>
      </c>
      <c r="P86">
        <v>280000</v>
      </c>
      <c r="Q86">
        <f t="shared" si="6"/>
        <v>35000</v>
      </c>
      <c r="R86" s="13">
        <v>14.7</v>
      </c>
      <c r="S86" t="s">
        <v>36</v>
      </c>
      <c r="T86">
        <f t="shared" si="7"/>
        <v>0</v>
      </c>
      <c r="U86">
        <v>0</v>
      </c>
      <c r="V86">
        <v>0</v>
      </c>
      <c r="W86">
        <v>0</v>
      </c>
    </row>
    <row r="87" spans="1:23" x14ac:dyDescent="0.35">
      <c r="A87" s="7" t="s">
        <v>166</v>
      </c>
      <c r="B87" t="s">
        <v>167</v>
      </c>
      <c r="C87" s="1">
        <v>45682</v>
      </c>
      <c r="D87">
        <v>46</v>
      </c>
      <c r="E87" t="str">
        <f t="shared" si="4"/>
        <v>45-54</v>
      </c>
      <c r="F87" t="s">
        <v>126</v>
      </c>
      <c r="G87" t="s">
        <v>38</v>
      </c>
      <c r="H87" t="s">
        <v>20</v>
      </c>
      <c r="I87">
        <v>4</v>
      </c>
      <c r="J87" t="s">
        <v>109</v>
      </c>
      <c r="K87">
        <v>11</v>
      </c>
      <c r="L87" t="str">
        <f t="shared" si="5"/>
        <v>6-12 months</v>
      </c>
      <c r="M87" t="s">
        <v>62</v>
      </c>
      <c r="N87">
        <v>30000</v>
      </c>
      <c r="O87">
        <v>19</v>
      </c>
      <c r="P87">
        <v>570000</v>
      </c>
      <c r="Q87">
        <f t="shared" si="6"/>
        <v>30000</v>
      </c>
      <c r="R87" s="13">
        <v>157.66999999999999</v>
      </c>
      <c r="S87" t="s">
        <v>36</v>
      </c>
      <c r="T87">
        <f t="shared" si="7"/>
        <v>0</v>
      </c>
      <c r="U87">
        <v>0</v>
      </c>
      <c r="V87">
        <v>0</v>
      </c>
      <c r="W87">
        <v>0</v>
      </c>
    </row>
    <row r="88" spans="1:23" x14ac:dyDescent="0.35">
      <c r="A88" s="7" t="s">
        <v>168</v>
      </c>
      <c r="B88" t="s">
        <v>169</v>
      </c>
      <c r="C88" s="1">
        <v>45713</v>
      </c>
      <c r="D88">
        <v>70</v>
      </c>
      <c r="E88" t="str">
        <f t="shared" si="4"/>
        <v>55+</v>
      </c>
      <c r="F88" t="s">
        <v>170</v>
      </c>
      <c r="G88" t="s">
        <v>38</v>
      </c>
      <c r="H88" t="s">
        <v>20</v>
      </c>
      <c r="I88">
        <v>3</v>
      </c>
      <c r="J88" t="s">
        <v>47</v>
      </c>
      <c r="K88">
        <v>42</v>
      </c>
      <c r="L88" t="str">
        <f t="shared" si="5"/>
        <v>2+years</v>
      </c>
      <c r="M88" t="s">
        <v>35</v>
      </c>
      <c r="N88">
        <v>20000</v>
      </c>
      <c r="O88">
        <v>20</v>
      </c>
      <c r="P88">
        <v>400000</v>
      </c>
      <c r="Q88">
        <f t="shared" si="6"/>
        <v>20000</v>
      </c>
      <c r="R88" s="13">
        <v>158.63</v>
      </c>
      <c r="S88" t="s">
        <v>36</v>
      </c>
      <c r="T88">
        <f t="shared" si="7"/>
        <v>0</v>
      </c>
      <c r="U88">
        <v>0</v>
      </c>
      <c r="V88">
        <v>0</v>
      </c>
      <c r="W88">
        <v>0</v>
      </c>
    </row>
    <row r="89" spans="1:23" x14ac:dyDescent="0.35">
      <c r="A89" s="7" t="s">
        <v>171</v>
      </c>
      <c r="B89" t="s">
        <v>172</v>
      </c>
      <c r="C89" s="1">
        <v>45741</v>
      </c>
      <c r="D89">
        <v>72</v>
      </c>
      <c r="E89" t="str">
        <f t="shared" si="4"/>
        <v>55+</v>
      </c>
      <c r="F89" t="s">
        <v>170</v>
      </c>
      <c r="G89" t="s">
        <v>27</v>
      </c>
      <c r="H89" t="s">
        <v>28</v>
      </c>
      <c r="I89">
        <v>4</v>
      </c>
      <c r="J89" t="s">
        <v>109</v>
      </c>
      <c r="K89">
        <v>45</v>
      </c>
      <c r="L89" t="str">
        <f t="shared" si="5"/>
        <v>2+years</v>
      </c>
      <c r="M89" t="s">
        <v>97</v>
      </c>
      <c r="N89">
        <v>900</v>
      </c>
      <c r="O89">
        <v>11</v>
      </c>
      <c r="P89">
        <v>9900</v>
      </c>
      <c r="Q89">
        <f t="shared" si="6"/>
        <v>900</v>
      </c>
      <c r="R89" s="13">
        <v>177.94</v>
      </c>
      <c r="S89" t="s">
        <v>36</v>
      </c>
      <c r="T89">
        <f t="shared" si="7"/>
        <v>0</v>
      </c>
      <c r="U89">
        <v>0</v>
      </c>
      <c r="V89">
        <v>0</v>
      </c>
      <c r="W89">
        <v>0</v>
      </c>
    </row>
    <row r="90" spans="1:23" x14ac:dyDescent="0.35">
      <c r="A90" s="7" t="s">
        <v>171</v>
      </c>
      <c r="B90" t="s">
        <v>172</v>
      </c>
      <c r="C90" s="1">
        <v>45741</v>
      </c>
      <c r="D90">
        <v>72</v>
      </c>
      <c r="E90" t="str">
        <f t="shared" si="4"/>
        <v>55+</v>
      </c>
      <c r="F90" t="s">
        <v>170</v>
      </c>
      <c r="G90" t="s">
        <v>19</v>
      </c>
      <c r="H90" t="s">
        <v>28</v>
      </c>
      <c r="I90">
        <v>4</v>
      </c>
      <c r="J90" t="s">
        <v>109</v>
      </c>
      <c r="K90">
        <v>45</v>
      </c>
      <c r="L90" t="str">
        <f t="shared" si="5"/>
        <v>2+years</v>
      </c>
      <c r="M90" t="s">
        <v>48</v>
      </c>
      <c r="N90">
        <v>9000</v>
      </c>
      <c r="O90">
        <v>8</v>
      </c>
      <c r="P90">
        <v>72000</v>
      </c>
      <c r="Q90">
        <f t="shared" si="6"/>
        <v>9000</v>
      </c>
      <c r="R90" s="13">
        <v>5.66</v>
      </c>
      <c r="S90" t="s">
        <v>36</v>
      </c>
      <c r="T90">
        <f t="shared" si="7"/>
        <v>0</v>
      </c>
      <c r="U90">
        <v>0</v>
      </c>
      <c r="V90">
        <v>0</v>
      </c>
      <c r="W90">
        <v>0</v>
      </c>
    </row>
    <row r="91" spans="1:23" x14ac:dyDescent="0.35">
      <c r="A91" s="7" t="s">
        <v>171</v>
      </c>
      <c r="B91" t="s">
        <v>172</v>
      </c>
      <c r="C91" s="1">
        <v>45741</v>
      </c>
      <c r="D91">
        <v>72</v>
      </c>
      <c r="E91" t="str">
        <f t="shared" si="4"/>
        <v>55+</v>
      </c>
      <c r="F91" t="s">
        <v>170</v>
      </c>
      <c r="G91" t="s">
        <v>38</v>
      </c>
      <c r="H91" t="s">
        <v>28</v>
      </c>
      <c r="I91">
        <v>4</v>
      </c>
      <c r="J91" t="s">
        <v>109</v>
      </c>
      <c r="K91">
        <v>45</v>
      </c>
      <c r="L91" t="str">
        <f t="shared" si="5"/>
        <v>2+years</v>
      </c>
      <c r="M91" t="s">
        <v>59</v>
      </c>
      <c r="N91">
        <v>24000</v>
      </c>
      <c r="O91">
        <v>1</v>
      </c>
      <c r="P91">
        <v>24000</v>
      </c>
      <c r="Q91">
        <f t="shared" si="6"/>
        <v>24000</v>
      </c>
      <c r="R91" s="13">
        <v>117.63</v>
      </c>
      <c r="S91" t="s">
        <v>36</v>
      </c>
      <c r="T91">
        <f t="shared" si="7"/>
        <v>0</v>
      </c>
      <c r="U91">
        <v>0</v>
      </c>
      <c r="V91">
        <v>0</v>
      </c>
      <c r="W91">
        <v>0</v>
      </c>
    </row>
    <row r="92" spans="1:23" x14ac:dyDescent="0.35">
      <c r="A92" s="7" t="s">
        <v>173</v>
      </c>
      <c r="B92" t="s">
        <v>174</v>
      </c>
      <c r="C92" s="1">
        <v>45713</v>
      </c>
      <c r="D92">
        <v>21</v>
      </c>
      <c r="E92" t="str">
        <f t="shared" si="4"/>
        <v>Under25</v>
      </c>
      <c r="F92" t="s">
        <v>126</v>
      </c>
      <c r="G92" t="s">
        <v>27</v>
      </c>
      <c r="H92" t="s">
        <v>28</v>
      </c>
      <c r="I92">
        <v>3</v>
      </c>
      <c r="J92" t="s">
        <v>47</v>
      </c>
      <c r="K92">
        <v>34</v>
      </c>
      <c r="L92" t="str">
        <f t="shared" si="5"/>
        <v>2+years</v>
      </c>
      <c r="M92" t="s">
        <v>29</v>
      </c>
      <c r="N92">
        <v>5500</v>
      </c>
      <c r="O92">
        <v>11</v>
      </c>
      <c r="P92">
        <v>60500</v>
      </c>
      <c r="Q92">
        <f t="shared" si="6"/>
        <v>5500</v>
      </c>
      <c r="R92" s="13">
        <v>69.92</v>
      </c>
      <c r="S92" t="s">
        <v>23</v>
      </c>
      <c r="T92">
        <f t="shared" si="7"/>
        <v>1</v>
      </c>
      <c r="U92">
        <v>0</v>
      </c>
      <c r="V92">
        <v>0</v>
      </c>
      <c r="W92">
        <v>0</v>
      </c>
    </row>
    <row r="93" spans="1:23" x14ac:dyDescent="0.35">
      <c r="A93" s="7" t="s">
        <v>173</v>
      </c>
      <c r="B93" t="s">
        <v>174</v>
      </c>
      <c r="C93" s="1">
        <v>45713</v>
      </c>
      <c r="D93">
        <v>21</v>
      </c>
      <c r="E93" t="str">
        <f t="shared" si="4"/>
        <v>Under25</v>
      </c>
      <c r="F93" t="s">
        <v>126</v>
      </c>
      <c r="G93" t="s">
        <v>38</v>
      </c>
      <c r="H93" t="s">
        <v>28</v>
      </c>
      <c r="I93">
        <v>3</v>
      </c>
      <c r="J93" t="s">
        <v>47</v>
      </c>
      <c r="K93">
        <v>34</v>
      </c>
      <c r="L93" t="str">
        <f t="shared" si="5"/>
        <v>2+years</v>
      </c>
      <c r="M93" t="s">
        <v>62</v>
      </c>
      <c r="N93">
        <v>30000</v>
      </c>
      <c r="O93">
        <v>6</v>
      </c>
      <c r="P93">
        <v>180000</v>
      </c>
      <c r="Q93">
        <f t="shared" si="6"/>
        <v>30000</v>
      </c>
      <c r="R93" s="13">
        <v>134.19</v>
      </c>
      <c r="S93" t="s">
        <v>23</v>
      </c>
      <c r="T93">
        <f t="shared" si="7"/>
        <v>1</v>
      </c>
      <c r="U93">
        <v>0</v>
      </c>
      <c r="V93">
        <v>0</v>
      </c>
      <c r="W93">
        <v>0</v>
      </c>
    </row>
    <row r="94" spans="1:23" x14ac:dyDescent="0.35">
      <c r="A94" s="7" t="s">
        <v>175</v>
      </c>
      <c r="B94" t="s">
        <v>176</v>
      </c>
      <c r="C94" s="1">
        <v>45713</v>
      </c>
      <c r="D94">
        <v>68</v>
      </c>
      <c r="E94" t="str">
        <f t="shared" si="4"/>
        <v>55+</v>
      </c>
      <c r="F94" t="s">
        <v>86</v>
      </c>
      <c r="G94" t="s">
        <v>33</v>
      </c>
      <c r="H94" t="s">
        <v>28</v>
      </c>
      <c r="I94">
        <v>5</v>
      </c>
      <c r="J94" t="s">
        <v>52</v>
      </c>
      <c r="K94">
        <v>43</v>
      </c>
      <c r="L94" t="str">
        <f t="shared" si="5"/>
        <v>2+years</v>
      </c>
      <c r="M94" t="s">
        <v>35</v>
      </c>
      <c r="N94">
        <v>20000</v>
      </c>
      <c r="O94">
        <v>13</v>
      </c>
      <c r="P94">
        <v>260000</v>
      </c>
      <c r="Q94">
        <f t="shared" si="6"/>
        <v>20000</v>
      </c>
      <c r="R94" s="13">
        <v>194.05</v>
      </c>
      <c r="S94" t="s">
        <v>23</v>
      </c>
      <c r="T94">
        <f t="shared" si="7"/>
        <v>1</v>
      </c>
      <c r="U94">
        <v>0</v>
      </c>
      <c r="V94">
        <v>0</v>
      </c>
      <c r="W94">
        <v>0</v>
      </c>
    </row>
    <row r="95" spans="1:23" x14ac:dyDescent="0.35">
      <c r="A95" s="7" t="s">
        <v>175</v>
      </c>
      <c r="B95" t="s">
        <v>176</v>
      </c>
      <c r="C95" s="1">
        <v>45713</v>
      </c>
      <c r="D95">
        <v>68</v>
      </c>
      <c r="E95" t="str">
        <f t="shared" si="4"/>
        <v>55+</v>
      </c>
      <c r="F95" t="s">
        <v>86</v>
      </c>
      <c r="G95" t="s">
        <v>19</v>
      </c>
      <c r="H95" t="s">
        <v>28</v>
      </c>
      <c r="I95">
        <v>5</v>
      </c>
      <c r="J95" t="s">
        <v>52</v>
      </c>
      <c r="K95">
        <v>43</v>
      </c>
      <c r="L95" t="str">
        <f t="shared" si="5"/>
        <v>2+years</v>
      </c>
      <c r="M95" t="s">
        <v>55</v>
      </c>
      <c r="N95">
        <v>16000</v>
      </c>
      <c r="O95">
        <v>18</v>
      </c>
      <c r="P95">
        <v>288000</v>
      </c>
      <c r="Q95">
        <f t="shared" si="6"/>
        <v>16000</v>
      </c>
      <c r="R95" s="13">
        <v>131.69999999999999</v>
      </c>
      <c r="S95" t="s">
        <v>23</v>
      </c>
      <c r="T95">
        <f t="shared" si="7"/>
        <v>1</v>
      </c>
      <c r="U95">
        <v>0</v>
      </c>
      <c r="V95">
        <v>0</v>
      </c>
      <c r="W95">
        <v>0</v>
      </c>
    </row>
    <row r="96" spans="1:23" x14ac:dyDescent="0.35">
      <c r="A96" s="7" t="s">
        <v>177</v>
      </c>
      <c r="B96" t="s">
        <v>178</v>
      </c>
      <c r="C96" s="1">
        <v>45741</v>
      </c>
      <c r="D96">
        <v>68</v>
      </c>
      <c r="E96" t="str">
        <f t="shared" si="4"/>
        <v>55+</v>
      </c>
      <c r="F96" t="s">
        <v>46</v>
      </c>
      <c r="G96" t="s">
        <v>27</v>
      </c>
      <c r="H96" t="s">
        <v>20</v>
      </c>
      <c r="I96">
        <v>5</v>
      </c>
      <c r="J96" t="s">
        <v>52</v>
      </c>
      <c r="K96">
        <v>34</v>
      </c>
      <c r="L96" t="str">
        <f t="shared" si="5"/>
        <v>2+years</v>
      </c>
      <c r="M96" t="s">
        <v>37</v>
      </c>
      <c r="N96">
        <v>500</v>
      </c>
      <c r="O96">
        <v>10</v>
      </c>
      <c r="P96">
        <v>5000</v>
      </c>
      <c r="Q96">
        <f t="shared" si="6"/>
        <v>500</v>
      </c>
      <c r="R96" s="13">
        <v>110.07</v>
      </c>
      <c r="S96" t="s">
        <v>36</v>
      </c>
      <c r="T96">
        <f t="shared" si="7"/>
        <v>0</v>
      </c>
      <c r="U96">
        <v>0</v>
      </c>
      <c r="V96">
        <v>0</v>
      </c>
      <c r="W96">
        <v>0</v>
      </c>
    </row>
    <row r="97" spans="1:23" x14ac:dyDescent="0.35">
      <c r="A97" s="7" t="s">
        <v>177</v>
      </c>
      <c r="B97" t="s">
        <v>178</v>
      </c>
      <c r="C97" s="1">
        <v>45741</v>
      </c>
      <c r="D97">
        <v>68</v>
      </c>
      <c r="E97" t="str">
        <f t="shared" si="4"/>
        <v>55+</v>
      </c>
      <c r="F97" t="s">
        <v>46</v>
      </c>
      <c r="G97" t="s">
        <v>38</v>
      </c>
      <c r="H97" t="s">
        <v>20</v>
      </c>
      <c r="I97">
        <v>5</v>
      </c>
      <c r="J97" t="s">
        <v>52</v>
      </c>
      <c r="K97">
        <v>34</v>
      </c>
      <c r="L97" t="str">
        <f t="shared" si="5"/>
        <v>2+years</v>
      </c>
      <c r="M97" t="s">
        <v>68</v>
      </c>
      <c r="N97">
        <v>14500</v>
      </c>
      <c r="O97">
        <v>16</v>
      </c>
      <c r="P97">
        <v>232000</v>
      </c>
      <c r="Q97">
        <f t="shared" si="6"/>
        <v>14500</v>
      </c>
      <c r="R97" s="13">
        <v>176.23</v>
      </c>
      <c r="S97" t="s">
        <v>36</v>
      </c>
      <c r="T97">
        <f t="shared" si="7"/>
        <v>0</v>
      </c>
      <c r="U97">
        <v>0</v>
      </c>
      <c r="V97">
        <v>0</v>
      </c>
      <c r="W97">
        <v>0</v>
      </c>
    </row>
    <row r="98" spans="1:23" x14ac:dyDescent="0.35">
      <c r="A98" s="7" t="s">
        <v>177</v>
      </c>
      <c r="B98" t="s">
        <v>178</v>
      </c>
      <c r="C98" s="1">
        <v>45741</v>
      </c>
      <c r="D98">
        <v>68</v>
      </c>
      <c r="E98" t="str">
        <f t="shared" si="4"/>
        <v>55+</v>
      </c>
      <c r="F98" t="s">
        <v>46</v>
      </c>
      <c r="G98" t="s">
        <v>33</v>
      </c>
      <c r="H98" t="s">
        <v>20</v>
      </c>
      <c r="I98">
        <v>5</v>
      </c>
      <c r="J98" t="s">
        <v>52</v>
      </c>
      <c r="K98">
        <v>34</v>
      </c>
      <c r="L98" t="str">
        <f t="shared" si="5"/>
        <v>2+years</v>
      </c>
      <c r="M98" t="s">
        <v>35</v>
      </c>
      <c r="N98">
        <v>20000</v>
      </c>
      <c r="O98">
        <v>20</v>
      </c>
      <c r="P98">
        <v>400000</v>
      </c>
      <c r="Q98">
        <f t="shared" si="6"/>
        <v>20000</v>
      </c>
      <c r="R98" s="13">
        <v>6.26</v>
      </c>
      <c r="S98" t="s">
        <v>36</v>
      </c>
      <c r="T98">
        <f t="shared" si="7"/>
        <v>0</v>
      </c>
      <c r="U98">
        <v>0</v>
      </c>
      <c r="V98">
        <v>0</v>
      </c>
      <c r="W98">
        <v>0</v>
      </c>
    </row>
    <row r="99" spans="1:23" x14ac:dyDescent="0.35">
      <c r="A99" s="7" t="s">
        <v>179</v>
      </c>
      <c r="B99" t="s">
        <v>180</v>
      </c>
      <c r="C99" s="1">
        <v>45713</v>
      </c>
      <c r="D99">
        <v>36</v>
      </c>
      <c r="E99" t="str">
        <f t="shared" si="4"/>
        <v>35-44</v>
      </c>
      <c r="F99" t="s">
        <v>144</v>
      </c>
      <c r="G99" t="s">
        <v>27</v>
      </c>
      <c r="H99" t="s">
        <v>20</v>
      </c>
      <c r="I99">
        <v>1</v>
      </c>
      <c r="J99" t="s">
        <v>34</v>
      </c>
      <c r="K99">
        <v>36</v>
      </c>
      <c r="L99" t="str">
        <f t="shared" si="5"/>
        <v>2+years</v>
      </c>
      <c r="M99" t="s">
        <v>79</v>
      </c>
      <c r="N99">
        <v>1000</v>
      </c>
      <c r="O99">
        <v>5</v>
      </c>
      <c r="P99">
        <v>5000</v>
      </c>
      <c r="Q99">
        <f t="shared" si="6"/>
        <v>1000</v>
      </c>
      <c r="R99" s="13">
        <v>129.72</v>
      </c>
      <c r="S99" t="s">
        <v>23</v>
      </c>
      <c r="T99">
        <f t="shared" si="7"/>
        <v>1</v>
      </c>
      <c r="U99">
        <v>0</v>
      </c>
      <c r="V99">
        <v>0</v>
      </c>
      <c r="W99">
        <v>0</v>
      </c>
    </row>
    <row r="100" spans="1:23" x14ac:dyDescent="0.35">
      <c r="A100" s="7" t="s">
        <v>181</v>
      </c>
      <c r="B100" t="s">
        <v>182</v>
      </c>
      <c r="C100" s="1">
        <v>45713</v>
      </c>
      <c r="D100">
        <v>53</v>
      </c>
      <c r="E100" t="str">
        <f t="shared" si="4"/>
        <v>45-54</v>
      </c>
      <c r="F100" t="s">
        <v>183</v>
      </c>
      <c r="G100" t="s">
        <v>27</v>
      </c>
      <c r="H100" t="s">
        <v>28</v>
      </c>
      <c r="I100">
        <v>4</v>
      </c>
      <c r="J100" t="s">
        <v>109</v>
      </c>
      <c r="K100">
        <v>27</v>
      </c>
      <c r="L100" t="str">
        <f t="shared" si="5"/>
        <v>2+years</v>
      </c>
      <c r="M100" t="s">
        <v>69</v>
      </c>
      <c r="N100">
        <v>350</v>
      </c>
      <c r="O100">
        <v>17</v>
      </c>
      <c r="P100">
        <v>5950</v>
      </c>
      <c r="Q100">
        <f t="shared" si="6"/>
        <v>350</v>
      </c>
      <c r="R100" s="13">
        <v>184.41</v>
      </c>
      <c r="S100" t="s">
        <v>23</v>
      </c>
      <c r="T100">
        <f t="shared" si="7"/>
        <v>1</v>
      </c>
      <c r="U100">
        <v>0</v>
      </c>
      <c r="V100">
        <v>0</v>
      </c>
      <c r="W100">
        <v>0</v>
      </c>
    </row>
    <row r="101" spans="1:23" x14ac:dyDescent="0.35">
      <c r="A101" s="7" t="s">
        <v>184</v>
      </c>
      <c r="B101" t="s">
        <v>185</v>
      </c>
      <c r="C101" s="1">
        <v>45741</v>
      </c>
      <c r="D101">
        <v>24</v>
      </c>
      <c r="E101" t="str">
        <f t="shared" si="4"/>
        <v>Under25</v>
      </c>
      <c r="F101" t="s">
        <v>186</v>
      </c>
      <c r="G101" t="s">
        <v>27</v>
      </c>
      <c r="H101" t="s">
        <v>28</v>
      </c>
      <c r="I101">
        <v>1</v>
      </c>
      <c r="J101" t="s">
        <v>34</v>
      </c>
      <c r="K101">
        <v>22</v>
      </c>
      <c r="L101" t="str">
        <f t="shared" si="5"/>
        <v>1-2 years</v>
      </c>
      <c r="M101" t="s">
        <v>187</v>
      </c>
      <c r="N101">
        <v>6500</v>
      </c>
      <c r="O101">
        <v>11</v>
      </c>
      <c r="P101">
        <v>71500</v>
      </c>
      <c r="Q101">
        <f t="shared" si="6"/>
        <v>6500</v>
      </c>
      <c r="R101" s="13">
        <v>97.13</v>
      </c>
      <c r="S101" t="s">
        <v>23</v>
      </c>
      <c r="T101">
        <f t="shared" si="7"/>
        <v>1</v>
      </c>
      <c r="U101">
        <v>0</v>
      </c>
      <c r="V101">
        <v>0</v>
      </c>
      <c r="W101">
        <v>0</v>
      </c>
    </row>
    <row r="102" spans="1:23" x14ac:dyDescent="0.35">
      <c r="A102" s="7" t="s">
        <v>184</v>
      </c>
      <c r="B102" t="s">
        <v>185</v>
      </c>
      <c r="C102" s="1">
        <v>45741</v>
      </c>
      <c r="D102">
        <v>24</v>
      </c>
      <c r="E102" t="str">
        <f t="shared" si="4"/>
        <v>Under25</v>
      </c>
      <c r="F102" t="s">
        <v>186</v>
      </c>
      <c r="G102" t="s">
        <v>38</v>
      </c>
      <c r="H102" t="s">
        <v>28</v>
      </c>
      <c r="I102">
        <v>1</v>
      </c>
      <c r="J102" t="s">
        <v>34</v>
      </c>
      <c r="K102">
        <v>22</v>
      </c>
      <c r="L102" t="str">
        <f t="shared" si="5"/>
        <v>1-2 years</v>
      </c>
      <c r="M102" t="s">
        <v>59</v>
      </c>
      <c r="N102">
        <v>24000</v>
      </c>
      <c r="O102">
        <v>13</v>
      </c>
      <c r="P102">
        <v>312000</v>
      </c>
      <c r="Q102">
        <f t="shared" si="6"/>
        <v>24000</v>
      </c>
      <c r="R102" s="13">
        <v>152.69</v>
      </c>
      <c r="S102" t="s">
        <v>23</v>
      </c>
      <c r="T102">
        <f t="shared" si="7"/>
        <v>1</v>
      </c>
      <c r="U102">
        <v>0</v>
      </c>
      <c r="V102">
        <v>0</v>
      </c>
      <c r="W102">
        <v>0</v>
      </c>
    </row>
    <row r="103" spans="1:23" x14ac:dyDescent="0.35">
      <c r="A103" s="7" t="s">
        <v>184</v>
      </c>
      <c r="B103" t="s">
        <v>185</v>
      </c>
      <c r="C103" s="1">
        <v>45741</v>
      </c>
      <c r="D103">
        <v>24</v>
      </c>
      <c r="E103" t="str">
        <f t="shared" si="4"/>
        <v>Under25</v>
      </c>
      <c r="F103" t="s">
        <v>186</v>
      </c>
      <c r="G103" t="s">
        <v>27</v>
      </c>
      <c r="H103" t="s">
        <v>28</v>
      </c>
      <c r="I103">
        <v>1</v>
      </c>
      <c r="J103" t="s">
        <v>34</v>
      </c>
      <c r="K103">
        <v>22</v>
      </c>
      <c r="L103" t="str">
        <f t="shared" si="5"/>
        <v>1-2 years</v>
      </c>
      <c r="M103" t="s">
        <v>22</v>
      </c>
      <c r="N103">
        <v>35000</v>
      </c>
      <c r="O103">
        <v>7</v>
      </c>
      <c r="P103">
        <v>245000</v>
      </c>
      <c r="Q103">
        <f t="shared" si="6"/>
        <v>35000</v>
      </c>
      <c r="R103" s="13">
        <v>186.6</v>
      </c>
      <c r="S103" t="s">
        <v>23</v>
      </c>
      <c r="T103">
        <f t="shared" si="7"/>
        <v>1</v>
      </c>
      <c r="U103">
        <v>0</v>
      </c>
      <c r="V103">
        <v>0</v>
      </c>
      <c r="W103">
        <v>0</v>
      </c>
    </row>
    <row r="104" spans="1:23" x14ac:dyDescent="0.35">
      <c r="A104" s="7" t="s">
        <v>188</v>
      </c>
      <c r="B104" t="s">
        <v>189</v>
      </c>
      <c r="C104" s="1">
        <v>45741</v>
      </c>
      <c r="D104">
        <v>65</v>
      </c>
      <c r="E104" t="str">
        <f t="shared" si="4"/>
        <v>55+</v>
      </c>
      <c r="F104" t="s">
        <v>108</v>
      </c>
      <c r="G104" t="s">
        <v>27</v>
      </c>
      <c r="H104" t="s">
        <v>28</v>
      </c>
      <c r="I104">
        <v>4</v>
      </c>
      <c r="J104" t="s">
        <v>109</v>
      </c>
      <c r="K104">
        <v>3</v>
      </c>
      <c r="L104" t="str">
        <f t="shared" si="5"/>
        <v>0-5 months</v>
      </c>
      <c r="M104" t="s">
        <v>159</v>
      </c>
      <c r="N104">
        <v>600</v>
      </c>
      <c r="O104">
        <v>2</v>
      </c>
      <c r="P104">
        <v>1200</v>
      </c>
      <c r="Q104">
        <f t="shared" si="6"/>
        <v>600</v>
      </c>
      <c r="R104" s="13">
        <v>99.32</v>
      </c>
      <c r="S104" t="s">
        <v>36</v>
      </c>
      <c r="T104">
        <f t="shared" si="7"/>
        <v>0</v>
      </c>
      <c r="U104">
        <v>0</v>
      </c>
      <c r="V104">
        <v>0</v>
      </c>
      <c r="W104">
        <v>0</v>
      </c>
    </row>
    <row r="105" spans="1:23" x14ac:dyDescent="0.35">
      <c r="A105" s="7" t="s">
        <v>188</v>
      </c>
      <c r="B105" t="s">
        <v>189</v>
      </c>
      <c r="C105" s="1">
        <v>45741</v>
      </c>
      <c r="D105">
        <v>65</v>
      </c>
      <c r="E105" t="str">
        <f t="shared" si="4"/>
        <v>55+</v>
      </c>
      <c r="F105" t="s">
        <v>108</v>
      </c>
      <c r="G105" t="s">
        <v>33</v>
      </c>
      <c r="H105" t="s">
        <v>28</v>
      </c>
      <c r="I105">
        <v>4</v>
      </c>
      <c r="J105" t="s">
        <v>109</v>
      </c>
      <c r="K105">
        <v>3</v>
      </c>
      <c r="L105" t="str">
        <f t="shared" si="5"/>
        <v>0-5 months</v>
      </c>
      <c r="M105" t="s">
        <v>62</v>
      </c>
      <c r="N105">
        <v>30000</v>
      </c>
      <c r="O105">
        <v>19</v>
      </c>
      <c r="P105">
        <v>570000</v>
      </c>
      <c r="Q105">
        <f t="shared" si="6"/>
        <v>30000</v>
      </c>
      <c r="R105" s="13">
        <v>100.71</v>
      </c>
      <c r="S105" t="s">
        <v>36</v>
      </c>
      <c r="T105">
        <f t="shared" si="7"/>
        <v>0</v>
      </c>
      <c r="U105">
        <v>0</v>
      </c>
      <c r="V105">
        <v>0</v>
      </c>
      <c r="W105">
        <v>0</v>
      </c>
    </row>
    <row r="106" spans="1:23" x14ac:dyDescent="0.35">
      <c r="A106" s="7" t="s">
        <v>190</v>
      </c>
      <c r="B106" t="s">
        <v>191</v>
      </c>
      <c r="C106" s="1">
        <v>45713</v>
      </c>
      <c r="D106">
        <v>28</v>
      </c>
      <c r="E106" t="str">
        <f t="shared" si="4"/>
        <v>25-34</v>
      </c>
      <c r="F106" t="s">
        <v>192</v>
      </c>
      <c r="G106" t="s">
        <v>27</v>
      </c>
      <c r="H106" t="s">
        <v>20</v>
      </c>
      <c r="I106">
        <v>1</v>
      </c>
      <c r="J106" t="s">
        <v>34</v>
      </c>
      <c r="K106">
        <v>34</v>
      </c>
      <c r="L106" t="str">
        <f t="shared" si="5"/>
        <v>2+years</v>
      </c>
      <c r="M106" t="s">
        <v>22</v>
      </c>
      <c r="N106">
        <v>35000</v>
      </c>
      <c r="O106">
        <v>9</v>
      </c>
      <c r="P106">
        <v>315000</v>
      </c>
      <c r="Q106">
        <f t="shared" si="6"/>
        <v>35000</v>
      </c>
      <c r="R106" s="13">
        <v>156.41</v>
      </c>
      <c r="S106" t="s">
        <v>36</v>
      </c>
      <c r="T106">
        <f t="shared" si="7"/>
        <v>0</v>
      </c>
      <c r="U106">
        <v>0</v>
      </c>
      <c r="V106">
        <v>0</v>
      </c>
      <c r="W106">
        <v>0</v>
      </c>
    </row>
    <row r="107" spans="1:23" x14ac:dyDescent="0.35">
      <c r="A107" s="7" t="s">
        <v>190</v>
      </c>
      <c r="B107" t="s">
        <v>191</v>
      </c>
      <c r="C107" s="1">
        <v>45713</v>
      </c>
      <c r="D107">
        <v>28</v>
      </c>
      <c r="E107" t="str">
        <f t="shared" si="4"/>
        <v>25-34</v>
      </c>
      <c r="F107" t="s">
        <v>192</v>
      </c>
      <c r="G107" t="s">
        <v>38</v>
      </c>
      <c r="H107" t="s">
        <v>20</v>
      </c>
      <c r="I107">
        <v>1</v>
      </c>
      <c r="J107" t="s">
        <v>34</v>
      </c>
      <c r="K107">
        <v>34</v>
      </c>
      <c r="L107" t="str">
        <f t="shared" si="5"/>
        <v>2+years</v>
      </c>
      <c r="M107" t="s">
        <v>62</v>
      </c>
      <c r="N107">
        <v>30000</v>
      </c>
      <c r="O107">
        <v>13</v>
      </c>
      <c r="P107">
        <v>390000</v>
      </c>
      <c r="Q107">
        <f t="shared" si="6"/>
        <v>30000</v>
      </c>
      <c r="R107" s="13">
        <v>124.84</v>
      </c>
      <c r="S107" t="s">
        <v>36</v>
      </c>
      <c r="T107">
        <f t="shared" si="7"/>
        <v>0</v>
      </c>
      <c r="U107">
        <v>0</v>
      </c>
      <c r="V107">
        <v>0</v>
      </c>
      <c r="W107">
        <v>0</v>
      </c>
    </row>
    <row r="108" spans="1:23" x14ac:dyDescent="0.35">
      <c r="A108" s="7" t="s">
        <v>193</v>
      </c>
      <c r="B108" t="s">
        <v>194</v>
      </c>
      <c r="C108" s="1">
        <v>45713</v>
      </c>
      <c r="D108">
        <v>58</v>
      </c>
      <c r="E108" t="str">
        <f t="shared" si="4"/>
        <v>55+</v>
      </c>
      <c r="F108" t="s">
        <v>82</v>
      </c>
      <c r="G108" t="s">
        <v>33</v>
      </c>
      <c r="H108" t="s">
        <v>28</v>
      </c>
      <c r="I108">
        <v>5</v>
      </c>
      <c r="J108" t="s">
        <v>52</v>
      </c>
      <c r="K108">
        <v>21</v>
      </c>
      <c r="L108" t="str">
        <f t="shared" si="5"/>
        <v>1-2 years</v>
      </c>
      <c r="M108" t="s">
        <v>68</v>
      </c>
      <c r="N108">
        <v>14500</v>
      </c>
      <c r="O108">
        <v>14</v>
      </c>
      <c r="P108">
        <v>203000</v>
      </c>
      <c r="Q108">
        <f t="shared" si="6"/>
        <v>14500</v>
      </c>
      <c r="R108" s="13">
        <v>149.47999999999999</v>
      </c>
      <c r="S108" t="s">
        <v>23</v>
      </c>
      <c r="T108">
        <f t="shared" si="7"/>
        <v>1</v>
      </c>
      <c r="U108">
        <v>0</v>
      </c>
      <c r="V108">
        <v>0</v>
      </c>
      <c r="W108">
        <v>0</v>
      </c>
    </row>
    <row r="109" spans="1:23" x14ac:dyDescent="0.35">
      <c r="A109" s="7" t="s">
        <v>195</v>
      </c>
      <c r="B109" t="s">
        <v>196</v>
      </c>
      <c r="C109" s="1">
        <v>45741</v>
      </c>
      <c r="D109">
        <v>28</v>
      </c>
      <c r="E109" t="str">
        <f t="shared" si="4"/>
        <v>25-34</v>
      </c>
      <c r="F109" t="s">
        <v>192</v>
      </c>
      <c r="G109" t="s">
        <v>33</v>
      </c>
      <c r="H109" t="s">
        <v>20</v>
      </c>
      <c r="I109">
        <v>1</v>
      </c>
      <c r="J109" t="s">
        <v>34</v>
      </c>
      <c r="K109">
        <v>45</v>
      </c>
      <c r="L109" t="str">
        <f t="shared" si="5"/>
        <v>2+years</v>
      </c>
      <c r="M109" t="s">
        <v>110</v>
      </c>
      <c r="N109">
        <v>25000</v>
      </c>
      <c r="O109">
        <v>5</v>
      </c>
      <c r="P109">
        <v>125000</v>
      </c>
      <c r="Q109">
        <f t="shared" si="6"/>
        <v>25000</v>
      </c>
      <c r="R109" s="13">
        <v>75.28</v>
      </c>
      <c r="S109" t="s">
        <v>23</v>
      </c>
      <c r="T109">
        <f t="shared" si="7"/>
        <v>1</v>
      </c>
      <c r="U109">
        <v>0</v>
      </c>
      <c r="V109">
        <v>0</v>
      </c>
      <c r="W109">
        <v>0</v>
      </c>
    </row>
    <row r="110" spans="1:23" x14ac:dyDescent="0.35">
      <c r="A110" s="7" t="s">
        <v>197</v>
      </c>
      <c r="B110" t="s">
        <v>198</v>
      </c>
      <c r="C110" s="1">
        <v>45682</v>
      </c>
      <c r="D110">
        <v>68</v>
      </c>
      <c r="E110" t="str">
        <f t="shared" si="4"/>
        <v>55+</v>
      </c>
      <c r="F110" t="s">
        <v>126</v>
      </c>
      <c r="G110" t="s">
        <v>19</v>
      </c>
      <c r="H110" t="s">
        <v>20</v>
      </c>
      <c r="I110">
        <v>5</v>
      </c>
      <c r="J110" t="s">
        <v>52</v>
      </c>
      <c r="K110">
        <v>12</v>
      </c>
      <c r="L110" t="str">
        <f t="shared" si="5"/>
        <v>6-12 months</v>
      </c>
      <c r="M110" t="s">
        <v>43</v>
      </c>
      <c r="N110">
        <v>4500</v>
      </c>
      <c r="O110">
        <v>9</v>
      </c>
      <c r="P110">
        <v>40500</v>
      </c>
      <c r="Q110">
        <f t="shared" si="6"/>
        <v>4500</v>
      </c>
      <c r="R110" s="13">
        <v>92.5</v>
      </c>
      <c r="S110" t="s">
        <v>36</v>
      </c>
      <c r="T110">
        <f t="shared" si="7"/>
        <v>0</v>
      </c>
      <c r="U110">
        <v>0</v>
      </c>
      <c r="V110">
        <v>0</v>
      </c>
      <c r="W110">
        <v>0</v>
      </c>
    </row>
    <row r="111" spans="1:23" x14ac:dyDescent="0.35">
      <c r="A111" s="7" t="s">
        <v>197</v>
      </c>
      <c r="B111" t="s">
        <v>198</v>
      </c>
      <c r="C111" s="1">
        <v>45682</v>
      </c>
      <c r="D111">
        <v>68</v>
      </c>
      <c r="E111" t="str">
        <f t="shared" si="4"/>
        <v>55+</v>
      </c>
      <c r="F111" t="s">
        <v>126</v>
      </c>
      <c r="G111" t="s">
        <v>27</v>
      </c>
      <c r="H111" t="s">
        <v>20</v>
      </c>
      <c r="I111">
        <v>5</v>
      </c>
      <c r="J111" t="s">
        <v>52</v>
      </c>
      <c r="K111">
        <v>12</v>
      </c>
      <c r="L111" t="str">
        <f t="shared" si="5"/>
        <v>6-12 months</v>
      </c>
      <c r="M111" t="s">
        <v>29</v>
      </c>
      <c r="N111">
        <v>5500</v>
      </c>
      <c r="O111">
        <v>1</v>
      </c>
      <c r="P111">
        <v>5500</v>
      </c>
      <c r="Q111">
        <f t="shared" si="6"/>
        <v>5500</v>
      </c>
      <c r="R111" s="13">
        <v>51.44</v>
      </c>
      <c r="S111" t="s">
        <v>36</v>
      </c>
      <c r="T111">
        <f t="shared" si="7"/>
        <v>0</v>
      </c>
      <c r="U111">
        <v>0</v>
      </c>
      <c r="V111">
        <v>0</v>
      </c>
      <c r="W111">
        <v>0</v>
      </c>
    </row>
    <row r="112" spans="1:23" x14ac:dyDescent="0.35">
      <c r="A112" s="7" t="s">
        <v>197</v>
      </c>
      <c r="B112" t="s">
        <v>198</v>
      </c>
      <c r="C112" s="1">
        <v>45682</v>
      </c>
      <c r="D112">
        <v>68</v>
      </c>
      <c r="E112" t="str">
        <f t="shared" si="4"/>
        <v>55+</v>
      </c>
      <c r="F112" t="s">
        <v>126</v>
      </c>
      <c r="G112" t="s">
        <v>38</v>
      </c>
      <c r="H112" t="s">
        <v>20</v>
      </c>
      <c r="I112">
        <v>5</v>
      </c>
      <c r="J112" t="s">
        <v>52</v>
      </c>
      <c r="K112">
        <v>12</v>
      </c>
      <c r="L112" t="str">
        <f t="shared" si="5"/>
        <v>6-12 months</v>
      </c>
      <c r="M112" t="s">
        <v>68</v>
      </c>
      <c r="N112">
        <v>14500</v>
      </c>
      <c r="O112">
        <v>18</v>
      </c>
      <c r="P112">
        <v>261000</v>
      </c>
      <c r="Q112">
        <f t="shared" si="6"/>
        <v>14500</v>
      </c>
      <c r="R112" s="13">
        <v>180.29</v>
      </c>
      <c r="S112" t="s">
        <v>36</v>
      </c>
      <c r="T112">
        <f t="shared" si="7"/>
        <v>0</v>
      </c>
      <c r="U112">
        <v>0</v>
      </c>
      <c r="V112">
        <v>0</v>
      </c>
      <c r="W112">
        <v>0</v>
      </c>
    </row>
    <row r="113" spans="1:23" x14ac:dyDescent="0.35">
      <c r="A113" s="7" t="s">
        <v>199</v>
      </c>
      <c r="B113" t="s">
        <v>200</v>
      </c>
      <c r="C113" s="1">
        <v>45741</v>
      </c>
      <c r="D113">
        <v>25</v>
      </c>
      <c r="E113" t="str">
        <f t="shared" si="4"/>
        <v>25-34</v>
      </c>
      <c r="F113" t="s">
        <v>192</v>
      </c>
      <c r="G113" t="s">
        <v>33</v>
      </c>
      <c r="H113" t="s">
        <v>28</v>
      </c>
      <c r="I113">
        <v>4</v>
      </c>
      <c r="J113" t="s">
        <v>109</v>
      </c>
      <c r="K113">
        <v>38</v>
      </c>
      <c r="L113" t="str">
        <f t="shared" si="5"/>
        <v>2+years</v>
      </c>
      <c r="M113" t="s">
        <v>100</v>
      </c>
      <c r="N113">
        <v>75000</v>
      </c>
      <c r="O113">
        <v>4</v>
      </c>
      <c r="P113">
        <v>300000</v>
      </c>
      <c r="Q113">
        <f t="shared" si="6"/>
        <v>75000</v>
      </c>
      <c r="R113" s="13">
        <v>170.74</v>
      </c>
      <c r="S113" t="s">
        <v>36</v>
      </c>
      <c r="T113">
        <f t="shared" si="7"/>
        <v>0</v>
      </c>
      <c r="U113">
        <v>0</v>
      </c>
      <c r="V113">
        <v>0</v>
      </c>
      <c r="W113">
        <v>0</v>
      </c>
    </row>
    <row r="114" spans="1:23" x14ac:dyDescent="0.35">
      <c r="A114" s="7" t="s">
        <v>199</v>
      </c>
      <c r="B114" t="s">
        <v>200</v>
      </c>
      <c r="C114" s="1">
        <v>45741</v>
      </c>
      <c r="D114">
        <v>25</v>
      </c>
      <c r="E114" t="str">
        <f t="shared" si="4"/>
        <v>25-34</v>
      </c>
      <c r="F114" t="s">
        <v>192</v>
      </c>
      <c r="G114" t="s">
        <v>38</v>
      </c>
      <c r="H114" t="s">
        <v>28</v>
      </c>
      <c r="I114">
        <v>4</v>
      </c>
      <c r="J114" t="s">
        <v>109</v>
      </c>
      <c r="K114">
        <v>38</v>
      </c>
      <c r="L114" t="str">
        <f t="shared" si="5"/>
        <v>2+years</v>
      </c>
      <c r="M114" t="s">
        <v>35</v>
      </c>
      <c r="N114">
        <v>20000</v>
      </c>
      <c r="O114">
        <v>12</v>
      </c>
      <c r="P114">
        <v>240000</v>
      </c>
      <c r="Q114">
        <f t="shared" si="6"/>
        <v>20000</v>
      </c>
      <c r="R114" s="13">
        <v>76.58</v>
      </c>
      <c r="S114" t="s">
        <v>36</v>
      </c>
      <c r="T114">
        <f t="shared" si="7"/>
        <v>0</v>
      </c>
      <c r="U114">
        <v>0</v>
      </c>
      <c r="V114">
        <v>0</v>
      </c>
      <c r="W114">
        <v>0</v>
      </c>
    </row>
    <row r="115" spans="1:23" x14ac:dyDescent="0.35">
      <c r="A115" s="7" t="s">
        <v>201</v>
      </c>
      <c r="B115" t="s">
        <v>202</v>
      </c>
      <c r="C115" s="1">
        <v>45682</v>
      </c>
      <c r="D115">
        <v>53</v>
      </c>
      <c r="E115" t="str">
        <f t="shared" si="4"/>
        <v>45-54</v>
      </c>
      <c r="F115" t="s">
        <v>113</v>
      </c>
      <c r="G115" t="s">
        <v>38</v>
      </c>
      <c r="H115" t="s">
        <v>28</v>
      </c>
      <c r="I115">
        <v>5</v>
      </c>
      <c r="J115" t="s">
        <v>52</v>
      </c>
      <c r="K115">
        <v>18</v>
      </c>
      <c r="L115" t="str">
        <f t="shared" si="5"/>
        <v>1-2 years</v>
      </c>
      <c r="M115" t="s">
        <v>62</v>
      </c>
      <c r="N115">
        <v>30000</v>
      </c>
      <c r="O115">
        <v>8</v>
      </c>
      <c r="P115">
        <v>240000</v>
      </c>
      <c r="Q115">
        <f t="shared" si="6"/>
        <v>30000</v>
      </c>
      <c r="R115" s="13">
        <v>155.26</v>
      </c>
      <c r="S115" t="s">
        <v>36</v>
      </c>
      <c r="T115">
        <f t="shared" si="7"/>
        <v>0</v>
      </c>
      <c r="U115">
        <v>0</v>
      </c>
      <c r="V115">
        <v>0</v>
      </c>
      <c r="W115">
        <v>0</v>
      </c>
    </row>
    <row r="116" spans="1:23" x14ac:dyDescent="0.35">
      <c r="A116" s="7" t="s">
        <v>201</v>
      </c>
      <c r="B116" t="s">
        <v>202</v>
      </c>
      <c r="C116" s="1">
        <v>45682</v>
      </c>
      <c r="D116">
        <v>53</v>
      </c>
      <c r="E116" t="str">
        <f t="shared" si="4"/>
        <v>45-54</v>
      </c>
      <c r="F116" t="s">
        <v>113</v>
      </c>
      <c r="G116" t="s">
        <v>33</v>
      </c>
      <c r="H116" t="s">
        <v>28</v>
      </c>
      <c r="I116">
        <v>5</v>
      </c>
      <c r="J116" t="s">
        <v>52</v>
      </c>
      <c r="K116">
        <v>18</v>
      </c>
      <c r="L116" t="str">
        <f t="shared" si="5"/>
        <v>1-2 years</v>
      </c>
      <c r="M116" t="s">
        <v>110</v>
      </c>
      <c r="N116">
        <v>25000</v>
      </c>
      <c r="O116">
        <v>7</v>
      </c>
      <c r="P116">
        <v>175000</v>
      </c>
      <c r="Q116">
        <f t="shared" si="6"/>
        <v>25000</v>
      </c>
      <c r="R116" s="13">
        <v>44.19</v>
      </c>
      <c r="S116" t="s">
        <v>36</v>
      </c>
      <c r="T116">
        <f t="shared" si="7"/>
        <v>0</v>
      </c>
      <c r="U116">
        <v>0</v>
      </c>
      <c r="V116">
        <v>0</v>
      </c>
      <c r="W116">
        <v>0</v>
      </c>
    </row>
    <row r="117" spans="1:23" x14ac:dyDescent="0.35">
      <c r="A117" s="7" t="s">
        <v>201</v>
      </c>
      <c r="B117" t="s">
        <v>202</v>
      </c>
      <c r="C117" s="1">
        <v>45682</v>
      </c>
      <c r="D117">
        <v>53</v>
      </c>
      <c r="E117" t="str">
        <f t="shared" si="4"/>
        <v>45-54</v>
      </c>
      <c r="F117" t="s">
        <v>113</v>
      </c>
      <c r="G117" t="s">
        <v>19</v>
      </c>
      <c r="H117" t="s">
        <v>28</v>
      </c>
      <c r="I117">
        <v>5</v>
      </c>
      <c r="J117" t="s">
        <v>52</v>
      </c>
      <c r="K117">
        <v>18</v>
      </c>
      <c r="L117" t="str">
        <f t="shared" si="5"/>
        <v>1-2 years</v>
      </c>
      <c r="M117" t="s">
        <v>48</v>
      </c>
      <c r="N117">
        <v>9000</v>
      </c>
      <c r="O117">
        <v>5</v>
      </c>
      <c r="P117">
        <v>45000</v>
      </c>
      <c r="Q117">
        <f t="shared" si="6"/>
        <v>9000</v>
      </c>
      <c r="R117" s="13">
        <v>135.71</v>
      </c>
      <c r="S117" t="s">
        <v>36</v>
      </c>
      <c r="T117">
        <f t="shared" si="7"/>
        <v>0</v>
      </c>
      <c r="U117">
        <v>0</v>
      </c>
      <c r="V117">
        <v>0</v>
      </c>
      <c r="W117">
        <v>0</v>
      </c>
    </row>
    <row r="118" spans="1:23" x14ac:dyDescent="0.35">
      <c r="A118" s="7" t="s">
        <v>203</v>
      </c>
      <c r="B118" t="s">
        <v>204</v>
      </c>
      <c r="C118" s="1">
        <v>45741</v>
      </c>
      <c r="D118">
        <v>21</v>
      </c>
      <c r="E118" t="str">
        <f t="shared" si="4"/>
        <v>Under25</v>
      </c>
      <c r="F118" t="s">
        <v>144</v>
      </c>
      <c r="G118" t="s">
        <v>27</v>
      </c>
      <c r="H118" t="s">
        <v>28</v>
      </c>
      <c r="I118">
        <v>2</v>
      </c>
      <c r="J118" t="s">
        <v>21</v>
      </c>
      <c r="K118">
        <v>3</v>
      </c>
      <c r="L118" t="str">
        <f t="shared" si="5"/>
        <v>0-5 months</v>
      </c>
      <c r="M118" t="s">
        <v>69</v>
      </c>
      <c r="N118">
        <v>350</v>
      </c>
      <c r="O118">
        <v>18</v>
      </c>
      <c r="P118">
        <v>6300</v>
      </c>
      <c r="Q118">
        <f t="shared" si="6"/>
        <v>350</v>
      </c>
      <c r="R118" s="13">
        <v>26.87</v>
      </c>
      <c r="S118" t="s">
        <v>23</v>
      </c>
      <c r="T118">
        <f t="shared" si="7"/>
        <v>1</v>
      </c>
      <c r="U118">
        <v>0</v>
      </c>
      <c r="V118">
        <v>0</v>
      </c>
      <c r="W118">
        <v>0</v>
      </c>
    </row>
    <row r="119" spans="1:23" x14ac:dyDescent="0.35">
      <c r="A119" s="7" t="s">
        <v>203</v>
      </c>
      <c r="B119" t="s">
        <v>204</v>
      </c>
      <c r="C119" s="1">
        <v>45741</v>
      </c>
      <c r="D119">
        <v>21</v>
      </c>
      <c r="E119" t="str">
        <f t="shared" si="4"/>
        <v>Under25</v>
      </c>
      <c r="F119" t="s">
        <v>144</v>
      </c>
      <c r="G119" t="s">
        <v>38</v>
      </c>
      <c r="H119" t="s">
        <v>28</v>
      </c>
      <c r="I119">
        <v>2</v>
      </c>
      <c r="J119" t="s">
        <v>21</v>
      </c>
      <c r="K119">
        <v>3</v>
      </c>
      <c r="L119" t="str">
        <f t="shared" si="5"/>
        <v>0-5 months</v>
      </c>
      <c r="M119" t="s">
        <v>62</v>
      </c>
      <c r="N119">
        <v>30000</v>
      </c>
      <c r="O119">
        <v>9</v>
      </c>
      <c r="P119">
        <v>270000</v>
      </c>
      <c r="Q119">
        <f t="shared" si="6"/>
        <v>30000</v>
      </c>
      <c r="R119" s="13">
        <v>106.41</v>
      </c>
      <c r="S119" t="s">
        <v>23</v>
      </c>
      <c r="T119">
        <f t="shared" si="7"/>
        <v>1</v>
      </c>
      <c r="U119">
        <v>0</v>
      </c>
      <c r="V119">
        <v>0</v>
      </c>
      <c r="W119">
        <v>0</v>
      </c>
    </row>
    <row r="120" spans="1:23" x14ac:dyDescent="0.35">
      <c r="A120" s="7" t="s">
        <v>205</v>
      </c>
      <c r="B120" t="s">
        <v>206</v>
      </c>
      <c r="C120" s="1">
        <v>45741</v>
      </c>
      <c r="D120">
        <v>48</v>
      </c>
      <c r="E120" t="str">
        <f t="shared" si="4"/>
        <v>45-54</v>
      </c>
      <c r="F120" t="s">
        <v>207</v>
      </c>
      <c r="G120" t="s">
        <v>19</v>
      </c>
      <c r="H120" t="s">
        <v>28</v>
      </c>
      <c r="I120">
        <v>1</v>
      </c>
      <c r="J120" t="s">
        <v>34</v>
      </c>
      <c r="K120">
        <v>48</v>
      </c>
      <c r="L120" t="str">
        <f t="shared" si="5"/>
        <v>2+years</v>
      </c>
      <c r="M120" t="s">
        <v>43</v>
      </c>
      <c r="N120">
        <v>4500</v>
      </c>
      <c r="O120">
        <v>13</v>
      </c>
      <c r="P120">
        <v>58500</v>
      </c>
      <c r="Q120">
        <f t="shared" si="6"/>
        <v>4500</v>
      </c>
      <c r="R120" s="13">
        <v>172.1</v>
      </c>
      <c r="S120" t="s">
        <v>36</v>
      </c>
      <c r="T120">
        <f t="shared" si="7"/>
        <v>0</v>
      </c>
      <c r="U120">
        <v>0</v>
      </c>
      <c r="V120">
        <v>0</v>
      </c>
      <c r="W120">
        <v>0</v>
      </c>
    </row>
    <row r="121" spans="1:23" x14ac:dyDescent="0.35">
      <c r="A121" s="7" t="s">
        <v>208</v>
      </c>
      <c r="B121" t="s">
        <v>209</v>
      </c>
      <c r="C121" s="1">
        <v>45682</v>
      </c>
      <c r="D121">
        <v>27</v>
      </c>
      <c r="E121" t="str">
        <f t="shared" si="4"/>
        <v>25-34</v>
      </c>
      <c r="F121" t="s">
        <v>78</v>
      </c>
      <c r="G121" t="s">
        <v>33</v>
      </c>
      <c r="H121" t="s">
        <v>20</v>
      </c>
      <c r="I121">
        <v>4</v>
      </c>
      <c r="J121" t="s">
        <v>109</v>
      </c>
      <c r="K121">
        <v>17</v>
      </c>
      <c r="L121" t="str">
        <f t="shared" si="5"/>
        <v>1-2 years</v>
      </c>
      <c r="M121" t="s">
        <v>110</v>
      </c>
      <c r="N121">
        <v>25000</v>
      </c>
      <c r="O121">
        <v>8</v>
      </c>
      <c r="P121">
        <v>200000</v>
      </c>
      <c r="Q121">
        <f t="shared" si="6"/>
        <v>25000</v>
      </c>
      <c r="R121" s="13">
        <v>22.12</v>
      </c>
      <c r="S121" t="s">
        <v>36</v>
      </c>
      <c r="T121">
        <f t="shared" si="7"/>
        <v>0</v>
      </c>
      <c r="U121">
        <v>0</v>
      </c>
      <c r="V121">
        <v>0</v>
      </c>
      <c r="W121">
        <v>0</v>
      </c>
    </row>
    <row r="122" spans="1:23" x14ac:dyDescent="0.35">
      <c r="A122" s="7" t="s">
        <v>208</v>
      </c>
      <c r="B122" t="s">
        <v>209</v>
      </c>
      <c r="C122" s="1">
        <v>45682</v>
      </c>
      <c r="D122">
        <v>27</v>
      </c>
      <c r="E122" t="str">
        <f t="shared" si="4"/>
        <v>25-34</v>
      </c>
      <c r="F122" t="s">
        <v>78</v>
      </c>
      <c r="G122" t="s">
        <v>27</v>
      </c>
      <c r="H122" t="s">
        <v>20</v>
      </c>
      <c r="I122">
        <v>4</v>
      </c>
      <c r="J122" t="s">
        <v>109</v>
      </c>
      <c r="K122">
        <v>17</v>
      </c>
      <c r="L122" t="str">
        <f t="shared" si="5"/>
        <v>1-2 years</v>
      </c>
      <c r="M122" t="s">
        <v>29</v>
      </c>
      <c r="N122">
        <v>5500</v>
      </c>
      <c r="O122">
        <v>18</v>
      </c>
      <c r="P122">
        <v>99000</v>
      </c>
      <c r="Q122">
        <f t="shared" si="6"/>
        <v>5500</v>
      </c>
      <c r="R122" s="13">
        <v>5.49</v>
      </c>
      <c r="S122" t="s">
        <v>36</v>
      </c>
      <c r="T122">
        <f t="shared" si="7"/>
        <v>0</v>
      </c>
      <c r="U122">
        <v>0</v>
      </c>
      <c r="V122">
        <v>0</v>
      </c>
      <c r="W122">
        <v>0</v>
      </c>
    </row>
    <row r="123" spans="1:23" x14ac:dyDescent="0.35">
      <c r="A123" s="7" t="s">
        <v>208</v>
      </c>
      <c r="B123" t="s">
        <v>209</v>
      </c>
      <c r="C123" s="1">
        <v>45682</v>
      </c>
      <c r="D123">
        <v>27</v>
      </c>
      <c r="E123" t="str">
        <f t="shared" si="4"/>
        <v>25-34</v>
      </c>
      <c r="F123" t="s">
        <v>78</v>
      </c>
      <c r="G123" t="s">
        <v>19</v>
      </c>
      <c r="H123" t="s">
        <v>20</v>
      </c>
      <c r="I123">
        <v>4</v>
      </c>
      <c r="J123" t="s">
        <v>109</v>
      </c>
      <c r="K123">
        <v>17</v>
      </c>
      <c r="L123" t="str">
        <f t="shared" si="5"/>
        <v>1-2 years</v>
      </c>
      <c r="M123" t="s">
        <v>48</v>
      </c>
      <c r="N123">
        <v>9000</v>
      </c>
      <c r="O123">
        <v>8</v>
      </c>
      <c r="P123">
        <v>72000</v>
      </c>
      <c r="Q123">
        <f t="shared" si="6"/>
        <v>9000</v>
      </c>
      <c r="R123" s="13">
        <v>183.09</v>
      </c>
      <c r="S123" t="s">
        <v>36</v>
      </c>
      <c r="T123">
        <f t="shared" si="7"/>
        <v>0</v>
      </c>
      <c r="U123">
        <v>0</v>
      </c>
      <c r="V123">
        <v>0</v>
      </c>
      <c r="W123">
        <v>0</v>
      </c>
    </row>
    <row r="124" spans="1:23" x14ac:dyDescent="0.35">
      <c r="A124" s="7" t="s">
        <v>210</v>
      </c>
      <c r="B124" t="s">
        <v>211</v>
      </c>
      <c r="C124" s="1">
        <v>45713</v>
      </c>
      <c r="D124">
        <v>75</v>
      </c>
      <c r="E124" t="str">
        <f t="shared" si="4"/>
        <v>55+</v>
      </c>
      <c r="F124" t="s">
        <v>144</v>
      </c>
      <c r="G124" t="s">
        <v>27</v>
      </c>
      <c r="H124" t="s">
        <v>28</v>
      </c>
      <c r="I124">
        <v>1</v>
      </c>
      <c r="J124" t="s">
        <v>34</v>
      </c>
      <c r="K124">
        <v>8</v>
      </c>
      <c r="L124" t="str">
        <f t="shared" si="5"/>
        <v>6-12 months</v>
      </c>
      <c r="M124" t="s">
        <v>79</v>
      </c>
      <c r="N124">
        <v>1000</v>
      </c>
      <c r="O124">
        <v>18</v>
      </c>
      <c r="P124">
        <v>18000</v>
      </c>
      <c r="Q124">
        <f t="shared" si="6"/>
        <v>1000</v>
      </c>
      <c r="R124" s="13">
        <v>47.34</v>
      </c>
      <c r="S124" t="s">
        <v>36</v>
      </c>
      <c r="T124">
        <f t="shared" si="7"/>
        <v>0</v>
      </c>
      <c r="U124">
        <v>0</v>
      </c>
      <c r="V124">
        <v>0</v>
      </c>
      <c r="W124">
        <v>0</v>
      </c>
    </row>
    <row r="125" spans="1:23" x14ac:dyDescent="0.35">
      <c r="A125" s="7" t="s">
        <v>210</v>
      </c>
      <c r="B125" t="s">
        <v>211</v>
      </c>
      <c r="C125" s="1">
        <v>45713</v>
      </c>
      <c r="D125">
        <v>75</v>
      </c>
      <c r="E125" t="str">
        <f t="shared" si="4"/>
        <v>55+</v>
      </c>
      <c r="F125" t="s">
        <v>144</v>
      </c>
      <c r="G125" t="s">
        <v>38</v>
      </c>
      <c r="H125" t="s">
        <v>28</v>
      </c>
      <c r="I125">
        <v>1</v>
      </c>
      <c r="J125" t="s">
        <v>34</v>
      </c>
      <c r="K125">
        <v>8</v>
      </c>
      <c r="L125" t="str">
        <f t="shared" si="5"/>
        <v>6-12 months</v>
      </c>
      <c r="M125" t="s">
        <v>35</v>
      </c>
      <c r="N125">
        <v>20000</v>
      </c>
      <c r="O125">
        <v>12</v>
      </c>
      <c r="P125">
        <v>240000</v>
      </c>
      <c r="Q125">
        <f t="shared" si="6"/>
        <v>20000</v>
      </c>
      <c r="R125" s="13">
        <v>78.03</v>
      </c>
      <c r="S125" t="s">
        <v>36</v>
      </c>
      <c r="T125">
        <f t="shared" si="7"/>
        <v>0</v>
      </c>
      <c r="U125">
        <v>0</v>
      </c>
      <c r="V125">
        <v>0</v>
      </c>
      <c r="W125">
        <v>0</v>
      </c>
    </row>
    <row r="126" spans="1:23" x14ac:dyDescent="0.35">
      <c r="A126" s="7" t="s">
        <v>212</v>
      </c>
      <c r="B126" t="s">
        <v>213</v>
      </c>
      <c r="C126" s="1">
        <v>45682</v>
      </c>
      <c r="D126">
        <v>69</v>
      </c>
      <c r="E126" t="str">
        <f t="shared" si="4"/>
        <v>55+</v>
      </c>
      <c r="F126" t="s">
        <v>51</v>
      </c>
      <c r="G126" t="s">
        <v>38</v>
      </c>
      <c r="H126" t="s">
        <v>28</v>
      </c>
      <c r="I126">
        <v>4</v>
      </c>
      <c r="J126" t="s">
        <v>109</v>
      </c>
      <c r="K126">
        <v>42</v>
      </c>
      <c r="L126" t="str">
        <f t="shared" si="5"/>
        <v>2+years</v>
      </c>
      <c r="M126" t="s">
        <v>62</v>
      </c>
      <c r="N126">
        <v>30000</v>
      </c>
      <c r="O126">
        <v>15</v>
      </c>
      <c r="P126">
        <v>450000</v>
      </c>
      <c r="Q126">
        <f t="shared" si="6"/>
        <v>30000</v>
      </c>
      <c r="R126" s="13">
        <v>43.85</v>
      </c>
      <c r="S126" t="s">
        <v>36</v>
      </c>
      <c r="T126">
        <f t="shared" si="7"/>
        <v>0</v>
      </c>
      <c r="U126">
        <v>0</v>
      </c>
      <c r="V126">
        <v>0</v>
      </c>
      <c r="W126">
        <v>0</v>
      </c>
    </row>
    <row r="127" spans="1:23" x14ac:dyDescent="0.35">
      <c r="A127" s="7" t="s">
        <v>212</v>
      </c>
      <c r="B127" t="s">
        <v>213</v>
      </c>
      <c r="C127" s="1">
        <v>45682</v>
      </c>
      <c r="D127">
        <v>69</v>
      </c>
      <c r="E127" t="str">
        <f t="shared" si="4"/>
        <v>55+</v>
      </c>
      <c r="F127" t="s">
        <v>51</v>
      </c>
      <c r="G127" t="s">
        <v>33</v>
      </c>
      <c r="H127" t="s">
        <v>28</v>
      </c>
      <c r="I127">
        <v>4</v>
      </c>
      <c r="J127" t="s">
        <v>109</v>
      </c>
      <c r="K127">
        <v>42</v>
      </c>
      <c r="L127" t="str">
        <f t="shared" si="5"/>
        <v>2+years</v>
      </c>
      <c r="M127" t="s">
        <v>68</v>
      </c>
      <c r="N127">
        <v>14500</v>
      </c>
      <c r="O127">
        <v>4</v>
      </c>
      <c r="P127">
        <v>58000</v>
      </c>
      <c r="Q127">
        <f t="shared" si="6"/>
        <v>14500</v>
      </c>
      <c r="R127" s="13">
        <v>171.16</v>
      </c>
      <c r="S127" t="s">
        <v>36</v>
      </c>
      <c r="T127">
        <f t="shared" si="7"/>
        <v>0</v>
      </c>
      <c r="U127">
        <v>0</v>
      </c>
      <c r="V127">
        <v>0</v>
      </c>
      <c r="W127">
        <v>0</v>
      </c>
    </row>
    <row r="128" spans="1:23" x14ac:dyDescent="0.35">
      <c r="A128" s="7" t="s">
        <v>214</v>
      </c>
      <c r="B128" t="s">
        <v>215</v>
      </c>
      <c r="C128" s="1">
        <v>45713</v>
      </c>
      <c r="D128">
        <v>61</v>
      </c>
      <c r="E128" t="str">
        <f t="shared" si="4"/>
        <v>55+</v>
      </c>
      <c r="F128" t="s">
        <v>46</v>
      </c>
      <c r="G128" t="s">
        <v>38</v>
      </c>
      <c r="H128" t="s">
        <v>28</v>
      </c>
      <c r="I128">
        <v>1</v>
      </c>
      <c r="J128" t="s">
        <v>34</v>
      </c>
      <c r="K128">
        <v>18</v>
      </c>
      <c r="L128" t="str">
        <f t="shared" si="5"/>
        <v>1-2 years</v>
      </c>
      <c r="M128" t="s">
        <v>35</v>
      </c>
      <c r="N128">
        <v>20000</v>
      </c>
      <c r="O128">
        <v>20</v>
      </c>
      <c r="P128">
        <v>400000</v>
      </c>
      <c r="Q128">
        <f t="shared" si="6"/>
        <v>20000</v>
      </c>
      <c r="R128" s="13">
        <v>128.52000000000001</v>
      </c>
      <c r="S128" t="s">
        <v>36</v>
      </c>
      <c r="T128">
        <f t="shared" si="7"/>
        <v>0</v>
      </c>
      <c r="U128">
        <v>0</v>
      </c>
      <c r="V128">
        <v>0</v>
      </c>
      <c r="W128">
        <v>0</v>
      </c>
    </row>
    <row r="129" spans="1:23" x14ac:dyDescent="0.35">
      <c r="A129" s="7" t="s">
        <v>214</v>
      </c>
      <c r="B129" t="s">
        <v>215</v>
      </c>
      <c r="C129" s="1">
        <v>45713</v>
      </c>
      <c r="D129">
        <v>61</v>
      </c>
      <c r="E129" t="str">
        <f t="shared" si="4"/>
        <v>55+</v>
      </c>
      <c r="F129" t="s">
        <v>46</v>
      </c>
      <c r="G129" t="s">
        <v>33</v>
      </c>
      <c r="H129" t="s">
        <v>28</v>
      </c>
      <c r="I129">
        <v>1</v>
      </c>
      <c r="J129" t="s">
        <v>34</v>
      </c>
      <c r="K129">
        <v>18</v>
      </c>
      <c r="L129" t="str">
        <f t="shared" si="5"/>
        <v>1-2 years</v>
      </c>
      <c r="M129" t="s">
        <v>39</v>
      </c>
      <c r="N129">
        <v>9000</v>
      </c>
      <c r="O129">
        <v>11</v>
      </c>
      <c r="P129">
        <v>99000</v>
      </c>
      <c r="Q129">
        <f t="shared" si="6"/>
        <v>9000</v>
      </c>
      <c r="R129" s="13">
        <v>10.59</v>
      </c>
      <c r="S129" t="s">
        <v>36</v>
      </c>
      <c r="T129">
        <f t="shared" si="7"/>
        <v>0</v>
      </c>
      <c r="U129">
        <v>0</v>
      </c>
      <c r="V129">
        <v>0</v>
      </c>
      <c r="W129">
        <v>0</v>
      </c>
    </row>
    <row r="130" spans="1:23" x14ac:dyDescent="0.35">
      <c r="A130" s="7" t="s">
        <v>216</v>
      </c>
      <c r="B130" t="s">
        <v>217</v>
      </c>
      <c r="C130" s="1">
        <v>45713</v>
      </c>
      <c r="D130">
        <v>32</v>
      </c>
      <c r="E130" t="str">
        <f t="shared" si="4"/>
        <v>25-34</v>
      </c>
      <c r="F130" t="s">
        <v>75</v>
      </c>
      <c r="G130" t="s">
        <v>33</v>
      </c>
      <c r="H130" t="s">
        <v>20</v>
      </c>
      <c r="I130">
        <v>5</v>
      </c>
      <c r="J130" t="s">
        <v>52</v>
      </c>
      <c r="K130">
        <v>54</v>
      </c>
      <c r="L130" t="str">
        <f t="shared" si="5"/>
        <v>2+years</v>
      </c>
      <c r="M130" t="s">
        <v>62</v>
      </c>
      <c r="N130">
        <v>30000</v>
      </c>
      <c r="O130">
        <v>20</v>
      </c>
      <c r="P130">
        <v>600000</v>
      </c>
      <c r="Q130">
        <f t="shared" si="6"/>
        <v>30000</v>
      </c>
      <c r="R130" s="13">
        <v>157.83000000000001</v>
      </c>
      <c r="S130" t="s">
        <v>23</v>
      </c>
      <c r="T130">
        <f t="shared" si="7"/>
        <v>1</v>
      </c>
      <c r="U130">
        <v>0</v>
      </c>
      <c r="V130">
        <v>0</v>
      </c>
      <c r="W130">
        <v>0</v>
      </c>
    </row>
    <row r="131" spans="1:23" x14ac:dyDescent="0.35">
      <c r="A131" s="7" t="s">
        <v>218</v>
      </c>
      <c r="B131" t="s">
        <v>219</v>
      </c>
      <c r="C131" s="1">
        <v>45741</v>
      </c>
      <c r="D131">
        <v>51</v>
      </c>
      <c r="E131" t="str">
        <f t="shared" ref="E131:E194" si="8">IF(D131&lt;25,"Under25",IF(D131&lt;35,"25-34",IF(D131&lt;45,"35-44",IF(D131&lt;55,"45-54","55+"))) )</f>
        <v>45-54</v>
      </c>
      <c r="F131" t="s">
        <v>51</v>
      </c>
      <c r="G131" t="s">
        <v>19</v>
      </c>
      <c r="H131" t="s">
        <v>20</v>
      </c>
      <c r="I131">
        <v>2</v>
      </c>
      <c r="J131" t="s">
        <v>21</v>
      </c>
      <c r="K131">
        <v>35</v>
      </c>
      <c r="L131" t="str">
        <f t="shared" ref="L131:L194" si="9">IF(K131&lt;6,"0-5 months",IF(K131&lt;13,"6-12 months",IF(K131&lt;25,"1-2 years","2+years")))</f>
        <v>2+years</v>
      </c>
      <c r="M131" t="s">
        <v>55</v>
      </c>
      <c r="N131">
        <v>16000</v>
      </c>
      <c r="O131">
        <v>8</v>
      </c>
      <c r="P131">
        <v>128000</v>
      </c>
      <c r="Q131">
        <f t="shared" ref="Q131:Q194" si="10">P131/O131</f>
        <v>16000</v>
      </c>
      <c r="R131" s="13">
        <v>71.97</v>
      </c>
      <c r="S131" t="s">
        <v>23</v>
      </c>
      <c r="T131">
        <f t="shared" ref="T131:T194" si="11">IF(S131="yes",1,0)</f>
        <v>1</v>
      </c>
      <c r="U131">
        <v>0</v>
      </c>
      <c r="V131">
        <v>0</v>
      </c>
      <c r="W131">
        <v>0</v>
      </c>
    </row>
    <row r="132" spans="1:23" x14ac:dyDescent="0.35">
      <c r="A132" s="7" t="s">
        <v>220</v>
      </c>
      <c r="B132" t="s">
        <v>221</v>
      </c>
      <c r="C132" s="1">
        <v>45713</v>
      </c>
      <c r="D132">
        <v>18</v>
      </c>
      <c r="E132" t="str">
        <f t="shared" si="8"/>
        <v>Under25</v>
      </c>
      <c r="F132" t="s">
        <v>126</v>
      </c>
      <c r="G132" t="s">
        <v>19</v>
      </c>
      <c r="H132" t="s">
        <v>28</v>
      </c>
      <c r="I132">
        <v>4</v>
      </c>
      <c r="J132" t="s">
        <v>109</v>
      </c>
      <c r="K132">
        <v>4</v>
      </c>
      <c r="L132" t="str">
        <f t="shared" si="9"/>
        <v>0-5 months</v>
      </c>
      <c r="M132" t="s">
        <v>43</v>
      </c>
      <c r="N132">
        <v>4500</v>
      </c>
      <c r="O132">
        <v>4</v>
      </c>
      <c r="P132">
        <v>18000</v>
      </c>
      <c r="Q132">
        <f t="shared" si="10"/>
        <v>4500</v>
      </c>
      <c r="R132" s="13">
        <v>102.89</v>
      </c>
      <c r="S132" t="s">
        <v>36</v>
      </c>
      <c r="T132">
        <f t="shared" si="11"/>
        <v>0</v>
      </c>
      <c r="U132">
        <v>0</v>
      </c>
      <c r="V132">
        <v>0</v>
      </c>
      <c r="W132">
        <v>0</v>
      </c>
    </row>
    <row r="133" spans="1:23" x14ac:dyDescent="0.35">
      <c r="A133" s="7" t="s">
        <v>222</v>
      </c>
      <c r="B133" t="s">
        <v>223</v>
      </c>
      <c r="C133" s="1">
        <v>45741</v>
      </c>
      <c r="D133">
        <v>80</v>
      </c>
      <c r="E133" t="str">
        <f t="shared" si="8"/>
        <v>55+</v>
      </c>
      <c r="F133" t="s">
        <v>108</v>
      </c>
      <c r="G133" t="s">
        <v>38</v>
      </c>
      <c r="H133" t="s">
        <v>20</v>
      </c>
      <c r="I133">
        <v>4</v>
      </c>
      <c r="J133" t="s">
        <v>109</v>
      </c>
      <c r="K133">
        <v>47</v>
      </c>
      <c r="L133" t="str">
        <f t="shared" si="9"/>
        <v>2+years</v>
      </c>
      <c r="M133" t="s">
        <v>68</v>
      </c>
      <c r="N133">
        <v>14500</v>
      </c>
      <c r="O133">
        <v>14</v>
      </c>
      <c r="P133">
        <v>203000</v>
      </c>
      <c r="Q133">
        <f t="shared" si="10"/>
        <v>14500</v>
      </c>
      <c r="R133" s="13">
        <v>169.54</v>
      </c>
      <c r="S133" t="s">
        <v>36</v>
      </c>
      <c r="T133">
        <f t="shared" si="11"/>
        <v>0</v>
      </c>
      <c r="U133">
        <v>0</v>
      </c>
      <c r="V133">
        <v>0</v>
      </c>
      <c r="W133">
        <v>0</v>
      </c>
    </row>
    <row r="134" spans="1:23" x14ac:dyDescent="0.35">
      <c r="A134" s="7" t="s">
        <v>224</v>
      </c>
      <c r="B134" t="s">
        <v>225</v>
      </c>
      <c r="C134" s="1">
        <v>45682</v>
      </c>
      <c r="D134">
        <v>78</v>
      </c>
      <c r="E134" t="str">
        <f t="shared" si="8"/>
        <v>55+</v>
      </c>
      <c r="F134" t="s">
        <v>192</v>
      </c>
      <c r="G134" t="s">
        <v>19</v>
      </c>
      <c r="H134" t="s">
        <v>20</v>
      </c>
      <c r="I134">
        <v>3</v>
      </c>
      <c r="J134" t="s">
        <v>47</v>
      </c>
      <c r="K134">
        <v>58</v>
      </c>
      <c r="L134" t="str">
        <f t="shared" si="9"/>
        <v>2+years</v>
      </c>
      <c r="M134" t="s">
        <v>48</v>
      </c>
      <c r="N134">
        <v>9000</v>
      </c>
      <c r="O134">
        <v>19</v>
      </c>
      <c r="P134">
        <v>171000</v>
      </c>
      <c r="Q134">
        <f t="shared" si="10"/>
        <v>9000</v>
      </c>
      <c r="R134" s="13">
        <v>125.05</v>
      </c>
      <c r="S134" t="s">
        <v>36</v>
      </c>
      <c r="T134">
        <f t="shared" si="11"/>
        <v>0</v>
      </c>
      <c r="U134">
        <v>0</v>
      </c>
      <c r="V134">
        <v>0</v>
      </c>
      <c r="W134">
        <v>0</v>
      </c>
    </row>
    <row r="135" spans="1:23" x14ac:dyDescent="0.35">
      <c r="A135" s="7" t="s">
        <v>226</v>
      </c>
      <c r="B135" t="s">
        <v>227</v>
      </c>
      <c r="C135" s="1">
        <v>45713</v>
      </c>
      <c r="D135">
        <v>64</v>
      </c>
      <c r="E135" t="str">
        <f t="shared" si="8"/>
        <v>55+</v>
      </c>
      <c r="F135" t="s">
        <v>72</v>
      </c>
      <c r="G135" t="s">
        <v>27</v>
      </c>
      <c r="H135" t="s">
        <v>28</v>
      </c>
      <c r="I135">
        <v>1</v>
      </c>
      <c r="J135" t="s">
        <v>34</v>
      </c>
      <c r="K135">
        <v>30</v>
      </c>
      <c r="L135" t="str">
        <f t="shared" si="9"/>
        <v>2+years</v>
      </c>
      <c r="M135" t="s">
        <v>22</v>
      </c>
      <c r="N135">
        <v>35000</v>
      </c>
      <c r="O135">
        <v>8</v>
      </c>
      <c r="P135">
        <v>280000</v>
      </c>
      <c r="Q135">
        <f t="shared" si="10"/>
        <v>35000</v>
      </c>
      <c r="R135" s="13">
        <v>90.59</v>
      </c>
      <c r="S135" t="s">
        <v>36</v>
      </c>
      <c r="T135">
        <f t="shared" si="11"/>
        <v>0</v>
      </c>
      <c r="U135">
        <v>0</v>
      </c>
      <c r="V135">
        <v>0</v>
      </c>
      <c r="W135">
        <v>0</v>
      </c>
    </row>
    <row r="136" spans="1:23" x14ac:dyDescent="0.35">
      <c r="A136" s="7" t="s">
        <v>228</v>
      </c>
      <c r="B136" t="s">
        <v>229</v>
      </c>
      <c r="C136" s="1">
        <v>45682</v>
      </c>
      <c r="D136">
        <v>59</v>
      </c>
      <c r="E136" t="str">
        <f t="shared" si="8"/>
        <v>55+</v>
      </c>
      <c r="F136" t="s">
        <v>32</v>
      </c>
      <c r="G136" t="s">
        <v>33</v>
      </c>
      <c r="H136" t="s">
        <v>28</v>
      </c>
      <c r="I136">
        <v>3</v>
      </c>
      <c r="J136" t="s">
        <v>47</v>
      </c>
      <c r="K136">
        <v>27</v>
      </c>
      <c r="L136" t="str">
        <f t="shared" si="9"/>
        <v>2+years</v>
      </c>
      <c r="M136" t="s">
        <v>54</v>
      </c>
      <c r="N136">
        <v>150000</v>
      </c>
      <c r="O136">
        <v>3</v>
      </c>
      <c r="P136">
        <v>450000</v>
      </c>
      <c r="Q136">
        <f t="shared" si="10"/>
        <v>150000</v>
      </c>
      <c r="R136" s="13">
        <v>13.89</v>
      </c>
      <c r="S136" t="s">
        <v>36</v>
      </c>
      <c r="T136">
        <f t="shared" si="11"/>
        <v>0</v>
      </c>
      <c r="U136">
        <v>0</v>
      </c>
      <c r="V136">
        <v>0</v>
      </c>
      <c r="W136">
        <v>0</v>
      </c>
    </row>
    <row r="137" spans="1:23" x14ac:dyDescent="0.35">
      <c r="A137" s="7" t="s">
        <v>228</v>
      </c>
      <c r="B137" t="s">
        <v>229</v>
      </c>
      <c r="C137" s="1">
        <v>45682</v>
      </c>
      <c r="D137">
        <v>59</v>
      </c>
      <c r="E137" t="str">
        <f t="shared" si="8"/>
        <v>55+</v>
      </c>
      <c r="F137" t="s">
        <v>32</v>
      </c>
      <c r="G137" t="s">
        <v>19</v>
      </c>
      <c r="H137" t="s">
        <v>28</v>
      </c>
      <c r="I137">
        <v>3</v>
      </c>
      <c r="J137" t="s">
        <v>47</v>
      </c>
      <c r="K137">
        <v>27</v>
      </c>
      <c r="L137" t="str">
        <f t="shared" si="9"/>
        <v>2+years</v>
      </c>
      <c r="M137" t="s">
        <v>55</v>
      </c>
      <c r="N137">
        <v>16000</v>
      </c>
      <c r="O137">
        <v>12</v>
      </c>
      <c r="P137">
        <v>192000</v>
      </c>
      <c r="Q137">
        <f t="shared" si="10"/>
        <v>16000</v>
      </c>
      <c r="R137" s="13">
        <v>86.66</v>
      </c>
      <c r="S137" t="s">
        <v>36</v>
      </c>
      <c r="T137">
        <f t="shared" si="11"/>
        <v>0</v>
      </c>
      <c r="U137">
        <v>0</v>
      </c>
      <c r="V137">
        <v>0</v>
      </c>
      <c r="W137">
        <v>0</v>
      </c>
    </row>
    <row r="138" spans="1:23" x14ac:dyDescent="0.35">
      <c r="A138" s="7" t="s">
        <v>228</v>
      </c>
      <c r="B138" t="s">
        <v>229</v>
      </c>
      <c r="C138" s="1">
        <v>45682</v>
      </c>
      <c r="D138">
        <v>59</v>
      </c>
      <c r="E138" t="str">
        <f t="shared" si="8"/>
        <v>55+</v>
      </c>
      <c r="F138" t="s">
        <v>32</v>
      </c>
      <c r="G138" t="s">
        <v>38</v>
      </c>
      <c r="H138" t="s">
        <v>28</v>
      </c>
      <c r="I138">
        <v>3</v>
      </c>
      <c r="J138" t="s">
        <v>47</v>
      </c>
      <c r="K138">
        <v>27</v>
      </c>
      <c r="L138" t="str">
        <f t="shared" si="9"/>
        <v>2+years</v>
      </c>
      <c r="M138" t="s">
        <v>35</v>
      </c>
      <c r="N138">
        <v>20000</v>
      </c>
      <c r="O138">
        <v>19</v>
      </c>
      <c r="P138">
        <v>380000</v>
      </c>
      <c r="Q138">
        <f t="shared" si="10"/>
        <v>20000</v>
      </c>
      <c r="R138" s="13">
        <v>111.5</v>
      </c>
      <c r="S138" t="s">
        <v>36</v>
      </c>
      <c r="T138">
        <f t="shared" si="11"/>
        <v>0</v>
      </c>
      <c r="U138">
        <v>0</v>
      </c>
      <c r="V138">
        <v>0</v>
      </c>
      <c r="W138">
        <v>0</v>
      </c>
    </row>
    <row r="139" spans="1:23" x14ac:dyDescent="0.35">
      <c r="A139" s="7" t="s">
        <v>230</v>
      </c>
      <c r="B139" t="s">
        <v>231</v>
      </c>
      <c r="C139" s="1">
        <v>45713</v>
      </c>
      <c r="D139">
        <v>31</v>
      </c>
      <c r="E139" t="str">
        <f t="shared" si="8"/>
        <v>25-34</v>
      </c>
      <c r="F139" t="s">
        <v>105</v>
      </c>
      <c r="G139" t="s">
        <v>33</v>
      </c>
      <c r="H139" t="s">
        <v>28</v>
      </c>
      <c r="I139">
        <v>1</v>
      </c>
      <c r="J139" t="s">
        <v>34</v>
      </c>
      <c r="K139">
        <v>56</v>
      </c>
      <c r="L139" t="str">
        <f t="shared" si="9"/>
        <v>2+years</v>
      </c>
      <c r="M139" t="s">
        <v>68</v>
      </c>
      <c r="N139">
        <v>14500</v>
      </c>
      <c r="O139">
        <v>16</v>
      </c>
      <c r="P139">
        <v>232000</v>
      </c>
      <c r="Q139">
        <f t="shared" si="10"/>
        <v>14500</v>
      </c>
      <c r="R139" s="13">
        <v>31.37</v>
      </c>
      <c r="S139" t="s">
        <v>36</v>
      </c>
      <c r="T139">
        <f t="shared" si="11"/>
        <v>0</v>
      </c>
      <c r="U139">
        <v>0</v>
      </c>
      <c r="V139">
        <v>0</v>
      </c>
      <c r="W139">
        <v>0</v>
      </c>
    </row>
    <row r="140" spans="1:23" x14ac:dyDescent="0.35">
      <c r="A140" s="7" t="s">
        <v>230</v>
      </c>
      <c r="B140" t="s">
        <v>231</v>
      </c>
      <c r="C140" s="1">
        <v>45713</v>
      </c>
      <c r="D140">
        <v>31</v>
      </c>
      <c r="E140" t="str">
        <f t="shared" si="8"/>
        <v>25-34</v>
      </c>
      <c r="F140" t="s">
        <v>105</v>
      </c>
      <c r="G140" t="s">
        <v>19</v>
      </c>
      <c r="H140" t="s">
        <v>28</v>
      </c>
      <c r="I140">
        <v>1</v>
      </c>
      <c r="J140" t="s">
        <v>34</v>
      </c>
      <c r="K140">
        <v>56</v>
      </c>
      <c r="L140" t="str">
        <f t="shared" si="9"/>
        <v>2+years</v>
      </c>
      <c r="M140" t="s">
        <v>43</v>
      </c>
      <c r="N140">
        <v>4500</v>
      </c>
      <c r="O140">
        <v>12</v>
      </c>
      <c r="P140">
        <v>54000</v>
      </c>
      <c r="Q140">
        <f t="shared" si="10"/>
        <v>4500</v>
      </c>
      <c r="R140" s="13">
        <v>169.53</v>
      </c>
      <c r="S140" t="s">
        <v>36</v>
      </c>
      <c r="T140">
        <f t="shared" si="11"/>
        <v>0</v>
      </c>
      <c r="U140">
        <v>0</v>
      </c>
      <c r="V140">
        <v>0</v>
      </c>
      <c r="W140">
        <v>0</v>
      </c>
    </row>
    <row r="141" spans="1:23" x14ac:dyDescent="0.35">
      <c r="A141" s="7" t="s">
        <v>230</v>
      </c>
      <c r="B141" t="s">
        <v>231</v>
      </c>
      <c r="C141" s="1">
        <v>45713</v>
      </c>
      <c r="D141">
        <v>31</v>
      </c>
      <c r="E141" t="str">
        <f t="shared" si="8"/>
        <v>25-34</v>
      </c>
      <c r="F141" t="s">
        <v>105</v>
      </c>
      <c r="G141" t="s">
        <v>38</v>
      </c>
      <c r="H141" t="s">
        <v>28</v>
      </c>
      <c r="I141">
        <v>1</v>
      </c>
      <c r="J141" t="s">
        <v>34</v>
      </c>
      <c r="K141">
        <v>56</v>
      </c>
      <c r="L141" t="str">
        <f t="shared" si="9"/>
        <v>2+years</v>
      </c>
      <c r="M141" t="s">
        <v>59</v>
      </c>
      <c r="N141">
        <v>24000</v>
      </c>
      <c r="O141">
        <v>9</v>
      </c>
      <c r="P141">
        <v>216000</v>
      </c>
      <c r="Q141">
        <f t="shared" si="10"/>
        <v>24000</v>
      </c>
      <c r="R141" s="13">
        <v>73.83</v>
      </c>
      <c r="S141" t="s">
        <v>36</v>
      </c>
      <c r="T141">
        <f t="shared" si="11"/>
        <v>0</v>
      </c>
      <c r="U141">
        <v>0</v>
      </c>
      <c r="V141">
        <v>0</v>
      </c>
      <c r="W141">
        <v>0</v>
      </c>
    </row>
    <row r="142" spans="1:23" x14ac:dyDescent="0.35">
      <c r="A142" s="7" t="s">
        <v>232</v>
      </c>
      <c r="B142" t="s">
        <v>233</v>
      </c>
      <c r="C142" s="1">
        <v>45713</v>
      </c>
      <c r="D142">
        <v>70</v>
      </c>
      <c r="E142" t="str">
        <f t="shared" si="8"/>
        <v>55+</v>
      </c>
      <c r="F142" t="s">
        <v>113</v>
      </c>
      <c r="G142" t="s">
        <v>33</v>
      </c>
      <c r="H142" t="s">
        <v>28</v>
      </c>
      <c r="I142">
        <v>3</v>
      </c>
      <c r="J142" t="s">
        <v>47</v>
      </c>
      <c r="K142">
        <v>2</v>
      </c>
      <c r="L142" t="str">
        <f t="shared" si="9"/>
        <v>0-5 months</v>
      </c>
      <c r="M142" t="s">
        <v>39</v>
      </c>
      <c r="N142">
        <v>9000</v>
      </c>
      <c r="O142">
        <v>5</v>
      </c>
      <c r="P142">
        <v>45000</v>
      </c>
      <c r="Q142">
        <f t="shared" si="10"/>
        <v>9000</v>
      </c>
      <c r="R142" s="13">
        <v>36.69</v>
      </c>
      <c r="S142" t="s">
        <v>36</v>
      </c>
      <c r="T142">
        <f t="shared" si="11"/>
        <v>0</v>
      </c>
      <c r="U142">
        <v>0</v>
      </c>
      <c r="V142">
        <v>0</v>
      </c>
      <c r="W142">
        <v>0</v>
      </c>
    </row>
    <row r="143" spans="1:23" x14ac:dyDescent="0.35">
      <c r="A143" s="7" t="s">
        <v>232</v>
      </c>
      <c r="B143" t="s">
        <v>233</v>
      </c>
      <c r="C143" s="1">
        <v>45713</v>
      </c>
      <c r="D143">
        <v>70</v>
      </c>
      <c r="E143" t="str">
        <f t="shared" si="8"/>
        <v>55+</v>
      </c>
      <c r="F143" t="s">
        <v>113</v>
      </c>
      <c r="G143" t="s">
        <v>19</v>
      </c>
      <c r="H143" t="s">
        <v>28</v>
      </c>
      <c r="I143">
        <v>3</v>
      </c>
      <c r="J143" t="s">
        <v>47</v>
      </c>
      <c r="K143">
        <v>2</v>
      </c>
      <c r="L143" t="str">
        <f t="shared" si="9"/>
        <v>0-5 months</v>
      </c>
      <c r="M143" t="s">
        <v>22</v>
      </c>
      <c r="N143">
        <v>35000</v>
      </c>
      <c r="O143">
        <v>1</v>
      </c>
      <c r="P143">
        <v>35000</v>
      </c>
      <c r="Q143">
        <f t="shared" si="10"/>
        <v>35000</v>
      </c>
      <c r="R143" s="13">
        <v>14.38</v>
      </c>
      <c r="S143" t="s">
        <v>36</v>
      </c>
      <c r="T143">
        <f t="shared" si="11"/>
        <v>0</v>
      </c>
      <c r="U143">
        <v>0</v>
      </c>
      <c r="V143">
        <v>0</v>
      </c>
      <c r="W143">
        <v>0</v>
      </c>
    </row>
    <row r="144" spans="1:23" x14ac:dyDescent="0.35">
      <c r="A144" s="7" t="s">
        <v>234</v>
      </c>
      <c r="B144" t="s">
        <v>235</v>
      </c>
      <c r="C144" s="1">
        <v>45741</v>
      </c>
      <c r="D144">
        <v>43</v>
      </c>
      <c r="E144" t="str">
        <f t="shared" si="8"/>
        <v>35-44</v>
      </c>
      <c r="F144" t="s">
        <v>58</v>
      </c>
      <c r="G144" t="s">
        <v>33</v>
      </c>
      <c r="H144" t="s">
        <v>28</v>
      </c>
      <c r="I144">
        <v>2</v>
      </c>
      <c r="J144" t="s">
        <v>21</v>
      </c>
      <c r="K144">
        <v>30</v>
      </c>
      <c r="L144" t="str">
        <f t="shared" si="9"/>
        <v>2+years</v>
      </c>
      <c r="M144" t="s">
        <v>39</v>
      </c>
      <c r="N144">
        <v>9000</v>
      </c>
      <c r="O144">
        <v>20</v>
      </c>
      <c r="P144">
        <v>180000</v>
      </c>
      <c r="Q144">
        <f t="shared" si="10"/>
        <v>9000</v>
      </c>
      <c r="R144" s="13">
        <v>31.54</v>
      </c>
      <c r="S144" t="s">
        <v>36</v>
      </c>
      <c r="T144">
        <f t="shared" si="11"/>
        <v>0</v>
      </c>
      <c r="U144">
        <v>0</v>
      </c>
      <c r="V144">
        <v>0</v>
      </c>
      <c r="W144">
        <v>0</v>
      </c>
    </row>
    <row r="145" spans="1:23" x14ac:dyDescent="0.35">
      <c r="A145" s="7" t="s">
        <v>234</v>
      </c>
      <c r="B145" t="s">
        <v>235</v>
      </c>
      <c r="C145" s="1">
        <v>45741</v>
      </c>
      <c r="D145">
        <v>43</v>
      </c>
      <c r="E145" t="str">
        <f t="shared" si="8"/>
        <v>35-44</v>
      </c>
      <c r="F145" t="s">
        <v>58</v>
      </c>
      <c r="G145" t="s">
        <v>27</v>
      </c>
      <c r="H145" t="s">
        <v>28</v>
      </c>
      <c r="I145">
        <v>2</v>
      </c>
      <c r="J145" t="s">
        <v>21</v>
      </c>
      <c r="K145">
        <v>30</v>
      </c>
      <c r="L145" t="str">
        <f t="shared" si="9"/>
        <v>2+years</v>
      </c>
      <c r="M145" t="s">
        <v>97</v>
      </c>
      <c r="N145">
        <v>900</v>
      </c>
      <c r="O145">
        <v>9</v>
      </c>
      <c r="P145">
        <v>8100</v>
      </c>
      <c r="Q145">
        <f t="shared" si="10"/>
        <v>900</v>
      </c>
      <c r="R145" s="13">
        <v>134.96</v>
      </c>
      <c r="S145" t="s">
        <v>36</v>
      </c>
      <c r="T145">
        <f t="shared" si="11"/>
        <v>0</v>
      </c>
      <c r="U145">
        <v>0</v>
      </c>
      <c r="V145">
        <v>0</v>
      </c>
      <c r="W145">
        <v>0</v>
      </c>
    </row>
    <row r="146" spans="1:23" x14ac:dyDescent="0.35">
      <c r="A146" s="7" t="s">
        <v>234</v>
      </c>
      <c r="B146" t="s">
        <v>235</v>
      </c>
      <c r="C146" s="1">
        <v>45741</v>
      </c>
      <c r="D146">
        <v>43</v>
      </c>
      <c r="E146" t="str">
        <f t="shared" si="8"/>
        <v>35-44</v>
      </c>
      <c r="F146" t="s">
        <v>58</v>
      </c>
      <c r="G146" t="s">
        <v>38</v>
      </c>
      <c r="H146" t="s">
        <v>28</v>
      </c>
      <c r="I146">
        <v>2</v>
      </c>
      <c r="J146" t="s">
        <v>21</v>
      </c>
      <c r="K146">
        <v>30</v>
      </c>
      <c r="L146" t="str">
        <f t="shared" si="9"/>
        <v>2+years</v>
      </c>
      <c r="M146" t="s">
        <v>68</v>
      </c>
      <c r="N146">
        <v>14500</v>
      </c>
      <c r="O146">
        <v>16</v>
      </c>
      <c r="P146">
        <v>232000</v>
      </c>
      <c r="Q146">
        <f t="shared" si="10"/>
        <v>14500</v>
      </c>
      <c r="R146" s="13">
        <v>132.56</v>
      </c>
      <c r="S146" t="s">
        <v>36</v>
      </c>
      <c r="T146">
        <f t="shared" si="11"/>
        <v>0</v>
      </c>
      <c r="U146">
        <v>0</v>
      </c>
      <c r="V146">
        <v>0</v>
      </c>
      <c r="W146">
        <v>0</v>
      </c>
    </row>
    <row r="147" spans="1:23" x14ac:dyDescent="0.35">
      <c r="A147" s="7" t="s">
        <v>236</v>
      </c>
      <c r="B147" t="s">
        <v>237</v>
      </c>
      <c r="C147" s="1">
        <v>45682</v>
      </c>
      <c r="D147">
        <v>69</v>
      </c>
      <c r="E147" t="str">
        <f t="shared" si="8"/>
        <v>55+</v>
      </c>
      <c r="F147" t="s">
        <v>186</v>
      </c>
      <c r="G147" t="s">
        <v>27</v>
      </c>
      <c r="H147" t="s">
        <v>20</v>
      </c>
      <c r="I147">
        <v>3</v>
      </c>
      <c r="J147" t="s">
        <v>47</v>
      </c>
      <c r="K147">
        <v>49</v>
      </c>
      <c r="L147" t="str">
        <f t="shared" si="9"/>
        <v>2+years</v>
      </c>
      <c r="M147" t="s">
        <v>37</v>
      </c>
      <c r="N147">
        <v>500</v>
      </c>
      <c r="O147">
        <v>13</v>
      </c>
      <c r="P147">
        <v>6500</v>
      </c>
      <c r="Q147">
        <f t="shared" si="10"/>
        <v>500</v>
      </c>
      <c r="R147" s="13">
        <v>9.56</v>
      </c>
      <c r="S147" t="s">
        <v>36</v>
      </c>
      <c r="T147">
        <f t="shared" si="11"/>
        <v>0</v>
      </c>
      <c r="U147">
        <v>0</v>
      </c>
      <c r="V147">
        <v>0</v>
      </c>
      <c r="W147">
        <v>0</v>
      </c>
    </row>
    <row r="148" spans="1:23" x14ac:dyDescent="0.35">
      <c r="A148" s="7" t="s">
        <v>236</v>
      </c>
      <c r="B148" t="s">
        <v>237</v>
      </c>
      <c r="C148" s="1">
        <v>45682</v>
      </c>
      <c r="D148">
        <v>69</v>
      </c>
      <c r="E148" t="str">
        <f t="shared" si="8"/>
        <v>55+</v>
      </c>
      <c r="F148" t="s">
        <v>186</v>
      </c>
      <c r="G148" t="s">
        <v>33</v>
      </c>
      <c r="H148" t="s">
        <v>20</v>
      </c>
      <c r="I148">
        <v>3</v>
      </c>
      <c r="J148" t="s">
        <v>47</v>
      </c>
      <c r="K148">
        <v>49</v>
      </c>
      <c r="L148" t="str">
        <f t="shared" si="9"/>
        <v>2+years</v>
      </c>
      <c r="M148" t="s">
        <v>39</v>
      </c>
      <c r="N148">
        <v>9000</v>
      </c>
      <c r="O148">
        <v>10</v>
      </c>
      <c r="P148">
        <v>90000</v>
      </c>
      <c r="Q148">
        <f t="shared" si="10"/>
        <v>9000</v>
      </c>
      <c r="R148" s="13">
        <v>2.0299999999999998</v>
      </c>
      <c r="S148" t="s">
        <v>36</v>
      </c>
      <c r="T148">
        <f t="shared" si="11"/>
        <v>0</v>
      </c>
      <c r="U148">
        <v>0</v>
      </c>
      <c r="V148">
        <v>0</v>
      </c>
      <c r="W148">
        <v>0</v>
      </c>
    </row>
    <row r="149" spans="1:23" x14ac:dyDescent="0.35">
      <c r="A149" s="7" t="s">
        <v>238</v>
      </c>
      <c r="B149" t="s">
        <v>239</v>
      </c>
      <c r="C149" s="1">
        <v>45682</v>
      </c>
      <c r="D149">
        <v>33</v>
      </c>
      <c r="E149" t="str">
        <f t="shared" si="8"/>
        <v>25-34</v>
      </c>
      <c r="F149" t="s">
        <v>138</v>
      </c>
      <c r="G149" t="s">
        <v>27</v>
      </c>
      <c r="H149" t="s">
        <v>28</v>
      </c>
      <c r="I149">
        <v>1</v>
      </c>
      <c r="J149" t="s">
        <v>34</v>
      </c>
      <c r="K149">
        <v>21</v>
      </c>
      <c r="L149" t="str">
        <f t="shared" si="9"/>
        <v>1-2 years</v>
      </c>
      <c r="M149" t="s">
        <v>22</v>
      </c>
      <c r="N149">
        <v>35000</v>
      </c>
      <c r="O149">
        <v>8</v>
      </c>
      <c r="P149">
        <v>280000</v>
      </c>
      <c r="Q149">
        <f t="shared" si="10"/>
        <v>35000</v>
      </c>
      <c r="R149" s="13">
        <v>106.75</v>
      </c>
      <c r="S149" t="s">
        <v>36</v>
      </c>
      <c r="T149">
        <f t="shared" si="11"/>
        <v>0</v>
      </c>
      <c r="U149">
        <v>0</v>
      </c>
      <c r="V149">
        <v>0</v>
      </c>
      <c r="W149">
        <v>0</v>
      </c>
    </row>
    <row r="150" spans="1:23" x14ac:dyDescent="0.35">
      <c r="A150" s="7" t="s">
        <v>238</v>
      </c>
      <c r="B150" t="s">
        <v>239</v>
      </c>
      <c r="C150" s="1">
        <v>45682</v>
      </c>
      <c r="D150">
        <v>33</v>
      </c>
      <c r="E150" t="str">
        <f t="shared" si="8"/>
        <v>25-34</v>
      </c>
      <c r="F150" t="s">
        <v>138</v>
      </c>
      <c r="G150" t="s">
        <v>38</v>
      </c>
      <c r="H150" t="s">
        <v>28</v>
      </c>
      <c r="I150">
        <v>1</v>
      </c>
      <c r="J150" t="s">
        <v>34</v>
      </c>
      <c r="K150">
        <v>21</v>
      </c>
      <c r="L150" t="str">
        <f t="shared" si="9"/>
        <v>1-2 years</v>
      </c>
      <c r="M150" t="s">
        <v>59</v>
      </c>
      <c r="N150">
        <v>24000</v>
      </c>
      <c r="O150">
        <v>12</v>
      </c>
      <c r="P150">
        <v>288000</v>
      </c>
      <c r="Q150">
        <f t="shared" si="10"/>
        <v>24000</v>
      </c>
      <c r="R150" s="13">
        <v>111.97</v>
      </c>
      <c r="S150" t="s">
        <v>36</v>
      </c>
      <c r="T150">
        <f t="shared" si="11"/>
        <v>0</v>
      </c>
      <c r="U150">
        <v>0</v>
      </c>
      <c r="V150">
        <v>0</v>
      </c>
      <c r="W150">
        <v>0</v>
      </c>
    </row>
    <row r="151" spans="1:23" x14ac:dyDescent="0.35">
      <c r="A151" s="7" t="s">
        <v>240</v>
      </c>
      <c r="B151" t="s">
        <v>241</v>
      </c>
      <c r="C151" s="1">
        <v>45713</v>
      </c>
      <c r="D151">
        <v>66</v>
      </c>
      <c r="E151" t="str">
        <f t="shared" si="8"/>
        <v>55+</v>
      </c>
      <c r="F151" t="s">
        <v>123</v>
      </c>
      <c r="G151" t="s">
        <v>27</v>
      </c>
      <c r="H151" t="s">
        <v>28</v>
      </c>
      <c r="I151">
        <v>1</v>
      </c>
      <c r="J151" t="s">
        <v>34</v>
      </c>
      <c r="K151">
        <v>2</v>
      </c>
      <c r="L151" t="str">
        <f t="shared" si="9"/>
        <v>0-5 months</v>
      </c>
      <c r="M151" t="s">
        <v>83</v>
      </c>
      <c r="N151">
        <v>7500</v>
      </c>
      <c r="O151">
        <v>13</v>
      </c>
      <c r="P151">
        <v>97500</v>
      </c>
      <c r="Q151">
        <f t="shared" si="10"/>
        <v>7500</v>
      </c>
      <c r="R151" s="13">
        <v>58.26</v>
      </c>
      <c r="S151" t="s">
        <v>36</v>
      </c>
      <c r="T151">
        <f t="shared" si="11"/>
        <v>0</v>
      </c>
      <c r="U151">
        <v>0</v>
      </c>
      <c r="V151">
        <v>0</v>
      </c>
      <c r="W151">
        <v>0</v>
      </c>
    </row>
    <row r="152" spans="1:23" x14ac:dyDescent="0.35">
      <c r="A152" s="7" t="s">
        <v>240</v>
      </c>
      <c r="B152" t="s">
        <v>241</v>
      </c>
      <c r="C152" s="1">
        <v>45713</v>
      </c>
      <c r="D152">
        <v>66</v>
      </c>
      <c r="E152" t="str">
        <f t="shared" si="8"/>
        <v>55+</v>
      </c>
      <c r="F152" t="s">
        <v>123</v>
      </c>
      <c r="G152" t="s">
        <v>33</v>
      </c>
      <c r="H152" t="s">
        <v>28</v>
      </c>
      <c r="I152">
        <v>1</v>
      </c>
      <c r="J152" t="s">
        <v>34</v>
      </c>
      <c r="K152">
        <v>2</v>
      </c>
      <c r="L152" t="str">
        <f t="shared" si="9"/>
        <v>0-5 months</v>
      </c>
      <c r="M152" t="s">
        <v>39</v>
      </c>
      <c r="N152">
        <v>9000</v>
      </c>
      <c r="O152">
        <v>6</v>
      </c>
      <c r="P152">
        <v>54000</v>
      </c>
      <c r="Q152">
        <f t="shared" si="10"/>
        <v>9000</v>
      </c>
      <c r="R152" s="13">
        <v>193.26</v>
      </c>
      <c r="S152" t="s">
        <v>36</v>
      </c>
      <c r="T152">
        <f t="shared" si="11"/>
        <v>0</v>
      </c>
      <c r="U152">
        <v>0</v>
      </c>
      <c r="V152">
        <v>0</v>
      </c>
      <c r="W152">
        <v>0</v>
      </c>
    </row>
    <row r="153" spans="1:23" x14ac:dyDescent="0.35">
      <c r="A153" s="7" t="s">
        <v>240</v>
      </c>
      <c r="B153" t="s">
        <v>241</v>
      </c>
      <c r="C153" s="1">
        <v>45713</v>
      </c>
      <c r="D153">
        <v>66</v>
      </c>
      <c r="E153" t="str">
        <f t="shared" si="8"/>
        <v>55+</v>
      </c>
      <c r="F153" t="s">
        <v>123</v>
      </c>
      <c r="G153" t="s">
        <v>19</v>
      </c>
      <c r="H153" t="s">
        <v>28</v>
      </c>
      <c r="I153">
        <v>1</v>
      </c>
      <c r="J153" t="s">
        <v>34</v>
      </c>
      <c r="K153">
        <v>2</v>
      </c>
      <c r="L153" t="str">
        <f t="shared" si="9"/>
        <v>0-5 months</v>
      </c>
      <c r="M153" t="s">
        <v>22</v>
      </c>
      <c r="N153">
        <v>35000</v>
      </c>
      <c r="O153">
        <v>12</v>
      </c>
      <c r="P153">
        <v>420000</v>
      </c>
      <c r="Q153">
        <f t="shared" si="10"/>
        <v>35000</v>
      </c>
      <c r="R153" s="13">
        <v>166.49</v>
      </c>
      <c r="S153" t="s">
        <v>36</v>
      </c>
      <c r="T153">
        <f t="shared" si="11"/>
        <v>0</v>
      </c>
      <c r="U153">
        <v>0</v>
      </c>
      <c r="V153">
        <v>0</v>
      </c>
      <c r="W153">
        <v>0</v>
      </c>
    </row>
    <row r="154" spans="1:23" x14ac:dyDescent="0.35">
      <c r="A154" s="7" t="s">
        <v>242</v>
      </c>
      <c r="B154" t="s">
        <v>243</v>
      </c>
      <c r="C154" s="1">
        <v>45713</v>
      </c>
      <c r="D154">
        <v>71</v>
      </c>
      <c r="E154" t="str">
        <f t="shared" si="8"/>
        <v>55+</v>
      </c>
      <c r="F154" t="s">
        <v>91</v>
      </c>
      <c r="G154" t="s">
        <v>33</v>
      </c>
      <c r="H154" t="s">
        <v>20</v>
      </c>
      <c r="I154">
        <v>5</v>
      </c>
      <c r="J154" t="s">
        <v>52</v>
      </c>
      <c r="K154">
        <v>28</v>
      </c>
      <c r="L154" t="str">
        <f t="shared" si="9"/>
        <v>2+years</v>
      </c>
      <c r="M154" t="s">
        <v>110</v>
      </c>
      <c r="N154">
        <v>25000</v>
      </c>
      <c r="O154">
        <v>3</v>
      </c>
      <c r="P154">
        <v>75000</v>
      </c>
      <c r="Q154">
        <f t="shared" si="10"/>
        <v>25000</v>
      </c>
      <c r="R154" s="13">
        <v>155.93</v>
      </c>
      <c r="S154" t="s">
        <v>23</v>
      </c>
      <c r="T154">
        <f t="shared" si="11"/>
        <v>1</v>
      </c>
      <c r="U154">
        <v>0</v>
      </c>
      <c r="V154">
        <v>0</v>
      </c>
      <c r="W154">
        <v>0</v>
      </c>
    </row>
    <row r="155" spans="1:23" x14ac:dyDescent="0.35">
      <c r="A155" s="7" t="s">
        <v>242</v>
      </c>
      <c r="B155" t="s">
        <v>243</v>
      </c>
      <c r="C155" s="1">
        <v>45713</v>
      </c>
      <c r="D155">
        <v>71</v>
      </c>
      <c r="E155" t="str">
        <f t="shared" si="8"/>
        <v>55+</v>
      </c>
      <c r="F155" t="s">
        <v>91</v>
      </c>
      <c r="G155" t="s">
        <v>38</v>
      </c>
      <c r="H155" t="s">
        <v>20</v>
      </c>
      <c r="I155">
        <v>5</v>
      </c>
      <c r="J155" t="s">
        <v>52</v>
      </c>
      <c r="K155">
        <v>28</v>
      </c>
      <c r="L155" t="str">
        <f t="shared" si="9"/>
        <v>2+years</v>
      </c>
      <c r="M155" t="s">
        <v>59</v>
      </c>
      <c r="N155">
        <v>24000</v>
      </c>
      <c r="O155">
        <v>17</v>
      </c>
      <c r="P155">
        <v>408000</v>
      </c>
      <c r="Q155">
        <f t="shared" si="10"/>
        <v>24000</v>
      </c>
      <c r="R155" s="13">
        <v>126.83</v>
      </c>
      <c r="S155" t="s">
        <v>23</v>
      </c>
      <c r="T155">
        <f t="shared" si="11"/>
        <v>1</v>
      </c>
      <c r="U155">
        <v>0</v>
      </c>
      <c r="V155">
        <v>0</v>
      </c>
      <c r="W155">
        <v>0</v>
      </c>
    </row>
    <row r="156" spans="1:23" x14ac:dyDescent="0.35">
      <c r="A156" s="7" t="s">
        <v>244</v>
      </c>
      <c r="B156" t="s">
        <v>245</v>
      </c>
      <c r="C156" s="1">
        <v>45713</v>
      </c>
      <c r="D156">
        <v>40</v>
      </c>
      <c r="E156" t="str">
        <f t="shared" si="8"/>
        <v>35-44</v>
      </c>
      <c r="F156" t="s">
        <v>147</v>
      </c>
      <c r="G156" t="s">
        <v>19</v>
      </c>
      <c r="H156" t="s">
        <v>28</v>
      </c>
      <c r="I156">
        <v>2</v>
      </c>
      <c r="J156" t="s">
        <v>21</v>
      </c>
      <c r="K156">
        <v>47</v>
      </c>
      <c r="L156" t="str">
        <f t="shared" si="9"/>
        <v>2+years</v>
      </c>
      <c r="M156" t="s">
        <v>43</v>
      </c>
      <c r="N156">
        <v>4500</v>
      </c>
      <c r="O156">
        <v>3</v>
      </c>
      <c r="P156">
        <v>13500</v>
      </c>
      <c r="Q156">
        <f t="shared" si="10"/>
        <v>4500</v>
      </c>
      <c r="R156" s="13">
        <v>152.16</v>
      </c>
      <c r="S156" t="s">
        <v>23</v>
      </c>
      <c r="T156">
        <f t="shared" si="11"/>
        <v>1</v>
      </c>
      <c r="U156">
        <v>0</v>
      </c>
      <c r="V156">
        <v>0</v>
      </c>
      <c r="W156">
        <v>0</v>
      </c>
    </row>
    <row r="157" spans="1:23" x14ac:dyDescent="0.35">
      <c r="A157" s="7" t="s">
        <v>246</v>
      </c>
      <c r="B157" t="s">
        <v>247</v>
      </c>
      <c r="C157" s="1">
        <v>45741</v>
      </c>
      <c r="D157">
        <v>79</v>
      </c>
      <c r="E157" t="str">
        <f t="shared" si="8"/>
        <v>55+</v>
      </c>
      <c r="F157" t="s">
        <v>32</v>
      </c>
      <c r="G157" t="s">
        <v>27</v>
      </c>
      <c r="H157" t="s">
        <v>28</v>
      </c>
      <c r="I157">
        <v>3</v>
      </c>
      <c r="J157" t="s">
        <v>47</v>
      </c>
      <c r="K157">
        <v>44</v>
      </c>
      <c r="L157" t="str">
        <f t="shared" si="9"/>
        <v>2+years</v>
      </c>
      <c r="M157" t="s">
        <v>37</v>
      </c>
      <c r="N157">
        <v>500</v>
      </c>
      <c r="O157">
        <v>19</v>
      </c>
      <c r="P157">
        <v>9500</v>
      </c>
      <c r="Q157">
        <f t="shared" si="10"/>
        <v>500</v>
      </c>
      <c r="R157" s="13">
        <v>159.37</v>
      </c>
      <c r="S157" t="s">
        <v>23</v>
      </c>
      <c r="T157">
        <f t="shared" si="11"/>
        <v>1</v>
      </c>
      <c r="U157">
        <v>0</v>
      </c>
      <c r="V157">
        <v>0</v>
      </c>
      <c r="W157">
        <v>0</v>
      </c>
    </row>
    <row r="158" spans="1:23" x14ac:dyDescent="0.35">
      <c r="A158" s="7" t="s">
        <v>246</v>
      </c>
      <c r="B158" t="s">
        <v>247</v>
      </c>
      <c r="C158" s="1">
        <v>45741</v>
      </c>
      <c r="D158">
        <v>79</v>
      </c>
      <c r="E158" t="str">
        <f t="shared" si="8"/>
        <v>55+</v>
      </c>
      <c r="F158" t="s">
        <v>32</v>
      </c>
      <c r="G158" t="s">
        <v>33</v>
      </c>
      <c r="H158" t="s">
        <v>28</v>
      </c>
      <c r="I158">
        <v>3</v>
      </c>
      <c r="J158" t="s">
        <v>47</v>
      </c>
      <c r="K158">
        <v>44</v>
      </c>
      <c r="L158" t="str">
        <f t="shared" si="9"/>
        <v>2+years</v>
      </c>
      <c r="M158" t="s">
        <v>39</v>
      </c>
      <c r="N158">
        <v>9000</v>
      </c>
      <c r="O158">
        <v>3</v>
      </c>
      <c r="P158">
        <v>27000</v>
      </c>
      <c r="Q158">
        <f t="shared" si="10"/>
        <v>9000</v>
      </c>
      <c r="R158" s="13">
        <v>70.709999999999994</v>
      </c>
      <c r="S158" t="s">
        <v>23</v>
      </c>
      <c r="T158">
        <f t="shared" si="11"/>
        <v>1</v>
      </c>
      <c r="U158">
        <v>0</v>
      </c>
      <c r="V158">
        <v>0</v>
      </c>
      <c r="W158">
        <v>0</v>
      </c>
    </row>
    <row r="159" spans="1:23" x14ac:dyDescent="0.35">
      <c r="A159" s="7" t="s">
        <v>248</v>
      </c>
      <c r="B159" t="s">
        <v>249</v>
      </c>
      <c r="C159" s="1">
        <v>45741</v>
      </c>
      <c r="D159">
        <v>75</v>
      </c>
      <c r="E159" t="str">
        <f t="shared" si="8"/>
        <v>55+</v>
      </c>
      <c r="F159" t="s">
        <v>192</v>
      </c>
      <c r="G159" t="s">
        <v>27</v>
      </c>
      <c r="H159" t="s">
        <v>20</v>
      </c>
      <c r="I159">
        <v>3</v>
      </c>
      <c r="J159" t="s">
        <v>47</v>
      </c>
      <c r="K159">
        <v>4</v>
      </c>
      <c r="L159" t="str">
        <f t="shared" si="9"/>
        <v>0-5 months</v>
      </c>
      <c r="M159" t="s">
        <v>29</v>
      </c>
      <c r="N159">
        <v>5500</v>
      </c>
      <c r="O159">
        <v>2</v>
      </c>
      <c r="P159">
        <v>11000</v>
      </c>
      <c r="Q159">
        <f t="shared" si="10"/>
        <v>5500</v>
      </c>
      <c r="R159" s="13">
        <v>116.28</v>
      </c>
      <c r="S159" t="s">
        <v>23</v>
      </c>
      <c r="T159">
        <f t="shared" si="11"/>
        <v>1</v>
      </c>
      <c r="U159">
        <v>0</v>
      </c>
      <c r="V159">
        <v>0</v>
      </c>
      <c r="W159">
        <v>0</v>
      </c>
    </row>
    <row r="160" spans="1:23" x14ac:dyDescent="0.35">
      <c r="A160" s="7" t="s">
        <v>250</v>
      </c>
      <c r="B160" t="s">
        <v>251</v>
      </c>
      <c r="C160" s="1">
        <v>45713</v>
      </c>
      <c r="D160">
        <v>40</v>
      </c>
      <c r="E160" t="str">
        <f t="shared" si="8"/>
        <v>35-44</v>
      </c>
      <c r="F160" t="s">
        <v>252</v>
      </c>
      <c r="G160" t="s">
        <v>38</v>
      </c>
      <c r="H160" t="s">
        <v>28</v>
      </c>
      <c r="I160">
        <v>1</v>
      </c>
      <c r="J160" t="s">
        <v>34</v>
      </c>
      <c r="K160">
        <v>33</v>
      </c>
      <c r="L160" t="str">
        <f t="shared" si="9"/>
        <v>2+years</v>
      </c>
      <c r="M160" t="s">
        <v>35</v>
      </c>
      <c r="N160">
        <v>20000</v>
      </c>
      <c r="O160">
        <v>15</v>
      </c>
      <c r="P160">
        <v>300000</v>
      </c>
      <c r="Q160">
        <f t="shared" si="10"/>
        <v>20000</v>
      </c>
      <c r="R160" s="13">
        <v>8.31</v>
      </c>
      <c r="S160" t="s">
        <v>36</v>
      </c>
      <c r="T160">
        <f t="shared" si="11"/>
        <v>0</v>
      </c>
      <c r="U160">
        <v>0</v>
      </c>
      <c r="V160">
        <v>0</v>
      </c>
      <c r="W160">
        <v>0</v>
      </c>
    </row>
    <row r="161" spans="1:23" x14ac:dyDescent="0.35">
      <c r="A161" s="7" t="s">
        <v>250</v>
      </c>
      <c r="B161" t="s">
        <v>251</v>
      </c>
      <c r="C161" s="1">
        <v>45713</v>
      </c>
      <c r="D161">
        <v>40</v>
      </c>
      <c r="E161" t="str">
        <f t="shared" si="8"/>
        <v>35-44</v>
      </c>
      <c r="F161" t="s">
        <v>252</v>
      </c>
      <c r="G161" t="s">
        <v>33</v>
      </c>
      <c r="H161" t="s">
        <v>28</v>
      </c>
      <c r="I161">
        <v>1</v>
      </c>
      <c r="J161" t="s">
        <v>34</v>
      </c>
      <c r="K161">
        <v>33</v>
      </c>
      <c r="L161" t="str">
        <f t="shared" si="9"/>
        <v>2+years</v>
      </c>
      <c r="M161" t="s">
        <v>54</v>
      </c>
      <c r="N161">
        <v>150000</v>
      </c>
      <c r="O161">
        <v>20</v>
      </c>
      <c r="P161">
        <v>3000000</v>
      </c>
      <c r="Q161">
        <f t="shared" si="10"/>
        <v>150000</v>
      </c>
      <c r="R161" s="13">
        <v>105.05</v>
      </c>
      <c r="S161" t="s">
        <v>36</v>
      </c>
      <c r="T161">
        <f t="shared" si="11"/>
        <v>0</v>
      </c>
      <c r="U161">
        <v>0</v>
      </c>
      <c r="V161">
        <v>0</v>
      </c>
      <c r="W161">
        <v>0</v>
      </c>
    </row>
    <row r="162" spans="1:23" x14ac:dyDescent="0.35">
      <c r="A162" s="7" t="s">
        <v>253</v>
      </c>
      <c r="B162" t="s">
        <v>254</v>
      </c>
      <c r="C162" s="1">
        <v>45713</v>
      </c>
      <c r="D162">
        <v>62</v>
      </c>
      <c r="E162" t="str">
        <f t="shared" si="8"/>
        <v>55+</v>
      </c>
      <c r="F162" t="s">
        <v>42</v>
      </c>
      <c r="G162" t="s">
        <v>33</v>
      </c>
      <c r="H162" t="s">
        <v>28</v>
      </c>
      <c r="I162">
        <v>3</v>
      </c>
      <c r="J162" t="s">
        <v>47</v>
      </c>
      <c r="K162">
        <v>25</v>
      </c>
      <c r="L162" t="str">
        <f t="shared" si="9"/>
        <v>2+years</v>
      </c>
      <c r="M162" t="s">
        <v>35</v>
      </c>
      <c r="N162">
        <v>20000</v>
      </c>
      <c r="O162">
        <v>18</v>
      </c>
      <c r="P162">
        <v>360000</v>
      </c>
      <c r="Q162">
        <f t="shared" si="10"/>
        <v>20000</v>
      </c>
      <c r="R162" s="13">
        <v>66.27</v>
      </c>
      <c r="S162" t="s">
        <v>36</v>
      </c>
      <c r="T162">
        <f t="shared" si="11"/>
        <v>0</v>
      </c>
      <c r="U162">
        <v>0</v>
      </c>
      <c r="V162">
        <v>0</v>
      </c>
      <c r="W162">
        <v>0</v>
      </c>
    </row>
    <row r="163" spans="1:23" x14ac:dyDescent="0.35">
      <c r="A163" s="7" t="s">
        <v>255</v>
      </c>
      <c r="B163" t="s">
        <v>256</v>
      </c>
      <c r="C163" s="1">
        <v>45682</v>
      </c>
      <c r="D163">
        <v>52</v>
      </c>
      <c r="E163" t="str">
        <f t="shared" si="8"/>
        <v>45-54</v>
      </c>
      <c r="F163" t="s">
        <v>138</v>
      </c>
      <c r="G163" t="s">
        <v>33</v>
      </c>
      <c r="H163" t="s">
        <v>20</v>
      </c>
      <c r="I163">
        <v>5</v>
      </c>
      <c r="J163" t="s">
        <v>52</v>
      </c>
      <c r="K163">
        <v>22</v>
      </c>
      <c r="L163" t="str">
        <f t="shared" si="9"/>
        <v>1-2 years</v>
      </c>
      <c r="M163" t="s">
        <v>100</v>
      </c>
      <c r="N163">
        <v>75000</v>
      </c>
      <c r="O163">
        <v>3</v>
      </c>
      <c r="P163">
        <v>225000</v>
      </c>
      <c r="Q163">
        <f t="shared" si="10"/>
        <v>75000</v>
      </c>
      <c r="R163" s="13">
        <v>26.23</v>
      </c>
      <c r="S163" t="s">
        <v>36</v>
      </c>
      <c r="T163">
        <f t="shared" si="11"/>
        <v>0</v>
      </c>
      <c r="U163">
        <v>0</v>
      </c>
      <c r="V163">
        <v>0</v>
      </c>
      <c r="W163">
        <v>0</v>
      </c>
    </row>
    <row r="164" spans="1:23" x14ac:dyDescent="0.35">
      <c r="A164" s="7" t="s">
        <v>255</v>
      </c>
      <c r="B164" t="s">
        <v>256</v>
      </c>
      <c r="C164" s="1">
        <v>45682</v>
      </c>
      <c r="D164">
        <v>52</v>
      </c>
      <c r="E164" t="str">
        <f t="shared" si="8"/>
        <v>45-54</v>
      </c>
      <c r="F164" t="s">
        <v>138</v>
      </c>
      <c r="G164" t="s">
        <v>27</v>
      </c>
      <c r="H164" t="s">
        <v>20</v>
      </c>
      <c r="I164">
        <v>5</v>
      </c>
      <c r="J164" t="s">
        <v>52</v>
      </c>
      <c r="K164">
        <v>22</v>
      </c>
      <c r="L164" t="str">
        <f t="shared" si="9"/>
        <v>1-2 years</v>
      </c>
      <c r="M164" t="s">
        <v>37</v>
      </c>
      <c r="N164">
        <v>500</v>
      </c>
      <c r="O164">
        <v>11</v>
      </c>
      <c r="P164">
        <v>5500</v>
      </c>
      <c r="Q164">
        <f t="shared" si="10"/>
        <v>500</v>
      </c>
      <c r="R164" s="13">
        <v>112</v>
      </c>
      <c r="S164" t="s">
        <v>36</v>
      </c>
      <c r="T164">
        <f t="shared" si="11"/>
        <v>0</v>
      </c>
      <c r="U164">
        <v>0</v>
      </c>
      <c r="V164">
        <v>0</v>
      </c>
      <c r="W164">
        <v>0</v>
      </c>
    </row>
    <row r="165" spans="1:23" x14ac:dyDescent="0.35">
      <c r="A165" s="7" t="s">
        <v>257</v>
      </c>
      <c r="B165" t="s">
        <v>258</v>
      </c>
      <c r="C165" s="1">
        <v>45741</v>
      </c>
      <c r="D165">
        <v>27</v>
      </c>
      <c r="E165" t="str">
        <f t="shared" si="8"/>
        <v>25-34</v>
      </c>
      <c r="F165" t="s">
        <v>18</v>
      </c>
      <c r="G165" t="s">
        <v>27</v>
      </c>
      <c r="H165" t="s">
        <v>28</v>
      </c>
      <c r="I165">
        <v>3</v>
      </c>
      <c r="J165" t="s">
        <v>47</v>
      </c>
      <c r="K165">
        <v>2</v>
      </c>
      <c r="L165" t="str">
        <f t="shared" si="9"/>
        <v>0-5 months</v>
      </c>
      <c r="M165" t="s">
        <v>69</v>
      </c>
      <c r="N165">
        <v>350</v>
      </c>
      <c r="O165">
        <v>5</v>
      </c>
      <c r="P165">
        <v>1750</v>
      </c>
      <c r="Q165">
        <f t="shared" si="10"/>
        <v>350</v>
      </c>
      <c r="R165" s="13">
        <v>200</v>
      </c>
      <c r="S165" t="s">
        <v>23</v>
      </c>
      <c r="T165">
        <f t="shared" si="11"/>
        <v>1</v>
      </c>
      <c r="U165">
        <v>0</v>
      </c>
      <c r="V165">
        <v>0</v>
      </c>
      <c r="W165">
        <v>0</v>
      </c>
    </row>
    <row r="166" spans="1:23" x14ac:dyDescent="0.35">
      <c r="A166" s="7" t="s">
        <v>257</v>
      </c>
      <c r="B166" t="s">
        <v>258</v>
      </c>
      <c r="C166" s="1">
        <v>45741</v>
      </c>
      <c r="D166">
        <v>27</v>
      </c>
      <c r="E166" t="str">
        <f t="shared" si="8"/>
        <v>25-34</v>
      </c>
      <c r="F166" t="s">
        <v>18</v>
      </c>
      <c r="G166" t="s">
        <v>38</v>
      </c>
      <c r="H166" t="s">
        <v>28</v>
      </c>
      <c r="I166">
        <v>3</v>
      </c>
      <c r="J166" t="s">
        <v>47</v>
      </c>
      <c r="K166">
        <v>2</v>
      </c>
      <c r="L166" t="str">
        <f t="shared" si="9"/>
        <v>0-5 months</v>
      </c>
      <c r="M166" t="s">
        <v>39</v>
      </c>
      <c r="N166">
        <v>9000</v>
      </c>
      <c r="O166">
        <v>4</v>
      </c>
      <c r="P166">
        <v>36000</v>
      </c>
      <c r="Q166">
        <f t="shared" si="10"/>
        <v>9000</v>
      </c>
      <c r="R166" s="13">
        <v>59.51</v>
      </c>
      <c r="S166" t="s">
        <v>23</v>
      </c>
      <c r="T166">
        <f t="shared" si="11"/>
        <v>1</v>
      </c>
      <c r="U166">
        <v>0</v>
      </c>
      <c r="V166">
        <v>0</v>
      </c>
      <c r="W166">
        <v>0</v>
      </c>
    </row>
    <row r="167" spans="1:23" x14ac:dyDescent="0.35">
      <c r="A167" s="7" t="s">
        <v>259</v>
      </c>
      <c r="B167" t="s">
        <v>260</v>
      </c>
      <c r="C167" s="1">
        <v>45713</v>
      </c>
      <c r="D167">
        <v>20</v>
      </c>
      <c r="E167" t="str">
        <f t="shared" si="8"/>
        <v>Under25</v>
      </c>
      <c r="F167" t="s">
        <v>152</v>
      </c>
      <c r="G167" t="s">
        <v>19</v>
      </c>
      <c r="H167" t="s">
        <v>20</v>
      </c>
      <c r="I167">
        <v>2</v>
      </c>
      <c r="J167" t="s">
        <v>21</v>
      </c>
      <c r="K167">
        <v>39</v>
      </c>
      <c r="L167" t="str">
        <f t="shared" si="9"/>
        <v>2+years</v>
      </c>
      <c r="M167" t="s">
        <v>55</v>
      </c>
      <c r="N167">
        <v>16000</v>
      </c>
      <c r="O167">
        <v>8</v>
      </c>
      <c r="P167">
        <v>128000</v>
      </c>
      <c r="Q167">
        <f t="shared" si="10"/>
        <v>16000</v>
      </c>
      <c r="R167" s="13">
        <v>82.47</v>
      </c>
      <c r="S167" t="s">
        <v>23</v>
      </c>
      <c r="T167">
        <f t="shared" si="11"/>
        <v>1</v>
      </c>
      <c r="U167">
        <v>0</v>
      </c>
      <c r="V167">
        <v>0</v>
      </c>
      <c r="W167">
        <v>0</v>
      </c>
    </row>
    <row r="168" spans="1:23" x14ac:dyDescent="0.35">
      <c r="A168" s="7" t="s">
        <v>259</v>
      </c>
      <c r="B168" t="s">
        <v>260</v>
      </c>
      <c r="C168" s="1">
        <v>45713</v>
      </c>
      <c r="D168">
        <v>20</v>
      </c>
      <c r="E168" t="str">
        <f t="shared" si="8"/>
        <v>Under25</v>
      </c>
      <c r="F168" t="s">
        <v>152</v>
      </c>
      <c r="G168" t="s">
        <v>33</v>
      </c>
      <c r="H168" t="s">
        <v>20</v>
      </c>
      <c r="I168">
        <v>2</v>
      </c>
      <c r="J168" t="s">
        <v>21</v>
      </c>
      <c r="K168">
        <v>39</v>
      </c>
      <c r="L168" t="str">
        <f t="shared" si="9"/>
        <v>2+years</v>
      </c>
      <c r="M168" t="s">
        <v>54</v>
      </c>
      <c r="N168">
        <v>150000</v>
      </c>
      <c r="O168">
        <v>15</v>
      </c>
      <c r="P168">
        <v>2250000</v>
      </c>
      <c r="Q168">
        <f t="shared" si="10"/>
        <v>150000</v>
      </c>
      <c r="R168" s="13">
        <v>122.31</v>
      </c>
      <c r="S168" t="s">
        <v>23</v>
      </c>
      <c r="T168">
        <f t="shared" si="11"/>
        <v>1</v>
      </c>
      <c r="U168">
        <v>0</v>
      </c>
      <c r="V168">
        <v>0</v>
      </c>
      <c r="W168">
        <v>0</v>
      </c>
    </row>
    <row r="169" spans="1:23" x14ac:dyDescent="0.35">
      <c r="A169" s="7" t="s">
        <v>259</v>
      </c>
      <c r="B169" t="s">
        <v>260</v>
      </c>
      <c r="C169" s="1">
        <v>45713</v>
      </c>
      <c r="D169">
        <v>20</v>
      </c>
      <c r="E169" t="str">
        <f t="shared" si="8"/>
        <v>Under25</v>
      </c>
      <c r="F169" t="s">
        <v>152</v>
      </c>
      <c r="G169" t="s">
        <v>27</v>
      </c>
      <c r="H169" t="s">
        <v>20</v>
      </c>
      <c r="I169">
        <v>2</v>
      </c>
      <c r="J169" t="s">
        <v>21</v>
      </c>
      <c r="K169">
        <v>39</v>
      </c>
      <c r="L169" t="str">
        <f t="shared" si="9"/>
        <v>2+years</v>
      </c>
      <c r="M169" t="s">
        <v>69</v>
      </c>
      <c r="N169">
        <v>350</v>
      </c>
      <c r="O169">
        <v>10</v>
      </c>
      <c r="P169">
        <v>3500</v>
      </c>
      <c r="Q169">
        <f t="shared" si="10"/>
        <v>350</v>
      </c>
      <c r="R169" s="13">
        <v>107.04</v>
      </c>
      <c r="S169" t="s">
        <v>23</v>
      </c>
      <c r="T169">
        <f t="shared" si="11"/>
        <v>1</v>
      </c>
      <c r="U169">
        <v>0</v>
      </c>
      <c r="V169">
        <v>0</v>
      </c>
      <c r="W169">
        <v>0</v>
      </c>
    </row>
    <row r="170" spans="1:23" x14ac:dyDescent="0.35">
      <c r="A170" s="7" t="s">
        <v>261</v>
      </c>
      <c r="B170" t="s">
        <v>262</v>
      </c>
      <c r="C170" s="1">
        <v>45741</v>
      </c>
      <c r="D170">
        <v>40</v>
      </c>
      <c r="E170" t="str">
        <f t="shared" si="8"/>
        <v>35-44</v>
      </c>
      <c r="F170" t="s">
        <v>42</v>
      </c>
      <c r="G170" t="s">
        <v>27</v>
      </c>
      <c r="H170" t="s">
        <v>28</v>
      </c>
      <c r="I170">
        <v>4</v>
      </c>
      <c r="J170" t="s">
        <v>109</v>
      </c>
      <c r="K170">
        <v>30</v>
      </c>
      <c r="L170" t="str">
        <f t="shared" si="9"/>
        <v>2+years</v>
      </c>
      <c r="M170" t="s">
        <v>43</v>
      </c>
      <c r="N170">
        <v>4500</v>
      </c>
      <c r="O170">
        <v>2</v>
      </c>
      <c r="P170">
        <v>9000</v>
      </c>
      <c r="Q170">
        <f t="shared" si="10"/>
        <v>4500</v>
      </c>
      <c r="R170" s="13">
        <v>174.66</v>
      </c>
      <c r="S170" t="s">
        <v>36</v>
      </c>
      <c r="T170">
        <f t="shared" si="11"/>
        <v>0</v>
      </c>
      <c r="U170">
        <v>0</v>
      </c>
      <c r="V170">
        <v>0</v>
      </c>
      <c r="W170">
        <v>0</v>
      </c>
    </row>
    <row r="171" spans="1:23" x14ac:dyDescent="0.35">
      <c r="A171" s="7" t="s">
        <v>261</v>
      </c>
      <c r="B171" t="s">
        <v>262</v>
      </c>
      <c r="C171" s="1">
        <v>45741</v>
      </c>
      <c r="D171">
        <v>40</v>
      </c>
      <c r="E171" t="str">
        <f t="shared" si="8"/>
        <v>35-44</v>
      </c>
      <c r="F171" t="s">
        <v>42</v>
      </c>
      <c r="G171" t="s">
        <v>38</v>
      </c>
      <c r="H171" t="s">
        <v>28</v>
      </c>
      <c r="I171">
        <v>4</v>
      </c>
      <c r="J171" t="s">
        <v>109</v>
      </c>
      <c r="K171">
        <v>30</v>
      </c>
      <c r="L171" t="str">
        <f t="shared" si="9"/>
        <v>2+years</v>
      </c>
      <c r="M171" t="s">
        <v>68</v>
      </c>
      <c r="N171">
        <v>14500</v>
      </c>
      <c r="O171">
        <v>18</v>
      </c>
      <c r="P171">
        <v>261000</v>
      </c>
      <c r="Q171">
        <f t="shared" si="10"/>
        <v>14500</v>
      </c>
      <c r="R171" s="13">
        <v>174.89</v>
      </c>
      <c r="S171" t="s">
        <v>36</v>
      </c>
      <c r="T171">
        <f t="shared" si="11"/>
        <v>0</v>
      </c>
      <c r="U171">
        <v>0</v>
      </c>
      <c r="V171">
        <v>0</v>
      </c>
      <c r="W171">
        <v>0</v>
      </c>
    </row>
    <row r="172" spans="1:23" x14ac:dyDescent="0.35">
      <c r="A172" s="7" t="s">
        <v>263</v>
      </c>
      <c r="B172" t="s">
        <v>264</v>
      </c>
      <c r="C172" s="1">
        <v>45713</v>
      </c>
      <c r="D172">
        <v>31</v>
      </c>
      <c r="E172" t="str">
        <f t="shared" si="8"/>
        <v>25-34</v>
      </c>
      <c r="F172" t="s">
        <v>96</v>
      </c>
      <c r="G172" t="s">
        <v>19</v>
      </c>
      <c r="H172" t="s">
        <v>20</v>
      </c>
      <c r="I172">
        <v>3</v>
      </c>
      <c r="J172" t="s">
        <v>47</v>
      </c>
      <c r="K172">
        <v>49</v>
      </c>
      <c r="L172" t="str">
        <f t="shared" si="9"/>
        <v>2+years</v>
      </c>
      <c r="M172" t="s">
        <v>43</v>
      </c>
      <c r="N172">
        <v>4500</v>
      </c>
      <c r="O172">
        <v>12</v>
      </c>
      <c r="P172">
        <v>54000</v>
      </c>
      <c r="Q172">
        <f t="shared" si="10"/>
        <v>4500</v>
      </c>
      <c r="R172" s="13">
        <v>163.43</v>
      </c>
      <c r="S172" t="s">
        <v>36</v>
      </c>
      <c r="T172">
        <f t="shared" si="11"/>
        <v>0</v>
      </c>
      <c r="U172">
        <v>0</v>
      </c>
      <c r="V172">
        <v>0</v>
      </c>
      <c r="W172">
        <v>0</v>
      </c>
    </row>
    <row r="173" spans="1:23" x14ac:dyDescent="0.35">
      <c r="A173" s="7" t="s">
        <v>263</v>
      </c>
      <c r="B173" t="s">
        <v>264</v>
      </c>
      <c r="C173" s="1">
        <v>45713</v>
      </c>
      <c r="D173">
        <v>31</v>
      </c>
      <c r="E173" t="str">
        <f t="shared" si="8"/>
        <v>25-34</v>
      </c>
      <c r="F173" t="s">
        <v>96</v>
      </c>
      <c r="G173" t="s">
        <v>27</v>
      </c>
      <c r="H173" t="s">
        <v>20</v>
      </c>
      <c r="I173">
        <v>3</v>
      </c>
      <c r="J173" t="s">
        <v>47</v>
      </c>
      <c r="K173">
        <v>49</v>
      </c>
      <c r="L173" t="str">
        <f t="shared" si="9"/>
        <v>2+years</v>
      </c>
      <c r="M173" t="s">
        <v>97</v>
      </c>
      <c r="N173">
        <v>900</v>
      </c>
      <c r="O173">
        <v>13</v>
      </c>
      <c r="P173">
        <v>11700</v>
      </c>
      <c r="Q173">
        <f t="shared" si="10"/>
        <v>900</v>
      </c>
      <c r="R173" s="13">
        <v>83.27</v>
      </c>
      <c r="S173" t="s">
        <v>36</v>
      </c>
      <c r="T173">
        <f t="shared" si="11"/>
        <v>0</v>
      </c>
      <c r="U173">
        <v>0</v>
      </c>
      <c r="V173">
        <v>0</v>
      </c>
      <c r="W173">
        <v>0</v>
      </c>
    </row>
    <row r="174" spans="1:23" x14ac:dyDescent="0.35">
      <c r="A174" s="7" t="s">
        <v>263</v>
      </c>
      <c r="B174" t="s">
        <v>264</v>
      </c>
      <c r="C174" s="1">
        <v>45713</v>
      </c>
      <c r="D174">
        <v>31</v>
      </c>
      <c r="E174" t="str">
        <f t="shared" si="8"/>
        <v>25-34</v>
      </c>
      <c r="F174" t="s">
        <v>96</v>
      </c>
      <c r="G174" t="s">
        <v>38</v>
      </c>
      <c r="H174" t="s">
        <v>20</v>
      </c>
      <c r="I174">
        <v>3</v>
      </c>
      <c r="J174" t="s">
        <v>47</v>
      </c>
      <c r="K174">
        <v>49</v>
      </c>
      <c r="L174" t="str">
        <f t="shared" si="9"/>
        <v>2+years</v>
      </c>
      <c r="M174" t="s">
        <v>59</v>
      </c>
      <c r="N174">
        <v>24000</v>
      </c>
      <c r="O174">
        <v>13</v>
      </c>
      <c r="P174">
        <v>312000</v>
      </c>
      <c r="Q174">
        <f t="shared" si="10"/>
        <v>24000</v>
      </c>
      <c r="R174" s="13">
        <v>75.11</v>
      </c>
      <c r="S174" t="s">
        <v>36</v>
      </c>
      <c r="T174">
        <f t="shared" si="11"/>
        <v>0</v>
      </c>
      <c r="U174">
        <v>0</v>
      </c>
      <c r="V174">
        <v>0</v>
      </c>
      <c r="W174">
        <v>0</v>
      </c>
    </row>
    <row r="175" spans="1:23" x14ac:dyDescent="0.35">
      <c r="A175" s="7" t="s">
        <v>265</v>
      </c>
      <c r="B175" t="s">
        <v>266</v>
      </c>
      <c r="C175" s="1">
        <v>45682</v>
      </c>
      <c r="D175">
        <v>63</v>
      </c>
      <c r="E175" t="str">
        <f t="shared" si="8"/>
        <v>55+</v>
      </c>
      <c r="F175" t="s">
        <v>108</v>
      </c>
      <c r="G175" t="s">
        <v>38</v>
      </c>
      <c r="H175" t="s">
        <v>20</v>
      </c>
      <c r="I175">
        <v>3</v>
      </c>
      <c r="J175" t="s">
        <v>47</v>
      </c>
      <c r="K175">
        <v>21</v>
      </c>
      <c r="L175" t="str">
        <f t="shared" si="9"/>
        <v>1-2 years</v>
      </c>
      <c r="M175" t="s">
        <v>62</v>
      </c>
      <c r="N175">
        <v>30000</v>
      </c>
      <c r="O175">
        <v>16</v>
      </c>
      <c r="P175">
        <v>480000</v>
      </c>
      <c r="Q175">
        <f t="shared" si="10"/>
        <v>30000</v>
      </c>
      <c r="R175" s="13">
        <v>183.52</v>
      </c>
      <c r="S175" t="s">
        <v>36</v>
      </c>
      <c r="T175">
        <f t="shared" si="11"/>
        <v>0</v>
      </c>
      <c r="U175">
        <v>0</v>
      </c>
      <c r="V175">
        <v>0</v>
      </c>
      <c r="W175">
        <v>0</v>
      </c>
    </row>
    <row r="176" spans="1:23" x14ac:dyDescent="0.35">
      <c r="A176" s="7" t="s">
        <v>267</v>
      </c>
      <c r="B176" t="s">
        <v>268</v>
      </c>
      <c r="C176" s="1">
        <v>45682</v>
      </c>
      <c r="D176">
        <v>76</v>
      </c>
      <c r="E176" t="str">
        <f t="shared" si="8"/>
        <v>55+</v>
      </c>
      <c r="F176" t="s">
        <v>192</v>
      </c>
      <c r="G176" t="s">
        <v>27</v>
      </c>
      <c r="H176" t="s">
        <v>20</v>
      </c>
      <c r="I176">
        <v>1</v>
      </c>
      <c r="J176" t="s">
        <v>34</v>
      </c>
      <c r="K176">
        <v>58</v>
      </c>
      <c r="L176" t="str">
        <f t="shared" si="9"/>
        <v>2+years</v>
      </c>
      <c r="M176" t="s">
        <v>79</v>
      </c>
      <c r="N176">
        <v>1000</v>
      </c>
      <c r="O176">
        <v>8</v>
      </c>
      <c r="P176">
        <v>8000</v>
      </c>
      <c r="Q176">
        <f t="shared" si="10"/>
        <v>1000</v>
      </c>
      <c r="R176" s="13">
        <v>155.35</v>
      </c>
      <c r="S176" t="s">
        <v>23</v>
      </c>
      <c r="T176">
        <f t="shared" si="11"/>
        <v>1</v>
      </c>
      <c r="U176">
        <v>0</v>
      </c>
      <c r="V176">
        <v>0</v>
      </c>
      <c r="W176">
        <v>0</v>
      </c>
    </row>
    <row r="177" spans="1:23" x14ac:dyDescent="0.35">
      <c r="A177" s="7" t="s">
        <v>269</v>
      </c>
      <c r="B177" t="s">
        <v>270</v>
      </c>
      <c r="C177" s="1">
        <v>45713</v>
      </c>
      <c r="D177">
        <v>31</v>
      </c>
      <c r="E177" t="str">
        <f t="shared" si="8"/>
        <v>25-34</v>
      </c>
      <c r="F177" t="s">
        <v>46</v>
      </c>
      <c r="G177" t="s">
        <v>38</v>
      </c>
      <c r="H177" t="s">
        <v>20</v>
      </c>
      <c r="I177">
        <v>1</v>
      </c>
      <c r="J177" t="s">
        <v>34</v>
      </c>
      <c r="K177">
        <v>27</v>
      </c>
      <c r="L177" t="str">
        <f t="shared" si="9"/>
        <v>2+years</v>
      </c>
      <c r="M177" t="s">
        <v>35</v>
      </c>
      <c r="N177">
        <v>20000</v>
      </c>
      <c r="O177">
        <v>1</v>
      </c>
      <c r="P177">
        <v>20000</v>
      </c>
      <c r="Q177">
        <f t="shared" si="10"/>
        <v>20000</v>
      </c>
      <c r="R177" s="13">
        <v>58.61</v>
      </c>
      <c r="S177" t="s">
        <v>23</v>
      </c>
      <c r="T177">
        <f t="shared" si="11"/>
        <v>1</v>
      </c>
      <c r="U177">
        <v>0</v>
      </c>
      <c r="V177">
        <v>0</v>
      </c>
      <c r="W177">
        <v>0</v>
      </c>
    </row>
    <row r="178" spans="1:23" x14ac:dyDescent="0.35">
      <c r="A178" s="7" t="s">
        <v>269</v>
      </c>
      <c r="B178" t="s">
        <v>270</v>
      </c>
      <c r="C178" s="1">
        <v>45713</v>
      </c>
      <c r="D178">
        <v>31</v>
      </c>
      <c r="E178" t="str">
        <f t="shared" si="8"/>
        <v>25-34</v>
      </c>
      <c r="F178" t="s">
        <v>46</v>
      </c>
      <c r="G178" t="s">
        <v>33</v>
      </c>
      <c r="H178" t="s">
        <v>20</v>
      </c>
      <c r="I178">
        <v>1</v>
      </c>
      <c r="J178" t="s">
        <v>34</v>
      </c>
      <c r="K178">
        <v>27</v>
      </c>
      <c r="L178" t="str">
        <f t="shared" si="9"/>
        <v>2+years</v>
      </c>
      <c r="M178" t="s">
        <v>110</v>
      </c>
      <c r="N178">
        <v>25000</v>
      </c>
      <c r="O178">
        <v>14</v>
      </c>
      <c r="P178">
        <v>350000</v>
      </c>
      <c r="Q178">
        <f t="shared" si="10"/>
        <v>25000</v>
      </c>
      <c r="R178" s="13">
        <v>48.49</v>
      </c>
      <c r="S178" t="s">
        <v>23</v>
      </c>
      <c r="T178">
        <f t="shared" si="11"/>
        <v>1</v>
      </c>
      <c r="U178">
        <v>0</v>
      </c>
      <c r="V178">
        <v>0</v>
      </c>
      <c r="W178">
        <v>0</v>
      </c>
    </row>
    <row r="179" spans="1:23" x14ac:dyDescent="0.35">
      <c r="A179" s="7" t="s">
        <v>269</v>
      </c>
      <c r="B179" t="s">
        <v>270</v>
      </c>
      <c r="C179" s="1">
        <v>45713</v>
      </c>
      <c r="D179">
        <v>31</v>
      </c>
      <c r="E179" t="str">
        <f t="shared" si="8"/>
        <v>25-34</v>
      </c>
      <c r="F179" t="s">
        <v>46</v>
      </c>
      <c r="G179" t="s">
        <v>27</v>
      </c>
      <c r="H179" t="s">
        <v>20</v>
      </c>
      <c r="I179">
        <v>1</v>
      </c>
      <c r="J179" t="s">
        <v>34</v>
      </c>
      <c r="K179">
        <v>27</v>
      </c>
      <c r="L179" t="str">
        <f t="shared" si="9"/>
        <v>2+years</v>
      </c>
      <c r="M179" t="s">
        <v>159</v>
      </c>
      <c r="N179">
        <v>600</v>
      </c>
      <c r="O179">
        <v>3</v>
      </c>
      <c r="P179">
        <v>1800</v>
      </c>
      <c r="Q179">
        <f t="shared" si="10"/>
        <v>600</v>
      </c>
      <c r="R179" s="13">
        <v>133.04</v>
      </c>
      <c r="S179" t="s">
        <v>23</v>
      </c>
      <c r="T179">
        <f t="shared" si="11"/>
        <v>1</v>
      </c>
      <c r="U179">
        <v>0</v>
      </c>
      <c r="V179">
        <v>0</v>
      </c>
      <c r="W179">
        <v>0</v>
      </c>
    </row>
    <row r="180" spans="1:23" x14ac:dyDescent="0.35">
      <c r="A180" s="7" t="s">
        <v>271</v>
      </c>
      <c r="B180" t="s">
        <v>272</v>
      </c>
      <c r="C180" s="1">
        <v>45713</v>
      </c>
      <c r="D180">
        <v>62</v>
      </c>
      <c r="E180" t="str">
        <f t="shared" si="8"/>
        <v>55+</v>
      </c>
      <c r="F180" t="s">
        <v>141</v>
      </c>
      <c r="G180" t="s">
        <v>33</v>
      </c>
      <c r="H180" t="s">
        <v>20</v>
      </c>
      <c r="I180">
        <v>1</v>
      </c>
      <c r="J180" t="s">
        <v>34</v>
      </c>
      <c r="K180">
        <v>25</v>
      </c>
      <c r="L180" t="str">
        <f t="shared" si="9"/>
        <v>2+years</v>
      </c>
      <c r="M180" t="s">
        <v>39</v>
      </c>
      <c r="N180">
        <v>9000</v>
      </c>
      <c r="O180">
        <v>3</v>
      </c>
      <c r="P180">
        <v>27000</v>
      </c>
      <c r="Q180">
        <f t="shared" si="10"/>
        <v>9000</v>
      </c>
      <c r="R180" s="13">
        <v>71.739999999999995</v>
      </c>
      <c r="S180" t="s">
        <v>36</v>
      </c>
      <c r="T180">
        <f t="shared" si="11"/>
        <v>0</v>
      </c>
      <c r="U180">
        <v>0</v>
      </c>
      <c r="V180">
        <v>0</v>
      </c>
      <c r="W180">
        <v>0</v>
      </c>
    </row>
    <row r="181" spans="1:23" x14ac:dyDescent="0.35">
      <c r="A181" s="7" t="s">
        <v>271</v>
      </c>
      <c r="B181" t="s">
        <v>272</v>
      </c>
      <c r="C181" s="1">
        <v>45713</v>
      </c>
      <c r="D181">
        <v>62</v>
      </c>
      <c r="E181" t="str">
        <f t="shared" si="8"/>
        <v>55+</v>
      </c>
      <c r="F181" t="s">
        <v>141</v>
      </c>
      <c r="G181" t="s">
        <v>27</v>
      </c>
      <c r="H181" t="s">
        <v>20</v>
      </c>
      <c r="I181">
        <v>1</v>
      </c>
      <c r="J181" t="s">
        <v>34</v>
      </c>
      <c r="K181">
        <v>25</v>
      </c>
      <c r="L181" t="str">
        <f t="shared" si="9"/>
        <v>2+years</v>
      </c>
      <c r="M181" t="s">
        <v>53</v>
      </c>
      <c r="N181">
        <v>3500</v>
      </c>
      <c r="O181">
        <v>4</v>
      </c>
      <c r="P181">
        <v>14000</v>
      </c>
      <c r="Q181">
        <f t="shared" si="10"/>
        <v>3500</v>
      </c>
      <c r="R181" s="13">
        <v>48.6</v>
      </c>
      <c r="S181" t="s">
        <v>36</v>
      </c>
      <c r="T181">
        <f t="shared" si="11"/>
        <v>0</v>
      </c>
      <c r="U181">
        <v>0</v>
      </c>
      <c r="V181">
        <v>0</v>
      </c>
      <c r="W181">
        <v>0</v>
      </c>
    </row>
    <row r="182" spans="1:23" x14ac:dyDescent="0.35">
      <c r="A182" s="7" t="s">
        <v>273</v>
      </c>
      <c r="B182" t="s">
        <v>274</v>
      </c>
      <c r="C182" s="1">
        <v>45741</v>
      </c>
      <c r="D182">
        <v>33</v>
      </c>
      <c r="E182" t="str">
        <f t="shared" si="8"/>
        <v>25-34</v>
      </c>
      <c r="F182" t="s">
        <v>123</v>
      </c>
      <c r="G182" t="s">
        <v>27</v>
      </c>
      <c r="H182" t="s">
        <v>28</v>
      </c>
      <c r="I182">
        <v>2</v>
      </c>
      <c r="J182" t="s">
        <v>21</v>
      </c>
      <c r="K182">
        <v>35</v>
      </c>
      <c r="L182" t="str">
        <f t="shared" si="9"/>
        <v>2+years</v>
      </c>
      <c r="M182" t="s">
        <v>159</v>
      </c>
      <c r="N182">
        <v>600</v>
      </c>
      <c r="O182">
        <v>3</v>
      </c>
      <c r="P182">
        <v>1800</v>
      </c>
      <c r="Q182">
        <f t="shared" si="10"/>
        <v>600</v>
      </c>
      <c r="R182" s="13">
        <v>162.38999999999999</v>
      </c>
      <c r="S182" t="s">
        <v>36</v>
      </c>
      <c r="T182">
        <f t="shared" si="11"/>
        <v>0</v>
      </c>
      <c r="U182">
        <v>0</v>
      </c>
      <c r="V182">
        <v>0</v>
      </c>
      <c r="W182">
        <v>0</v>
      </c>
    </row>
    <row r="183" spans="1:23" x14ac:dyDescent="0.35">
      <c r="A183" s="7" t="s">
        <v>273</v>
      </c>
      <c r="B183" t="s">
        <v>274</v>
      </c>
      <c r="C183" s="1">
        <v>45741</v>
      </c>
      <c r="D183">
        <v>33</v>
      </c>
      <c r="E183" t="str">
        <f t="shared" si="8"/>
        <v>25-34</v>
      </c>
      <c r="F183" t="s">
        <v>123</v>
      </c>
      <c r="G183" t="s">
        <v>33</v>
      </c>
      <c r="H183" t="s">
        <v>28</v>
      </c>
      <c r="I183">
        <v>2</v>
      </c>
      <c r="J183" t="s">
        <v>21</v>
      </c>
      <c r="K183">
        <v>35</v>
      </c>
      <c r="L183" t="str">
        <f t="shared" si="9"/>
        <v>2+years</v>
      </c>
      <c r="M183" t="s">
        <v>54</v>
      </c>
      <c r="N183">
        <v>150000</v>
      </c>
      <c r="O183">
        <v>7</v>
      </c>
      <c r="P183">
        <v>1050000</v>
      </c>
      <c r="Q183">
        <f t="shared" si="10"/>
        <v>150000</v>
      </c>
      <c r="R183" s="13">
        <v>7.88</v>
      </c>
      <c r="S183" t="s">
        <v>36</v>
      </c>
      <c r="T183">
        <f t="shared" si="11"/>
        <v>0</v>
      </c>
      <c r="U183">
        <v>0</v>
      </c>
      <c r="V183">
        <v>0</v>
      </c>
      <c r="W183">
        <v>0</v>
      </c>
    </row>
    <row r="184" spans="1:23" x14ac:dyDescent="0.35">
      <c r="A184" s="7" t="s">
        <v>273</v>
      </c>
      <c r="B184" t="s">
        <v>274</v>
      </c>
      <c r="C184" s="1">
        <v>45741</v>
      </c>
      <c r="D184">
        <v>33</v>
      </c>
      <c r="E184" t="str">
        <f t="shared" si="8"/>
        <v>25-34</v>
      </c>
      <c r="F184" t="s">
        <v>123</v>
      </c>
      <c r="G184" t="s">
        <v>19</v>
      </c>
      <c r="H184" t="s">
        <v>28</v>
      </c>
      <c r="I184">
        <v>2</v>
      </c>
      <c r="J184" t="s">
        <v>21</v>
      </c>
      <c r="K184">
        <v>35</v>
      </c>
      <c r="L184" t="str">
        <f t="shared" si="9"/>
        <v>2+years</v>
      </c>
      <c r="M184" t="s">
        <v>55</v>
      </c>
      <c r="N184">
        <v>16000</v>
      </c>
      <c r="O184">
        <v>2</v>
      </c>
      <c r="P184">
        <v>32000</v>
      </c>
      <c r="Q184">
        <f t="shared" si="10"/>
        <v>16000</v>
      </c>
      <c r="R184" s="13">
        <v>158.33000000000001</v>
      </c>
      <c r="S184" t="s">
        <v>36</v>
      </c>
      <c r="T184">
        <f t="shared" si="11"/>
        <v>0</v>
      </c>
      <c r="U184">
        <v>0</v>
      </c>
      <c r="V184">
        <v>0</v>
      </c>
      <c r="W184">
        <v>0</v>
      </c>
    </row>
    <row r="185" spans="1:23" x14ac:dyDescent="0.35">
      <c r="A185" s="7" t="s">
        <v>275</v>
      </c>
      <c r="B185" t="s">
        <v>276</v>
      </c>
      <c r="C185" s="1">
        <v>45713</v>
      </c>
      <c r="D185">
        <v>55</v>
      </c>
      <c r="E185" t="str">
        <f t="shared" si="8"/>
        <v>55+</v>
      </c>
      <c r="F185" t="s">
        <v>183</v>
      </c>
      <c r="G185" t="s">
        <v>33</v>
      </c>
      <c r="H185" t="s">
        <v>28</v>
      </c>
      <c r="I185">
        <v>3</v>
      </c>
      <c r="J185" t="s">
        <v>47</v>
      </c>
      <c r="K185">
        <v>53</v>
      </c>
      <c r="L185" t="str">
        <f t="shared" si="9"/>
        <v>2+years</v>
      </c>
      <c r="M185" t="s">
        <v>110</v>
      </c>
      <c r="N185">
        <v>25000</v>
      </c>
      <c r="O185">
        <v>2</v>
      </c>
      <c r="P185">
        <v>50000</v>
      </c>
      <c r="Q185">
        <f t="shared" si="10"/>
        <v>25000</v>
      </c>
      <c r="R185" s="13">
        <v>172.5</v>
      </c>
      <c r="S185" t="s">
        <v>23</v>
      </c>
      <c r="T185">
        <f t="shared" si="11"/>
        <v>1</v>
      </c>
      <c r="U185">
        <v>0</v>
      </c>
      <c r="V185">
        <v>0</v>
      </c>
      <c r="W185">
        <v>0</v>
      </c>
    </row>
    <row r="186" spans="1:23" x14ac:dyDescent="0.35">
      <c r="A186" s="7" t="s">
        <v>277</v>
      </c>
      <c r="B186" t="s">
        <v>278</v>
      </c>
      <c r="C186" s="1">
        <v>45713</v>
      </c>
      <c r="D186">
        <v>50</v>
      </c>
      <c r="E186" t="str">
        <f t="shared" si="8"/>
        <v>45-54</v>
      </c>
      <c r="F186" t="s">
        <v>170</v>
      </c>
      <c r="G186" t="s">
        <v>33</v>
      </c>
      <c r="H186" t="s">
        <v>28</v>
      </c>
      <c r="I186">
        <v>4</v>
      </c>
      <c r="J186" t="s">
        <v>109</v>
      </c>
      <c r="K186">
        <v>28</v>
      </c>
      <c r="L186" t="str">
        <f t="shared" si="9"/>
        <v>2+years</v>
      </c>
      <c r="M186" t="s">
        <v>54</v>
      </c>
      <c r="N186">
        <v>150000</v>
      </c>
      <c r="O186">
        <v>12</v>
      </c>
      <c r="P186">
        <v>1800000</v>
      </c>
      <c r="Q186">
        <f t="shared" si="10"/>
        <v>150000</v>
      </c>
      <c r="R186" s="13">
        <v>138.57</v>
      </c>
      <c r="S186" t="s">
        <v>36</v>
      </c>
      <c r="T186">
        <f t="shared" si="11"/>
        <v>0</v>
      </c>
      <c r="U186">
        <v>0</v>
      </c>
      <c r="V186">
        <v>0</v>
      </c>
      <c r="W186">
        <v>0</v>
      </c>
    </row>
    <row r="187" spans="1:23" x14ac:dyDescent="0.35">
      <c r="A187" s="7" t="s">
        <v>277</v>
      </c>
      <c r="B187" t="s">
        <v>278</v>
      </c>
      <c r="C187" s="1">
        <v>45713</v>
      </c>
      <c r="D187">
        <v>50</v>
      </c>
      <c r="E187" t="str">
        <f t="shared" si="8"/>
        <v>45-54</v>
      </c>
      <c r="F187" t="s">
        <v>170</v>
      </c>
      <c r="G187" t="s">
        <v>38</v>
      </c>
      <c r="H187" t="s">
        <v>28</v>
      </c>
      <c r="I187">
        <v>4</v>
      </c>
      <c r="J187" t="s">
        <v>109</v>
      </c>
      <c r="K187">
        <v>28</v>
      </c>
      <c r="L187" t="str">
        <f t="shared" si="9"/>
        <v>2+years</v>
      </c>
      <c r="M187" t="s">
        <v>59</v>
      </c>
      <c r="N187">
        <v>24000</v>
      </c>
      <c r="O187">
        <v>3</v>
      </c>
      <c r="P187">
        <v>72000</v>
      </c>
      <c r="Q187">
        <f t="shared" si="10"/>
        <v>24000</v>
      </c>
      <c r="R187" s="13">
        <v>53.71</v>
      </c>
      <c r="S187" t="s">
        <v>36</v>
      </c>
      <c r="T187">
        <f t="shared" si="11"/>
        <v>0</v>
      </c>
      <c r="U187">
        <v>0</v>
      </c>
      <c r="V187">
        <v>0</v>
      </c>
      <c r="W187">
        <v>0</v>
      </c>
    </row>
    <row r="188" spans="1:23" x14ac:dyDescent="0.35">
      <c r="A188" s="7" t="s">
        <v>279</v>
      </c>
      <c r="B188" t="s">
        <v>280</v>
      </c>
      <c r="C188" s="1">
        <v>45741</v>
      </c>
      <c r="D188">
        <v>26</v>
      </c>
      <c r="E188" t="str">
        <f t="shared" si="8"/>
        <v>25-34</v>
      </c>
      <c r="F188" t="s">
        <v>18</v>
      </c>
      <c r="G188" t="s">
        <v>33</v>
      </c>
      <c r="H188" t="s">
        <v>20</v>
      </c>
      <c r="I188">
        <v>3</v>
      </c>
      <c r="J188" t="s">
        <v>47</v>
      </c>
      <c r="K188">
        <v>35</v>
      </c>
      <c r="L188" t="str">
        <f t="shared" si="9"/>
        <v>2+years</v>
      </c>
      <c r="M188" t="s">
        <v>100</v>
      </c>
      <c r="N188">
        <v>75000</v>
      </c>
      <c r="O188">
        <v>15</v>
      </c>
      <c r="P188">
        <v>1125000</v>
      </c>
      <c r="Q188">
        <f t="shared" si="10"/>
        <v>75000</v>
      </c>
      <c r="R188" s="13">
        <v>33.75</v>
      </c>
      <c r="S188" t="s">
        <v>23</v>
      </c>
      <c r="T188">
        <f t="shared" si="11"/>
        <v>1</v>
      </c>
      <c r="U188">
        <v>0</v>
      </c>
      <c r="V188">
        <v>0</v>
      </c>
      <c r="W188">
        <v>0</v>
      </c>
    </row>
    <row r="189" spans="1:23" x14ac:dyDescent="0.35">
      <c r="A189" s="7" t="s">
        <v>279</v>
      </c>
      <c r="B189" t="s">
        <v>280</v>
      </c>
      <c r="C189" s="1">
        <v>45741</v>
      </c>
      <c r="D189">
        <v>26</v>
      </c>
      <c r="E189" t="str">
        <f t="shared" si="8"/>
        <v>25-34</v>
      </c>
      <c r="F189" t="s">
        <v>18</v>
      </c>
      <c r="G189" t="s">
        <v>19</v>
      </c>
      <c r="H189" t="s">
        <v>20</v>
      </c>
      <c r="I189">
        <v>3</v>
      </c>
      <c r="J189" t="s">
        <v>47</v>
      </c>
      <c r="K189">
        <v>35</v>
      </c>
      <c r="L189" t="str">
        <f t="shared" si="9"/>
        <v>2+years</v>
      </c>
      <c r="M189" t="s">
        <v>48</v>
      </c>
      <c r="N189">
        <v>9000</v>
      </c>
      <c r="O189">
        <v>12</v>
      </c>
      <c r="P189">
        <v>108000</v>
      </c>
      <c r="Q189">
        <f t="shared" si="10"/>
        <v>9000</v>
      </c>
      <c r="R189" s="13">
        <v>89.7</v>
      </c>
      <c r="S189" t="s">
        <v>23</v>
      </c>
      <c r="T189">
        <f t="shared" si="11"/>
        <v>1</v>
      </c>
      <c r="U189">
        <v>0</v>
      </c>
      <c r="V189">
        <v>0</v>
      </c>
      <c r="W189">
        <v>0</v>
      </c>
    </row>
    <row r="190" spans="1:23" x14ac:dyDescent="0.35">
      <c r="A190" s="7" t="s">
        <v>279</v>
      </c>
      <c r="B190" t="s">
        <v>280</v>
      </c>
      <c r="C190" s="1">
        <v>45741</v>
      </c>
      <c r="D190">
        <v>26</v>
      </c>
      <c r="E190" t="str">
        <f t="shared" si="8"/>
        <v>25-34</v>
      </c>
      <c r="F190" t="s">
        <v>18</v>
      </c>
      <c r="G190" t="s">
        <v>27</v>
      </c>
      <c r="H190" t="s">
        <v>20</v>
      </c>
      <c r="I190">
        <v>3</v>
      </c>
      <c r="J190" t="s">
        <v>47</v>
      </c>
      <c r="K190">
        <v>35</v>
      </c>
      <c r="L190" t="str">
        <f t="shared" si="9"/>
        <v>2+years</v>
      </c>
      <c r="M190" t="s">
        <v>83</v>
      </c>
      <c r="N190">
        <v>7500</v>
      </c>
      <c r="O190">
        <v>2</v>
      </c>
      <c r="P190">
        <v>15000</v>
      </c>
      <c r="Q190">
        <f t="shared" si="10"/>
        <v>7500</v>
      </c>
      <c r="R190" s="13">
        <v>55.27</v>
      </c>
      <c r="S190" t="s">
        <v>23</v>
      </c>
      <c r="T190">
        <f t="shared" si="11"/>
        <v>1</v>
      </c>
      <c r="U190">
        <v>0</v>
      </c>
      <c r="V190">
        <v>0</v>
      </c>
      <c r="W190">
        <v>0</v>
      </c>
    </row>
    <row r="191" spans="1:23" x14ac:dyDescent="0.35">
      <c r="A191" s="7" t="s">
        <v>281</v>
      </c>
      <c r="B191" t="s">
        <v>282</v>
      </c>
      <c r="C191" s="1">
        <v>45713</v>
      </c>
      <c r="D191">
        <v>67</v>
      </c>
      <c r="E191" t="str">
        <f t="shared" si="8"/>
        <v>55+</v>
      </c>
      <c r="F191" t="s">
        <v>42</v>
      </c>
      <c r="G191" t="s">
        <v>38</v>
      </c>
      <c r="H191" t="s">
        <v>20</v>
      </c>
      <c r="I191">
        <v>5</v>
      </c>
      <c r="J191" t="s">
        <v>52</v>
      </c>
      <c r="K191">
        <v>2</v>
      </c>
      <c r="L191" t="str">
        <f t="shared" si="9"/>
        <v>0-5 months</v>
      </c>
      <c r="M191" t="s">
        <v>39</v>
      </c>
      <c r="N191">
        <v>9000</v>
      </c>
      <c r="O191">
        <v>12</v>
      </c>
      <c r="P191">
        <v>108000</v>
      </c>
      <c r="Q191">
        <f t="shared" si="10"/>
        <v>9000</v>
      </c>
      <c r="R191" s="13">
        <v>47.58</v>
      </c>
      <c r="S191" t="s">
        <v>36</v>
      </c>
      <c r="T191">
        <f t="shared" si="11"/>
        <v>0</v>
      </c>
      <c r="U191">
        <v>0</v>
      </c>
      <c r="V191">
        <v>0</v>
      </c>
      <c r="W191">
        <v>0</v>
      </c>
    </row>
    <row r="192" spans="1:23" x14ac:dyDescent="0.35">
      <c r="A192" s="7" t="s">
        <v>281</v>
      </c>
      <c r="B192" t="s">
        <v>282</v>
      </c>
      <c r="C192" s="1">
        <v>45713</v>
      </c>
      <c r="D192">
        <v>67</v>
      </c>
      <c r="E192" t="str">
        <f t="shared" si="8"/>
        <v>55+</v>
      </c>
      <c r="F192" t="s">
        <v>42</v>
      </c>
      <c r="G192" t="s">
        <v>27</v>
      </c>
      <c r="H192" t="s">
        <v>20</v>
      </c>
      <c r="I192">
        <v>5</v>
      </c>
      <c r="J192" t="s">
        <v>52</v>
      </c>
      <c r="K192">
        <v>2</v>
      </c>
      <c r="L192" t="str">
        <f t="shared" si="9"/>
        <v>0-5 months</v>
      </c>
      <c r="M192" t="s">
        <v>53</v>
      </c>
      <c r="N192">
        <v>3500</v>
      </c>
      <c r="O192">
        <v>19</v>
      </c>
      <c r="P192">
        <v>66500</v>
      </c>
      <c r="Q192">
        <f t="shared" si="10"/>
        <v>3500</v>
      </c>
      <c r="R192" s="13">
        <v>76.88</v>
      </c>
      <c r="S192" t="s">
        <v>36</v>
      </c>
      <c r="T192">
        <f t="shared" si="11"/>
        <v>0</v>
      </c>
      <c r="U192">
        <v>0</v>
      </c>
      <c r="V192">
        <v>0</v>
      </c>
      <c r="W192">
        <v>0</v>
      </c>
    </row>
    <row r="193" spans="1:23" x14ac:dyDescent="0.35">
      <c r="A193" s="7" t="s">
        <v>283</v>
      </c>
      <c r="B193" t="s">
        <v>284</v>
      </c>
      <c r="C193" s="1">
        <v>45713</v>
      </c>
      <c r="D193">
        <v>35</v>
      </c>
      <c r="E193" t="str">
        <f t="shared" si="8"/>
        <v>35-44</v>
      </c>
      <c r="F193" t="s">
        <v>192</v>
      </c>
      <c r="G193" t="s">
        <v>33</v>
      </c>
      <c r="H193" t="s">
        <v>28</v>
      </c>
      <c r="I193">
        <v>1</v>
      </c>
      <c r="J193" t="s">
        <v>34</v>
      </c>
      <c r="K193">
        <v>24</v>
      </c>
      <c r="L193" t="str">
        <f t="shared" si="9"/>
        <v>1-2 years</v>
      </c>
      <c r="M193" t="s">
        <v>59</v>
      </c>
      <c r="N193">
        <v>24000</v>
      </c>
      <c r="O193">
        <v>4</v>
      </c>
      <c r="P193">
        <v>96000</v>
      </c>
      <c r="Q193">
        <f t="shared" si="10"/>
        <v>24000</v>
      </c>
      <c r="R193" s="13">
        <v>50.3</v>
      </c>
      <c r="S193" t="s">
        <v>36</v>
      </c>
      <c r="T193">
        <f t="shared" si="11"/>
        <v>0</v>
      </c>
      <c r="U193">
        <v>0</v>
      </c>
      <c r="V193">
        <v>0</v>
      </c>
      <c r="W193">
        <v>0</v>
      </c>
    </row>
    <row r="194" spans="1:23" x14ac:dyDescent="0.35">
      <c r="A194" s="7" t="s">
        <v>283</v>
      </c>
      <c r="B194" t="s">
        <v>284</v>
      </c>
      <c r="C194" s="1">
        <v>45713</v>
      </c>
      <c r="D194">
        <v>35</v>
      </c>
      <c r="E194" t="str">
        <f t="shared" si="8"/>
        <v>35-44</v>
      </c>
      <c r="F194" t="s">
        <v>192</v>
      </c>
      <c r="G194" t="s">
        <v>27</v>
      </c>
      <c r="H194" t="s">
        <v>28</v>
      </c>
      <c r="I194">
        <v>1</v>
      </c>
      <c r="J194" t="s">
        <v>34</v>
      </c>
      <c r="K194">
        <v>24</v>
      </c>
      <c r="L194" t="str">
        <f t="shared" si="9"/>
        <v>1-2 years</v>
      </c>
      <c r="M194" t="s">
        <v>55</v>
      </c>
      <c r="N194">
        <v>16000</v>
      </c>
      <c r="O194">
        <v>16</v>
      </c>
      <c r="P194">
        <v>256000</v>
      </c>
      <c r="Q194">
        <f t="shared" si="10"/>
        <v>16000</v>
      </c>
      <c r="R194" s="13">
        <v>147.27000000000001</v>
      </c>
      <c r="S194" t="s">
        <v>36</v>
      </c>
      <c r="T194">
        <f t="shared" si="11"/>
        <v>0</v>
      </c>
      <c r="U194">
        <v>0</v>
      </c>
      <c r="V194">
        <v>0</v>
      </c>
      <c r="W194">
        <v>0</v>
      </c>
    </row>
    <row r="195" spans="1:23" x14ac:dyDescent="0.35">
      <c r="A195" s="7" t="s">
        <v>283</v>
      </c>
      <c r="B195" t="s">
        <v>284</v>
      </c>
      <c r="C195" s="1">
        <v>45713</v>
      </c>
      <c r="D195">
        <v>35</v>
      </c>
      <c r="E195" t="str">
        <f t="shared" ref="E195:E258" si="12">IF(D195&lt;25,"Under25",IF(D195&lt;35,"25-34",IF(D195&lt;45,"35-44",IF(D195&lt;55,"45-54","55+"))) )</f>
        <v>35-44</v>
      </c>
      <c r="F195" t="s">
        <v>192</v>
      </c>
      <c r="G195" t="s">
        <v>27</v>
      </c>
      <c r="H195" t="s">
        <v>28</v>
      </c>
      <c r="I195">
        <v>1</v>
      </c>
      <c r="J195" t="s">
        <v>34</v>
      </c>
      <c r="K195">
        <v>24</v>
      </c>
      <c r="L195" t="str">
        <f t="shared" ref="L195:L258" si="13">IF(K195&lt;6,"0-5 months",IF(K195&lt;13,"6-12 months",IF(K195&lt;25,"1-2 years","2+years")))</f>
        <v>1-2 years</v>
      </c>
      <c r="M195" t="s">
        <v>187</v>
      </c>
      <c r="N195">
        <v>6500</v>
      </c>
      <c r="O195">
        <v>18</v>
      </c>
      <c r="P195">
        <v>117000</v>
      </c>
      <c r="Q195">
        <f t="shared" ref="Q195:Q258" si="14">P195/O195</f>
        <v>6500</v>
      </c>
      <c r="R195" s="13">
        <v>77.7</v>
      </c>
      <c r="S195" t="s">
        <v>36</v>
      </c>
      <c r="T195">
        <f t="shared" ref="T195:T258" si="15">IF(S195="yes",1,0)</f>
        <v>0</v>
      </c>
      <c r="U195">
        <v>0</v>
      </c>
      <c r="V195">
        <v>0</v>
      </c>
      <c r="W195">
        <v>0</v>
      </c>
    </row>
    <row r="196" spans="1:23" x14ac:dyDescent="0.35">
      <c r="A196" s="7" t="s">
        <v>285</v>
      </c>
      <c r="B196" t="s">
        <v>286</v>
      </c>
      <c r="C196" s="1">
        <v>45741</v>
      </c>
      <c r="D196">
        <v>49</v>
      </c>
      <c r="E196" t="str">
        <f t="shared" si="12"/>
        <v>45-54</v>
      </c>
      <c r="F196" t="s">
        <v>138</v>
      </c>
      <c r="G196" t="s">
        <v>27</v>
      </c>
      <c r="H196" t="s">
        <v>28</v>
      </c>
      <c r="I196">
        <v>4</v>
      </c>
      <c r="J196" t="s">
        <v>109</v>
      </c>
      <c r="K196">
        <v>14</v>
      </c>
      <c r="L196" t="str">
        <f t="shared" si="13"/>
        <v>1-2 years</v>
      </c>
      <c r="M196" t="s">
        <v>159</v>
      </c>
      <c r="N196">
        <v>600</v>
      </c>
      <c r="O196">
        <v>15</v>
      </c>
      <c r="P196">
        <v>9000</v>
      </c>
      <c r="Q196">
        <f t="shared" si="14"/>
        <v>600</v>
      </c>
      <c r="R196" s="13">
        <v>179.79</v>
      </c>
      <c r="S196" t="s">
        <v>23</v>
      </c>
      <c r="T196">
        <f t="shared" si="15"/>
        <v>1</v>
      </c>
      <c r="U196">
        <v>0</v>
      </c>
      <c r="V196">
        <v>0</v>
      </c>
      <c r="W196">
        <v>0</v>
      </c>
    </row>
    <row r="197" spans="1:23" x14ac:dyDescent="0.35">
      <c r="A197" s="7" t="s">
        <v>287</v>
      </c>
      <c r="B197" t="s">
        <v>288</v>
      </c>
      <c r="C197" s="1">
        <v>45741</v>
      </c>
      <c r="D197">
        <v>56</v>
      </c>
      <c r="E197" t="str">
        <f t="shared" si="12"/>
        <v>55+</v>
      </c>
      <c r="F197" t="s">
        <v>147</v>
      </c>
      <c r="G197" t="s">
        <v>19</v>
      </c>
      <c r="H197" t="s">
        <v>20</v>
      </c>
      <c r="I197">
        <v>3</v>
      </c>
      <c r="J197" t="s">
        <v>47</v>
      </c>
      <c r="K197">
        <v>36</v>
      </c>
      <c r="L197" t="str">
        <f t="shared" si="13"/>
        <v>2+years</v>
      </c>
      <c r="M197" t="s">
        <v>55</v>
      </c>
      <c r="N197">
        <v>16000</v>
      </c>
      <c r="O197">
        <v>5</v>
      </c>
      <c r="P197">
        <v>80000</v>
      </c>
      <c r="Q197">
        <f t="shared" si="14"/>
        <v>16000</v>
      </c>
      <c r="R197" s="13">
        <v>197.03</v>
      </c>
      <c r="S197" t="s">
        <v>36</v>
      </c>
      <c r="T197">
        <f t="shared" si="15"/>
        <v>0</v>
      </c>
      <c r="U197">
        <v>0</v>
      </c>
      <c r="V197">
        <v>0</v>
      </c>
      <c r="W197">
        <v>0</v>
      </c>
    </row>
    <row r="198" spans="1:23" x14ac:dyDescent="0.35">
      <c r="A198" s="7" t="s">
        <v>287</v>
      </c>
      <c r="B198" t="s">
        <v>288</v>
      </c>
      <c r="C198" s="1">
        <v>45741</v>
      </c>
      <c r="D198">
        <v>56</v>
      </c>
      <c r="E198" t="str">
        <f t="shared" si="12"/>
        <v>55+</v>
      </c>
      <c r="F198" t="s">
        <v>147</v>
      </c>
      <c r="G198" t="s">
        <v>27</v>
      </c>
      <c r="H198" t="s">
        <v>20</v>
      </c>
      <c r="I198">
        <v>3</v>
      </c>
      <c r="J198" t="s">
        <v>47</v>
      </c>
      <c r="K198">
        <v>36</v>
      </c>
      <c r="L198" t="str">
        <f t="shared" si="13"/>
        <v>2+years</v>
      </c>
      <c r="M198" t="s">
        <v>69</v>
      </c>
      <c r="N198">
        <v>350</v>
      </c>
      <c r="O198">
        <v>1</v>
      </c>
      <c r="P198">
        <v>350</v>
      </c>
      <c r="Q198">
        <f t="shared" si="14"/>
        <v>350</v>
      </c>
      <c r="R198" s="13">
        <v>158.18</v>
      </c>
      <c r="S198" t="s">
        <v>36</v>
      </c>
      <c r="T198">
        <f t="shared" si="15"/>
        <v>0</v>
      </c>
      <c r="U198">
        <v>0</v>
      </c>
      <c r="V198">
        <v>0</v>
      </c>
      <c r="W198">
        <v>0</v>
      </c>
    </row>
    <row r="199" spans="1:23" x14ac:dyDescent="0.35">
      <c r="A199" s="7" t="s">
        <v>287</v>
      </c>
      <c r="B199" t="s">
        <v>288</v>
      </c>
      <c r="C199" s="1">
        <v>45741</v>
      </c>
      <c r="D199">
        <v>56</v>
      </c>
      <c r="E199" t="str">
        <f t="shared" si="12"/>
        <v>55+</v>
      </c>
      <c r="F199" t="s">
        <v>147</v>
      </c>
      <c r="G199" t="s">
        <v>38</v>
      </c>
      <c r="H199" t="s">
        <v>20</v>
      </c>
      <c r="I199">
        <v>3</v>
      </c>
      <c r="J199" t="s">
        <v>47</v>
      </c>
      <c r="K199">
        <v>36</v>
      </c>
      <c r="L199" t="str">
        <f t="shared" si="13"/>
        <v>2+years</v>
      </c>
      <c r="M199" t="s">
        <v>62</v>
      </c>
      <c r="N199">
        <v>30000</v>
      </c>
      <c r="O199">
        <v>12</v>
      </c>
      <c r="P199">
        <v>360000</v>
      </c>
      <c r="Q199">
        <f t="shared" si="14"/>
        <v>30000</v>
      </c>
      <c r="R199" s="13">
        <v>111.03</v>
      </c>
      <c r="S199" t="s">
        <v>36</v>
      </c>
      <c r="T199">
        <f t="shared" si="15"/>
        <v>0</v>
      </c>
      <c r="U199">
        <v>0</v>
      </c>
      <c r="V199">
        <v>0</v>
      </c>
      <c r="W199">
        <v>0</v>
      </c>
    </row>
    <row r="200" spans="1:23" x14ac:dyDescent="0.35">
      <c r="A200" s="7" t="s">
        <v>289</v>
      </c>
      <c r="B200" t="s">
        <v>290</v>
      </c>
      <c r="C200" s="1">
        <v>45713</v>
      </c>
      <c r="D200">
        <v>32</v>
      </c>
      <c r="E200" t="str">
        <f t="shared" si="12"/>
        <v>25-34</v>
      </c>
      <c r="F200" t="s">
        <v>291</v>
      </c>
      <c r="G200" t="s">
        <v>38</v>
      </c>
      <c r="H200" t="s">
        <v>20</v>
      </c>
      <c r="I200">
        <v>4</v>
      </c>
      <c r="J200" t="s">
        <v>109</v>
      </c>
      <c r="K200">
        <v>20</v>
      </c>
      <c r="L200" t="str">
        <f t="shared" si="13"/>
        <v>1-2 years</v>
      </c>
      <c r="M200" t="s">
        <v>62</v>
      </c>
      <c r="N200">
        <v>30000</v>
      </c>
      <c r="O200">
        <v>15</v>
      </c>
      <c r="P200">
        <v>450000</v>
      </c>
      <c r="Q200">
        <f t="shared" si="14"/>
        <v>30000</v>
      </c>
      <c r="R200" s="13">
        <v>128.65</v>
      </c>
      <c r="S200" t="s">
        <v>36</v>
      </c>
      <c r="T200">
        <f t="shared" si="15"/>
        <v>0</v>
      </c>
      <c r="U200">
        <v>0</v>
      </c>
      <c r="V200">
        <v>0</v>
      </c>
      <c r="W200">
        <v>0</v>
      </c>
    </row>
    <row r="201" spans="1:23" x14ac:dyDescent="0.35">
      <c r="A201" s="7" t="s">
        <v>289</v>
      </c>
      <c r="B201" t="s">
        <v>290</v>
      </c>
      <c r="C201" s="1">
        <v>45713</v>
      </c>
      <c r="D201">
        <v>32</v>
      </c>
      <c r="E201" t="str">
        <f t="shared" si="12"/>
        <v>25-34</v>
      </c>
      <c r="F201" t="s">
        <v>291</v>
      </c>
      <c r="G201" t="s">
        <v>27</v>
      </c>
      <c r="H201" t="s">
        <v>20</v>
      </c>
      <c r="I201">
        <v>4</v>
      </c>
      <c r="J201" t="s">
        <v>109</v>
      </c>
      <c r="K201">
        <v>20</v>
      </c>
      <c r="L201" t="str">
        <f t="shared" si="13"/>
        <v>1-2 years</v>
      </c>
      <c r="M201" t="s">
        <v>29</v>
      </c>
      <c r="N201">
        <v>5500</v>
      </c>
      <c r="O201">
        <v>12</v>
      </c>
      <c r="P201">
        <v>66000</v>
      </c>
      <c r="Q201">
        <f t="shared" si="14"/>
        <v>5500</v>
      </c>
      <c r="R201" s="13">
        <v>136.18</v>
      </c>
      <c r="S201" t="s">
        <v>36</v>
      </c>
      <c r="T201">
        <f t="shared" si="15"/>
        <v>0</v>
      </c>
      <c r="U201">
        <v>0</v>
      </c>
      <c r="V201">
        <v>0</v>
      </c>
      <c r="W201">
        <v>0</v>
      </c>
    </row>
    <row r="202" spans="1:23" x14ac:dyDescent="0.35">
      <c r="A202" s="7" t="s">
        <v>292</v>
      </c>
      <c r="B202" t="s">
        <v>293</v>
      </c>
      <c r="C202" s="1">
        <v>45682</v>
      </c>
      <c r="D202">
        <v>39</v>
      </c>
      <c r="E202" t="str">
        <f t="shared" si="12"/>
        <v>35-44</v>
      </c>
      <c r="F202" t="s">
        <v>135</v>
      </c>
      <c r="G202" t="s">
        <v>27</v>
      </c>
      <c r="H202" t="s">
        <v>28</v>
      </c>
      <c r="I202">
        <v>1</v>
      </c>
      <c r="J202" t="s">
        <v>34</v>
      </c>
      <c r="K202">
        <v>33</v>
      </c>
      <c r="L202" t="str">
        <f t="shared" si="13"/>
        <v>2+years</v>
      </c>
      <c r="M202" t="s">
        <v>48</v>
      </c>
      <c r="N202">
        <v>9000</v>
      </c>
      <c r="O202">
        <v>8</v>
      </c>
      <c r="P202">
        <v>72000</v>
      </c>
      <c r="Q202">
        <f t="shared" si="14"/>
        <v>9000</v>
      </c>
      <c r="R202" s="13">
        <v>186.98</v>
      </c>
      <c r="S202" t="s">
        <v>36</v>
      </c>
      <c r="T202">
        <f t="shared" si="15"/>
        <v>0</v>
      </c>
      <c r="U202">
        <v>0</v>
      </c>
      <c r="V202">
        <v>0</v>
      </c>
      <c r="W202">
        <v>0</v>
      </c>
    </row>
    <row r="203" spans="1:23" x14ac:dyDescent="0.35">
      <c r="A203" s="7" t="s">
        <v>292</v>
      </c>
      <c r="B203" t="s">
        <v>293</v>
      </c>
      <c r="C203" s="1">
        <v>45682</v>
      </c>
      <c r="D203">
        <v>39</v>
      </c>
      <c r="E203" t="str">
        <f t="shared" si="12"/>
        <v>35-44</v>
      </c>
      <c r="F203" t="s">
        <v>135</v>
      </c>
      <c r="G203" t="s">
        <v>38</v>
      </c>
      <c r="H203" t="s">
        <v>28</v>
      </c>
      <c r="I203">
        <v>1</v>
      </c>
      <c r="J203" t="s">
        <v>34</v>
      </c>
      <c r="K203">
        <v>33</v>
      </c>
      <c r="L203" t="str">
        <f t="shared" si="13"/>
        <v>2+years</v>
      </c>
      <c r="M203" t="s">
        <v>62</v>
      </c>
      <c r="N203">
        <v>30000</v>
      </c>
      <c r="O203">
        <v>17</v>
      </c>
      <c r="P203">
        <v>510000</v>
      </c>
      <c r="Q203">
        <f t="shared" si="14"/>
        <v>30000</v>
      </c>
      <c r="R203" s="13">
        <v>189.52</v>
      </c>
      <c r="S203" t="s">
        <v>36</v>
      </c>
      <c r="T203">
        <f t="shared" si="15"/>
        <v>0</v>
      </c>
      <c r="U203">
        <v>0</v>
      </c>
      <c r="V203">
        <v>0</v>
      </c>
      <c r="W203">
        <v>0</v>
      </c>
    </row>
    <row r="204" spans="1:23" x14ac:dyDescent="0.35">
      <c r="A204" s="7" t="s">
        <v>294</v>
      </c>
      <c r="B204" t="s">
        <v>295</v>
      </c>
      <c r="C204" s="1">
        <v>45741</v>
      </c>
      <c r="D204">
        <v>26</v>
      </c>
      <c r="E204" t="str">
        <f t="shared" si="12"/>
        <v>25-34</v>
      </c>
      <c r="F204" t="s">
        <v>138</v>
      </c>
      <c r="G204" t="s">
        <v>38</v>
      </c>
      <c r="H204" t="s">
        <v>20</v>
      </c>
      <c r="I204">
        <v>2</v>
      </c>
      <c r="J204" t="s">
        <v>21</v>
      </c>
      <c r="K204">
        <v>41</v>
      </c>
      <c r="L204" t="str">
        <f t="shared" si="13"/>
        <v>2+years</v>
      </c>
      <c r="M204" t="s">
        <v>59</v>
      </c>
      <c r="N204">
        <v>24000</v>
      </c>
      <c r="O204">
        <v>5</v>
      </c>
      <c r="P204">
        <v>120000</v>
      </c>
      <c r="Q204">
        <f t="shared" si="14"/>
        <v>24000</v>
      </c>
      <c r="R204" s="13">
        <v>188.35</v>
      </c>
      <c r="S204" t="s">
        <v>36</v>
      </c>
      <c r="T204">
        <f t="shared" si="15"/>
        <v>0</v>
      </c>
      <c r="U204">
        <v>0</v>
      </c>
      <c r="V204">
        <v>0</v>
      </c>
      <c r="W204">
        <v>0</v>
      </c>
    </row>
    <row r="205" spans="1:23" x14ac:dyDescent="0.35">
      <c r="A205" s="7" t="s">
        <v>294</v>
      </c>
      <c r="B205" t="s">
        <v>295</v>
      </c>
      <c r="C205" s="1">
        <v>45741</v>
      </c>
      <c r="D205">
        <v>26</v>
      </c>
      <c r="E205" t="str">
        <f t="shared" si="12"/>
        <v>25-34</v>
      </c>
      <c r="F205" t="s">
        <v>138</v>
      </c>
      <c r="G205" t="s">
        <v>33</v>
      </c>
      <c r="H205" t="s">
        <v>20</v>
      </c>
      <c r="I205">
        <v>2</v>
      </c>
      <c r="J205" t="s">
        <v>21</v>
      </c>
      <c r="K205">
        <v>41</v>
      </c>
      <c r="L205" t="str">
        <f t="shared" si="13"/>
        <v>2+years</v>
      </c>
      <c r="M205" t="s">
        <v>62</v>
      </c>
      <c r="N205">
        <v>30000</v>
      </c>
      <c r="O205">
        <v>20</v>
      </c>
      <c r="P205">
        <v>600000</v>
      </c>
      <c r="Q205">
        <f t="shared" si="14"/>
        <v>30000</v>
      </c>
      <c r="R205" s="13">
        <v>131.91999999999999</v>
      </c>
      <c r="S205" t="s">
        <v>36</v>
      </c>
      <c r="T205">
        <f t="shared" si="15"/>
        <v>0</v>
      </c>
      <c r="U205">
        <v>0</v>
      </c>
      <c r="V205">
        <v>0</v>
      </c>
      <c r="W205">
        <v>0</v>
      </c>
    </row>
    <row r="206" spans="1:23" x14ac:dyDescent="0.35">
      <c r="A206" s="7" t="s">
        <v>294</v>
      </c>
      <c r="B206" t="s">
        <v>295</v>
      </c>
      <c r="C206" s="1">
        <v>45741</v>
      </c>
      <c r="D206">
        <v>26</v>
      </c>
      <c r="E206" t="str">
        <f t="shared" si="12"/>
        <v>25-34</v>
      </c>
      <c r="F206" t="s">
        <v>138</v>
      </c>
      <c r="G206" t="s">
        <v>27</v>
      </c>
      <c r="H206" t="s">
        <v>20</v>
      </c>
      <c r="I206">
        <v>2</v>
      </c>
      <c r="J206" t="s">
        <v>21</v>
      </c>
      <c r="K206">
        <v>41</v>
      </c>
      <c r="L206" t="str">
        <f t="shared" si="13"/>
        <v>2+years</v>
      </c>
      <c r="M206" t="s">
        <v>53</v>
      </c>
      <c r="N206">
        <v>3500</v>
      </c>
      <c r="O206">
        <v>19</v>
      </c>
      <c r="P206">
        <v>66500</v>
      </c>
      <c r="Q206">
        <f t="shared" si="14"/>
        <v>3500</v>
      </c>
      <c r="R206" s="13">
        <v>168.58</v>
      </c>
      <c r="S206" t="s">
        <v>36</v>
      </c>
      <c r="T206">
        <f t="shared" si="15"/>
        <v>0</v>
      </c>
      <c r="U206">
        <v>0</v>
      </c>
      <c r="V206">
        <v>0</v>
      </c>
      <c r="W206">
        <v>0</v>
      </c>
    </row>
    <row r="207" spans="1:23" x14ac:dyDescent="0.35">
      <c r="A207" s="7" t="s">
        <v>296</v>
      </c>
      <c r="B207" t="s">
        <v>297</v>
      </c>
      <c r="C207" s="1">
        <v>45741</v>
      </c>
      <c r="D207">
        <v>19</v>
      </c>
      <c r="E207" t="str">
        <f t="shared" si="12"/>
        <v>Under25</v>
      </c>
      <c r="F207" t="s">
        <v>291</v>
      </c>
      <c r="G207" t="s">
        <v>19</v>
      </c>
      <c r="H207" t="s">
        <v>20</v>
      </c>
      <c r="I207">
        <v>2</v>
      </c>
      <c r="J207" t="s">
        <v>21</v>
      </c>
      <c r="K207">
        <v>42</v>
      </c>
      <c r="L207" t="str">
        <f t="shared" si="13"/>
        <v>2+years</v>
      </c>
      <c r="M207" t="s">
        <v>43</v>
      </c>
      <c r="N207">
        <v>4500</v>
      </c>
      <c r="O207">
        <v>10</v>
      </c>
      <c r="P207">
        <v>45000</v>
      </c>
      <c r="Q207">
        <f t="shared" si="14"/>
        <v>4500</v>
      </c>
      <c r="R207" s="13">
        <v>128.56</v>
      </c>
      <c r="S207" t="s">
        <v>36</v>
      </c>
      <c r="T207">
        <f t="shared" si="15"/>
        <v>0</v>
      </c>
      <c r="U207">
        <v>0</v>
      </c>
      <c r="V207">
        <v>0</v>
      </c>
      <c r="W207">
        <v>0</v>
      </c>
    </row>
    <row r="208" spans="1:23" x14ac:dyDescent="0.35">
      <c r="A208" s="7" t="s">
        <v>298</v>
      </c>
      <c r="B208" t="s">
        <v>299</v>
      </c>
      <c r="C208" s="1">
        <v>45682</v>
      </c>
      <c r="D208">
        <v>47</v>
      </c>
      <c r="E208" t="str">
        <f t="shared" si="12"/>
        <v>45-54</v>
      </c>
      <c r="F208" t="s">
        <v>78</v>
      </c>
      <c r="G208" t="s">
        <v>27</v>
      </c>
      <c r="H208" t="s">
        <v>28</v>
      </c>
      <c r="I208">
        <v>1</v>
      </c>
      <c r="J208" t="s">
        <v>34</v>
      </c>
      <c r="K208">
        <v>30</v>
      </c>
      <c r="L208" t="str">
        <f t="shared" si="13"/>
        <v>2+years</v>
      </c>
      <c r="M208" t="s">
        <v>53</v>
      </c>
      <c r="N208">
        <v>3500</v>
      </c>
      <c r="O208">
        <v>11</v>
      </c>
      <c r="P208">
        <v>38500</v>
      </c>
      <c r="Q208">
        <f t="shared" si="14"/>
        <v>3500</v>
      </c>
      <c r="R208" s="13">
        <v>121.53</v>
      </c>
      <c r="S208" t="s">
        <v>23</v>
      </c>
      <c r="T208">
        <f t="shared" si="15"/>
        <v>1</v>
      </c>
      <c r="U208">
        <v>0</v>
      </c>
      <c r="V208">
        <v>0</v>
      </c>
      <c r="W208">
        <v>0</v>
      </c>
    </row>
    <row r="209" spans="1:23" x14ac:dyDescent="0.35">
      <c r="A209" s="7" t="s">
        <v>298</v>
      </c>
      <c r="B209" t="s">
        <v>299</v>
      </c>
      <c r="C209" s="1">
        <v>45682</v>
      </c>
      <c r="D209">
        <v>47</v>
      </c>
      <c r="E209" t="str">
        <f t="shared" si="12"/>
        <v>45-54</v>
      </c>
      <c r="F209" t="s">
        <v>78</v>
      </c>
      <c r="G209" t="s">
        <v>38</v>
      </c>
      <c r="H209" t="s">
        <v>28</v>
      </c>
      <c r="I209">
        <v>1</v>
      </c>
      <c r="J209" t="s">
        <v>34</v>
      </c>
      <c r="K209">
        <v>30</v>
      </c>
      <c r="L209" t="str">
        <f t="shared" si="13"/>
        <v>2+years</v>
      </c>
      <c r="M209" t="s">
        <v>62</v>
      </c>
      <c r="N209">
        <v>30000</v>
      </c>
      <c r="O209">
        <v>12</v>
      </c>
      <c r="P209">
        <v>360000</v>
      </c>
      <c r="Q209">
        <f t="shared" si="14"/>
        <v>30000</v>
      </c>
      <c r="R209" s="13">
        <v>146.97</v>
      </c>
      <c r="S209" t="s">
        <v>23</v>
      </c>
      <c r="T209">
        <f t="shared" si="15"/>
        <v>1</v>
      </c>
      <c r="U209">
        <v>0</v>
      </c>
      <c r="V209">
        <v>0</v>
      </c>
      <c r="W209">
        <v>0</v>
      </c>
    </row>
    <row r="210" spans="1:23" x14ac:dyDescent="0.35">
      <c r="A210" s="7" t="s">
        <v>300</v>
      </c>
      <c r="B210" t="s">
        <v>301</v>
      </c>
      <c r="C210" s="1">
        <v>45713</v>
      </c>
      <c r="D210">
        <v>32</v>
      </c>
      <c r="E210" t="str">
        <f t="shared" si="12"/>
        <v>25-34</v>
      </c>
      <c r="F210" t="s">
        <v>42</v>
      </c>
      <c r="G210" t="s">
        <v>27</v>
      </c>
      <c r="H210" t="s">
        <v>20</v>
      </c>
      <c r="I210">
        <v>4</v>
      </c>
      <c r="J210" t="s">
        <v>109</v>
      </c>
      <c r="K210">
        <v>21</v>
      </c>
      <c r="L210" t="str">
        <f t="shared" si="13"/>
        <v>1-2 years</v>
      </c>
      <c r="M210" t="s">
        <v>55</v>
      </c>
      <c r="N210">
        <v>16000</v>
      </c>
      <c r="O210">
        <v>13</v>
      </c>
      <c r="P210">
        <v>208000</v>
      </c>
      <c r="Q210">
        <f t="shared" si="14"/>
        <v>16000</v>
      </c>
      <c r="R210" s="13">
        <v>10.6</v>
      </c>
      <c r="S210" t="s">
        <v>23</v>
      </c>
      <c r="T210">
        <f t="shared" si="15"/>
        <v>1</v>
      </c>
      <c r="U210">
        <v>0</v>
      </c>
      <c r="V210">
        <v>0</v>
      </c>
      <c r="W210">
        <v>0</v>
      </c>
    </row>
    <row r="211" spans="1:23" x14ac:dyDescent="0.35">
      <c r="A211" s="7" t="s">
        <v>302</v>
      </c>
      <c r="B211" t="s">
        <v>303</v>
      </c>
      <c r="C211" s="1">
        <v>45741</v>
      </c>
      <c r="D211">
        <v>47</v>
      </c>
      <c r="E211" t="str">
        <f t="shared" si="12"/>
        <v>45-54</v>
      </c>
      <c r="F211" t="s">
        <v>26</v>
      </c>
      <c r="G211" t="s">
        <v>27</v>
      </c>
      <c r="H211" t="s">
        <v>28</v>
      </c>
      <c r="I211">
        <v>2</v>
      </c>
      <c r="J211" t="s">
        <v>21</v>
      </c>
      <c r="K211">
        <v>60</v>
      </c>
      <c r="L211" t="str">
        <f t="shared" si="13"/>
        <v>2+years</v>
      </c>
      <c r="M211" t="s">
        <v>37</v>
      </c>
      <c r="N211">
        <v>500</v>
      </c>
      <c r="O211">
        <v>3</v>
      </c>
      <c r="P211">
        <v>1500</v>
      </c>
      <c r="Q211">
        <f t="shared" si="14"/>
        <v>500</v>
      </c>
      <c r="R211" s="13">
        <v>99.73</v>
      </c>
      <c r="S211" t="s">
        <v>36</v>
      </c>
      <c r="T211">
        <f t="shared" si="15"/>
        <v>0</v>
      </c>
      <c r="U211">
        <v>0</v>
      </c>
      <c r="V211">
        <v>0</v>
      </c>
      <c r="W211">
        <v>0</v>
      </c>
    </row>
    <row r="212" spans="1:23" x14ac:dyDescent="0.35">
      <c r="A212" s="7" t="s">
        <v>302</v>
      </c>
      <c r="B212" t="s">
        <v>303</v>
      </c>
      <c r="C212" s="1">
        <v>45741</v>
      </c>
      <c r="D212">
        <v>47</v>
      </c>
      <c r="E212" t="str">
        <f t="shared" si="12"/>
        <v>45-54</v>
      </c>
      <c r="F212" t="s">
        <v>26</v>
      </c>
      <c r="G212" t="s">
        <v>19</v>
      </c>
      <c r="H212" t="s">
        <v>28</v>
      </c>
      <c r="I212">
        <v>2</v>
      </c>
      <c r="J212" t="s">
        <v>21</v>
      </c>
      <c r="K212">
        <v>60</v>
      </c>
      <c r="L212" t="str">
        <f t="shared" si="13"/>
        <v>2+years</v>
      </c>
      <c r="M212" t="s">
        <v>22</v>
      </c>
      <c r="N212">
        <v>35000</v>
      </c>
      <c r="O212">
        <v>8</v>
      </c>
      <c r="P212">
        <v>280000</v>
      </c>
      <c r="Q212">
        <f t="shared" si="14"/>
        <v>35000</v>
      </c>
      <c r="R212" s="13">
        <v>101.34</v>
      </c>
      <c r="S212" t="s">
        <v>36</v>
      </c>
      <c r="T212">
        <f t="shared" si="15"/>
        <v>0</v>
      </c>
      <c r="U212">
        <v>0</v>
      </c>
      <c r="V212">
        <v>0</v>
      </c>
      <c r="W212">
        <v>0</v>
      </c>
    </row>
    <row r="213" spans="1:23" x14ac:dyDescent="0.35">
      <c r="A213" s="7" t="s">
        <v>304</v>
      </c>
      <c r="B213" t="s">
        <v>305</v>
      </c>
      <c r="C213" s="1">
        <v>45713</v>
      </c>
      <c r="D213">
        <v>61</v>
      </c>
      <c r="E213" t="str">
        <f t="shared" si="12"/>
        <v>55+</v>
      </c>
      <c r="F213" t="s">
        <v>46</v>
      </c>
      <c r="G213" t="s">
        <v>27</v>
      </c>
      <c r="H213" t="s">
        <v>20</v>
      </c>
      <c r="I213">
        <v>5</v>
      </c>
      <c r="J213" t="s">
        <v>52</v>
      </c>
      <c r="K213">
        <v>19</v>
      </c>
      <c r="L213" t="str">
        <f t="shared" si="13"/>
        <v>1-2 years</v>
      </c>
      <c r="M213" t="s">
        <v>79</v>
      </c>
      <c r="N213">
        <v>1000</v>
      </c>
      <c r="O213">
        <v>9</v>
      </c>
      <c r="P213">
        <v>9000</v>
      </c>
      <c r="Q213">
        <f t="shared" si="14"/>
        <v>1000</v>
      </c>
      <c r="R213" s="13">
        <v>86.47</v>
      </c>
      <c r="S213" t="s">
        <v>36</v>
      </c>
      <c r="T213">
        <f t="shared" si="15"/>
        <v>0</v>
      </c>
      <c r="U213">
        <v>0</v>
      </c>
      <c r="V213">
        <v>0</v>
      </c>
      <c r="W213">
        <v>0</v>
      </c>
    </row>
    <row r="214" spans="1:23" x14ac:dyDescent="0.35">
      <c r="A214" s="7" t="s">
        <v>304</v>
      </c>
      <c r="B214" t="s">
        <v>305</v>
      </c>
      <c r="C214" s="1">
        <v>45713</v>
      </c>
      <c r="D214">
        <v>61</v>
      </c>
      <c r="E214" t="str">
        <f t="shared" si="12"/>
        <v>55+</v>
      </c>
      <c r="F214" t="s">
        <v>46</v>
      </c>
      <c r="G214" t="s">
        <v>19</v>
      </c>
      <c r="H214" t="s">
        <v>20</v>
      </c>
      <c r="I214">
        <v>5</v>
      </c>
      <c r="J214" t="s">
        <v>52</v>
      </c>
      <c r="K214">
        <v>19</v>
      </c>
      <c r="L214" t="str">
        <f t="shared" si="13"/>
        <v>1-2 years</v>
      </c>
      <c r="M214" t="s">
        <v>48</v>
      </c>
      <c r="N214">
        <v>9000</v>
      </c>
      <c r="O214">
        <v>12</v>
      </c>
      <c r="P214">
        <v>108000</v>
      </c>
      <c r="Q214">
        <f t="shared" si="14"/>
        <v>9000</v>
      </c>
      <c r="R214" s="13">
        <v>152.88999999999999</v>
      </c>
      <c r="S214" t="s">
        <v>36</v>
      </c>
      <c r="T214">
        <f t="shared" si="15"/>
        <v>0</v>
      </c>
      <c r="U214">
        <v>0</v>
      </c>
      <c r="V214">
        <v>0</v>
      </c>
      <c r="W214">
        <v>0</v>
      </c>
    </row>
    <row r="215" spans="1:23" x14ac:dyDescent="0.35">
      <c r="A215" s="7" t="s">
        <v>304</v>
      </c>
      <c r="B215" t="s">
        <v>305</v>
      </c>
      <c r="C215" s="1">
        <v>45713</v>
      </c>
      <c r="D215">
        <v>61</v>
      </c>
      <c r="E215" t="str">
        <f t="shared" si="12"/>
        <v>55+</v>
      </c>
      <c r="F215" t="s">
        <v>46</v>
      </c>
      <c r="G215" t="s">
        <v>38</v>
      </c>
      <c r="H215" t="s">
        <v>20</v>
      </c>
      <c r="I215">
        <v>5</v>
      </c>
      <c r="J215" t="s">
        <v>52</v>
      </c>
      <c r="K215">
        <v>19</v>
      </c>
      <c r="L215" t="str">
        <f t="shared" si="13"/>
        <v>1-2 years</v>
      </c>
      <c r="M215" t="s">
        <v>39</v>
      </c>
      <c r="N215">
        <v>9000</v>
      </c>
      <c r="O215">
        <v>19</v>
      </c>
      <c r="P215">
        <v>171000</v>
      </c>
      <c r="Q215">
        <f t="shared" si="14"/>
        <v>9000</v>
      </c>
      <c r="R215" s="13">
        <v>80.42</v>
      </c>
      <c r="S215" t="s">
        <v>36</v>
      </c>
      <c r="T215">
        <f t="shared" si="15"/>
        <v>0</v>
      </c>
      <c r="U215">
        <v>0</v>
      </c>
      <c r="V215">
        <v>0</v>
      </c>
      <c r="W215">
        <v>0</v>
      </c>
    </row>
    <row r="216" spans="1:23" x14ac:dyDescent="0.35">
      <c r="A216" s="7" t="s">
        <v>306</v>
      </c>
      <c r="B216" t="s">
        <v>307</v>
      </c>
      <c r="C216" s="1">
        <v>45713</v>
      </c>
      <c r="D216">
        <v>62</v>
      </c>
      <c r="E216" t="str">
        <f t="shared" si="12"/>
        <v>55+</v>
      </c>
      <c r="F216" t="s">
        <v>96</v>
      </c>
      <c r="G216" t="s">
        <v>38</v>
      </c>
      <c r="H216" t="s">
        <v>20</v>
      </c>
      <c r="I216">
        <v>5</v>
      </c>
      <c r="J216" t="s">
        <v>52</v>
      </c>
      <c r="K216">
        <v>25</v>
      </c>
      <c r="L216" t="str">
        <f t="shared" si="13"/>
        <v>2+years</v>
      </c>
      <c r="M216" t="s">
        <v>68</v>
      </c>
      <c r="N216">
        <v>14500</v>
      </c>
      <c r="O216">
        <v>11</v>
      </c>
      <c r="P216">
        <v>159500</v>
      </c>
      <c r="Q216">
        <f t="shared" si="14"/>
        <v>14500</v>
      </c>
      <c r="R216" s="13">
        <v>74.95</v>
      </c>
      <c r="S216" t="s">
        <v>23</v>
      </c>
      <c r="T216">
        <f t="shared" si="15"/>
        <v>1</v>
      </c>
      <c r="U216">
        <v>0</v>
      </c>
      <c r="V216">
        <v>0</v>
      </c>
      <c r="W216">
        <v>0</v>
      </c>
    </row>
    <row r="217" spans="1:23" x14ac:dyDescent="0.35">
      <c r="A217" s="7" t="s">
        <v>306</v>
      </c>
      <c r="B217" t="s">
        <v>307</v>
      </c>
      <c r="C217" s="1">
        <v>45713</v>
      </c>
      <c r="D217">
        <v>62</v>
      </c>
      <c r="E217" t="str">
        <f t="shared" si="12"/>
        <v>55+</v>
      </c>
      <c r="F217" t="s">
        <v>96</v>
      </c>
      <c r="G217" t="s">
        <v>27</v>
      </c>
      <c r="H217" t="s">
        <v>20</v>
      </c>
      <c r="I217">
        <v>5</v>
      </c>
      <c r="J217" t="s">
        <v>52</v>
      </c>
      <c r="K217">
        <v>25</v>
      </c>
      <c r="L217" t="str">
        <f t="shared" si="13"/>
        <v>2+years</v>
      </c>
      <c r="M217" t="s">
        <v>187</v>
      </c>
      <c r="N217">
        <v>6500</v>
      </c>
      <c r="O217">
        <v>5</v>
      </c>
      <c r="P217">
        <v>32500</v>
      </c>
      <c r="Q217">
        <f t="shared" si="14"/>
        <v>6500</v>
      </c>
      <c r="R217" s="13">
        <v>187.82</v>
      </c>
      <c r="S217" t="s">
        <v>23</v>
      </c>
      <c r="T217">
        <f t="shared" si="15"/>
        <v>1</v>
      </c>
      <c r="U217">
        <v>0</v>
      </c>
      <c r="V217">
        <v>0</v>
      </c>
      <c r="W217">
        <v>0</v>
      </c>
    </row>
    <row r="218" spans="1:23" x14ac:dyDescent="0.35">
      <c r="A218" s="7" t="s">
        <v>306</v>
      </c>
      <c r="B218" t="s">
        <v>307</v>
      </c>
      <c r="C218" s="1">
        <v>45713</v>
      </c>
      <c r="D218">
        <v>62</v>
      </c>
      <c r="E218" t="str">
        <f t="shared" si="12"/>
        <v>55+</v>
      </c>
      <c r="F218" t="s">
        <v>96</v>
      </c>
      <c r="G218" t="s">
        <v>33</v>
      </c>
      <c r="H218" t="s">
        <v>20</v>
      </c>
      <c r="I218">
        <v>5</v>
      </c>
      <c r="J218" t="s">
        <v>52</v>
      </c>
      <c r="K218">
        <v>25</v>
      </c>
      <c r="L218" t="str">
        <f t="shared" si="13"/>
        <v>2+years</v>
      </c>
      <c r="M218" t="s">
        <v>68</v>
      </c>
      <c r="N218">
        <v>14500</v>
      </c>
      <c r="O218">
        <v>13</v>
      </c>
      <c r="P218">
        <v>188500</v>
      </c>
      <c r="Q218">
        <f t="shared" si="14"/>
        <v>14500</v>
      </c>
      <c r="R218" s="13">
        <v>120.69</v>
      </c>
      <c r="S218" t="s">
        <v>23</v>
      </c>
      <c r="T218">
        <f t="shared" si="15"/>
        <v>1</v>
      </c>
      <c r="U218">
        <v>0</v>
      </c>
      <c r="V218">
        <v>0</v>
      </c>
      <c r="W218">
        <v>0</v>
      </c>
    </row>
    <row r="219" spans="1:23" x14ac:dyDescent="0.35">
      <c r="A219" s="7" t="s">
        <v>308</v>
      </c>
      <c r="B219" t="s">
        <v>309</v>
      </c>
      <c r="C219" s="1">
        <v>45741</v>
      </c>
      <c r="D219">
        <v>21</v>
      </c>
      <c r="E219" t="str">
        <f t="shared" si="12"/>
        <v>Under25</v>
      </c>
      <c r="F219" t="s">
        <v>123</v>
      </c>
      <c r="G219" t="s">
        <v>19</v>
      </c>
      <c r="H219" t="s">
        <v>20</v>
      </c>
      <c r="I219">
        <v>4</v>
      </c>
      <c r="J219" t="s">
        <v>109</v>
      </c>
      <c r="K219">
        <v>9</v>
      </c>
      <c r="L219" t="str">
        <f t="shared" si="13"/>
        <v>6-12 months</v>
      </c>
      <c r="M219" t="s">
        <v>48</v>
      </c>
      <c r="N219">
        <v>9000</v>
      </c>
      <c r="O219">
        <v>11</v>
      </c>
      <c r="P219">
        <v>99000</v>
      </c>
      <c r="Q219">
        <f t="shared" si="14"/>
        <v>9000</v>
      </c>
      <c r="R219" s="13">
        <v>186.31</v>
      </c>
      <c r="S219" t="s">
        <v>36</v>
      </c>
      <c r="T219">
        <f t="shared" si="15"/>
        <v>0</v>
      </c>
      <c r="U219">
        <v>0</v>
      </c>
      <c r="V219">
        <v>0</v>
      </c>
      <c r="W219">
        <v>0</v>
      </c>
    </row>
    <row r="220" spans="1:23" x14ac:dyDescent="0.35">
      <c r="A220" s="7" t="s">
        <v>310</v>
      </c>
      <c r="B220" t="s">
        <v>311</v>
      </c>
      <c r="C220" s="1">
        <v>45713</v>
      </c>
      <c r="D220">
        <v>66</v>
      </c>
      <c r="E220" t="str">
        <f t="shared" si="12"/>
        <v>55+</v>
      </c>
      <c r="F220" t="s">
        <v>144</v>
      </c>
      <c r="G220" t="s">
        <v>33</v>
      </c>
      <c r="H220" t="s">
        <v>28</v>
      </c>
      <c r="I220">
        <v>5</v>
      </c>
      <c r="J220" t="s">
        <v>52</v>
      </c>
      <c r="K220">
        <v>33</v>
      </c>
      <c r="L220" t="str">
        <f t="shared" si="13"/>
        <v>2+years</v>
      </c>
      <c r="M220" t="s">
        <v>110</v>
      </c>
      <c r="N220">
        <v>25000</v>
      </c>
      <c r="O220">
        <v>14</v>
      </c>
      <c r="P220">
        <v>350000</v>
      </c>
      <c r="Q220">
        <f t="shared" si="14"/>
        <v>25000</v>
      </c>
      <c r="R220" s="13">
        <v>134.91999999999999</v>
      </c>
      <c r="S220" t="s">
        <v>23</v>
      </c>
      <c r="T220">
        <f t="shared" si="15"/>
        <v>1</v>
      </c>
      <c r="U220">
        <v>0</v>
      </c>
      <c r="V220">
        <v>0</v>
      </c>
      <c r="W220">
        <v>0</v>
      </c>
    </row>
    <row r="221" spans="1:23" x14ac:dyDescent="0.35">
      <c r="A221" s="7" t="s">
        <v>312</v>
      </c>
      <c r="B221" t="s">
        <v>313</v>
      </c>
      <c r="C221" s="1">
        <v>45713</v>
      </c>
      <c r="D221">
        <v>19</v>
      </c>
      <c r="E221" t="str">
        <f t="shared" si="12"/>
        <v>Under25</v>
      </c>
      <c r="F221" t="s">
        <v>207</v>
      </c>
      <c r="G221" t="s">
        <v>27</v>
      </c>
      <c r="H221" t="s">
        <v>28</v>
      </c>
      <c r="I221">
        <v>1</v>
      </c>
      <c r="J221" t="s">
        <v>34</v>
      </c>
      <c r="K221">
        <v>42</v>
      </c>
      <c r="L221" t="str">
        <f t="shared" si="13"/>
        <v>2+years</v>
      </c>
      <c r="M221" t="s">
        <v>159</v>
      </c>
      <c r="N221">
        <v>600</v>
      </c>
      <c r="O221">
        <v>8</v>
      </c>
      <c r="P221">
        <v>4800</v>
      </c>
      <c r="Q221">
        <f t="shared" si="14"/>
        <v>600</v>
      </c>
      <c r="R221" s="13">
        <v>164.42</v>
      </c>
      <c r="S221" t="s">
        <v>36</v>
      </c>
      <c r="T221">
        <f t="shared" si="15"/>
        <v>0</v>
      </c>
      <c r="U221">
        <v>0</v>
      </c>
      <c r="V221">
        <v>0</v>
      </c>
      <c r="W221">
        <v>0</v>
      </c>
    </row>
    <row r="222" spans="1:23" x14ac:dyDescent="0.35">
      <c r="A222" s="7" t="s">
        <v>314</v>
      </c>
      <c r="B222" t="s">
        <v>315</v>
      </c>
      <c r="C222" s="1">
        <v>45741</v>
      </c>
      <c r="D222">
        <v>30</v>
      </c>
      <c r="E222" t="str">
        <f t="shared" si="12"/>
        <v>25-34</v>
      </c>
      <c r="F222" t="s">
        <v>116</v>
      </c>
      <c r="G222" t="s">
        <v>27</v>
      </c>
      <c r="H222" t="s">
        <v>20</v>
      </c>
      <c r="I222">
        <v>4</v>
      </c>
      <c r="J222" t="s">
        <v>109</v>
      </c>
      <c r="K222">
        <v>29</v>
      </c>
      <c r="L222" t="str">
        <f t="shared" si="13"/>
        <v>2+years</v>
      </c>
      <c r="M222" t="s">
        <v>187</v>
      </c>
      <c r="N222">
        <v>6500</v>
      </c>
      <c r="O222">
        <v>16</v>
      </c>
      <c r="P222">
        <v>104000</v>
      </c>
      <c r="Q222">
        <f t="shared" si="14"/>
        <v>6500</v>
      </c>
      <c r="R222" s="13">
        <v>155.11000000000001</v>
      </c>
      <c r="S222" t="s">
        <v>23</v>
      </c>
      <c r="T222">
        <f t="shared" si="15"/>
        <v>1</v>
      </c>
      <c r="U222">
        <v>0</v>
      </c>
      <c r="V222">
        <v>0</v>
      </c>
      <c r="W222">
        <v>0</v>
      </c>
    </row>
    <row r="223" spans="1:23" x14ac:dyDescent="0.35">
      <c r="A223" s="7" t="s">
        <v>316</v>
      </c>
      <c r="B223" t="s">
        <v>317</v>
      </c>
      <c r="C223" s="1">
        <v>45741</v>
      </c>
      <c r="D223">
        <v>33</v>
      </c>
      <c r="E223" t="str">
        <f t="shared" si="12"/>
        <v>25-34</v>
      </c>
      <c r="F223" t="s">
        <v>72</v>
      </c>
      <c r="G223" t="s">
        <v>19</v>
      </c>
      <c r="H223" t="s">
        <v>20</v>
      </c>
      <c r="I223">
        <v>4</v>
      </c>
      <c r="J223" t="s">
        <v>109</v>
      </c>
      <c r="K223">
        <v>36</v>
      </c>
      <c r="L223" t="str">
        <f t="shared" si="13"/>
        <v>2+years</v>
      </c>
      <c r="M223" t="s">
        <v>48</v>
      </c>
      <c r="N223">
        <v>9000</v>
      </c>
      <c r="O223">
        <v>9</v>
      </c>
      <c r="P223">
        <v>81000</v>
      </c>
      <c r="Q223">
        <f t="shared" si="14"/>
        <v>9000</v>
      </c>
      <c r="R223" s="13">
        <v>109.48</v>
      </c>
      <c r="S223" t="s">
        <v>36</v>
      </c>
      <c r="T223">
        <f t="shared" si="15"/>
        <v>0</v>
      </c>
      <c r="U223">
        <v>0</v>
      </c>
      <c r="V223">
        <v>0</v>
      </c>
      <c r="W223">
        <v>0</v>
      </c>
    </row>
    <row r="224" spans="1:23" x14ac:dyDescent="0.35">
      <c r="A224" s="7" t="s">
        <v>316</v>
      </c>
      <c r="B224" t="s">
        <v>317</v>
      </c>
      <c r="C224" s="1">
        <v>45741</v>
      </c>
      <c r="D224">
        <v>33</v>
      </c>
      <c r="E224" t="str">
        <f t="shared" si="12"/>
        <v>25-34</v>
      </c>
      <c r="F224" t="s">
        <v>72</v>
      </c>
      <c r="G224" t="s">
        <v>27</v>
      </c>
      <c r="H224" t="s">
        <v>20</v>
      </c>
      <c r="I224">
        <v>4</v>
      </c>
      <c r="J224" t="s">
        <v>109</v>
      </c>
      <c r="K224">
        <v>36</v>
      </c>
      <c r="L224" t="str">
        <f t="shared" si="13"/>
        <v>2+years</v>
      </c>
      <c r="M224" t="s">
        <v>29</v>
      </c>
      <c r="N224">
        <v>5500</v>
      </c>
      <c r="O224">
        <v>8</v>
      </c>
      <c r="P224">
        <v>44000</v>
      </c>
      <c r="Q224">
        <f t="shared" si="14"/>
        <v>5500</v>
      </c>
      <c r="R224" s="13">
        <v>38.86</v>
      </c>
      <c r="S224" t="s">
        <v>36</v>
      </c>
      <c r="T224">
        <f t="shared" si="15"/>
        <v>0</v>
      </c>
      <c r="U224">
        <v>0</v>
      </c>
      <c r="V224">
        <v>0</v>
      </c>
      <c r="W224">
        <v>0</v>
      </c>
    </row>
    <row r="225" spans="1:23" x14ac:dyDescent="0.35">
      <c r="A225" s="7" t="s">
        <v>318</v>
      </c>
      <c r="B225" t="s">
        <v>319</v>
      </c>
      <c r="C225" s="1">
        <v>45741</v>
      </c>
      <c r="D225">
        <v>54</v>
      </c>
      <c r="E225" t="str">
        <f t="shared" si="12"/>
        <v>45-54</v>
      </c>
      <c r="F225" t="s">
        <v>108</v>
      </c>
      <c r="G225" t="s">
        <v>33</v>
      </c>
      <c r="H225" t="s">
        <v>28</v>
      </c>
      <c r="I225">
        <v>2</v>
      </c>
      <c r="J225" t="s">
        <v>21</v>
      </c>
      <c r="K225">
        <v>50</v>
      </c>
      <c r="L225" t="str">
        <f t="shared" si="13"/>
        <v>2+years</v>
      </c>
      <c r="M225" t="s">
        <v>110</v>
      </c>
      <c r="N225">
        <v>25000</v>
      </c>
      <c r="O225">
        <v>9</v>
      </c>
      <c r="P225">
        <v>225000</v>
      </c>
      <c r="Q225">
        <f t="shared" si="14"/>
        <v>25000</v>
      </c>
      <c r="R225" s="13">
        <v>112.32</v>
      </c>
      <c r="S225" t="s">
        <v>36</v>
      </c>
      <c r="T225">
        <f t="shared" si="15"/>
        <v>0</v>
      </c>
      <c r="U225">
        <v>0</v>
      </c>
      <c r="V225">
        <v>0</v>
      </c>
      <c r="W225">
        <v>0</v>
      </c>
    </row>
    <row r="226" spans="1:23" x14ac:dyDescent="0.35">
      <c r="A226" s="7" t="s">
        <v>318</v>
      </c>
      <c r="B226" t="s">
        <v>319</v>
      </c>
      <c r="C226" s="1">
        <v>45741</v>
      </c>
      <c r="D226">
        <v>54</v>
      </c>
      <c r="E226" t="str">
        <f t="shared" si="12"/>
        <v>45-54</v>
      </c>
      <c r="F226" t="s">
        <v>108</v>
      </c>
      <c r="G226" t="s">
        <v>19</v>
      </c>
      <c r="H226" t="s">
        <v>28</v>
      </c>
      <c r="I226">
        <v>2</v>
      </c>
      <c r="J226" t="s">
        <v>21</v>
      </c>
      <c r="K226">
        <v>50</v>
      </c>
      <c r="L226" t="str">
        <f t="shared" si="13"/>
        <v>2+years</v>
      </c>
      <c r="M226" t="s">
        <v>48</v>
      </c>
      <c r="N226">
        <v>9000</v>
      </c>
      <c r="O226">
        <v>18</v>
      </c>
      <c r="P226">
        <v>162000</v>
      </c>
      <c r="Q226">
        <f t="shared" si="14"/>
        <v>9000</v>
      </c>
      <c r="R226" s="13">
        <v>24.81</v>
      </c>
      <c r="S226" t="s">
        <v>36</v>
      </c>
      <c r="T226">
        <f t="shared" si="15"/>
        <v>0</v>
      </c>
      <c r="U226">
        <v>0</v>
      </c>
      <c r="V226">
        <v>0</v>
      </c>
      <c r="W226">
        <v>0</v>
      </c>
    </row>
    <row r="227" spans="1:23" x14ac:dyDescent="0.35">
      <c r="A227" s="7" t="s">
        <v>320</v>
      </c>
      <c r="B227" t="s">
        <v>321</v>
      </c>
      <c r="C227" s="1">
        <v>45682</v>
      </c>
      <c r="D227">
        <v>66</v>
      </c>
      <c r="E227" t="str">
        <f t="shared" si="12"/>
        <v>55+</v>
      </c>
      <c r="F227" t="s">
        <v>147</v>
      </c>
      <c r="G227" t="s">
        <v>33</v>
      </c>
      <c r="H227" t="s">
        <v>20</v>
      </c>
      <c r="I227">
        <v>3</v>
      </c>
      <c r="J227" t="s">
        <v>47</v>
      </c>
      <c r="K227">
        <v>19</v>
      </c>
      <c r="L227" t="str">
        <f t="shared" si="13"/>
        <v>1-2 years</v>
      </c>
      <c r="M227" t="s">
        <v>54</v>
      </c>
      <c r="N227">
        <v>150000</v>
      </c>
      <c r="O227">
        <v>16</v>
      </c>
      <c r="P227">
        <v>2400000</v>
      </c>
      <c r="Q227">
        <f t="shared" si="14"/>
        <v>150000</v>
      </c>
      <c r="R227" s="13">
        <v>131.37</v>
      </c>
      <c r="S227" t="s">
        <v>36</v>
      </c>
      <c r="T227">
        <f t="shared" si="15"/>
        <v>0</v>
      </c>
      <c r="U227">
        <v>0</v>
      </c>
      <c r="V227">
        <v>0</v>
      </c>
      <c r="W227">
        <v>0</v>
      </c>
    </row>
    <row r="228" spans="1:23" x14ac:dyDescent="0.35">
      <c r="A228" s="7" t="s">
        <v>322</v>
      </c>
      <c r="B228" t="s">
        <v>323</v>
      </c>
      <c r="C228" s="1">
        <v>45741</v>
      </c>
      <c r="D228">
        <v>41</v>
      </c>
      <c r="E228" t="str">
        <f t="shared" si="12"/>
        <v>35-44</v>
      </c>
      <c r="F228" t="s">
        <v>82</v>
      </c>
      <c r="G228" t="s">
        <v>19</v>
      </c>
      <c r="H228" t="s">
        <v>28</v>
      </c>
      <c r="I228">
        <v>2</v>
      </c>
      <c r="J228" t="s">
        <v>21</v>
      </c>
      <c r="K228">
        <v>60</v>
      </c>
      <c r="L228" t="str">
        <f t="shared" si="13"/>
        <v>2+years</v>
      </c>
      <c r="M228" t="s">
        <v>43</v>
      </c>
      <c r="N228">
        <v>4500</v>
      </c>
      <c r="O228">
        <v>2</v>
      </c>
      <c r="P228">
        <v>9000</v>
      </c>
      <c r="Q228">
        <f t="shared" si="14"/>
        <v>4500</v>
      </c>
      <c r="R228" s="13">
        <v>127.77</v>
      </c>
      <c r="S228" t="s">
        <v>23</v>
      </c>
      <c r="T228">
        <f t="shared" si="15"/>
        <v>1</v>
      </c>
      <c r="U228">
        <v>0</v>
      </c>
      <c r="V228">
        <v>0</v>
      </c>
      <c r="W228">
        <v>0</v>
      </c>
    </row>
    <row r="229" spans="1:23" x14ac:dyDescent="0.35">
      <c r="A229" s="7" t="s">
        <v>322</v>
      </c>
      <c r="B229" t="s">
        <v>323</v>
      </c>
      <c r="C229" s="1">
        <v>45741</v>
      </c>
      <c r="D229">
        <v>41</v>
      </c>
      <c r="E229" t="str">
        <f t="shared" si="12"/>
        <v>35-44</v>
      </c>
      <c r="F229" t="s">
        <v>82</v>
      </c>
      <c r="G229" t="s">
        <v>38</v>
      </c>
      <c r="H229" t="s">
        <v>28</v>
      </c>
      <c r="I229">
        <v>2</v>
      </c>
      <c r="J229" t="s">
        <v>21</v>
      </c>
      <c r="K229">
        <v>60</v>
      </c>
      <c r="L229" t="str">
        <f t="shared" si="13"/>
        <v>2+years</v>
      </c>
      <c r="M229" t="s">
        <v>39</v>
      </c>
      <c r="N229">
        <v>9000</v>
      </c>
      <c r="O229">
        <v>16</v>
      </c>
      <c r="P229">
        <v>144000</v>
      </c>
      <c r="Q229">
        <f t="shared" si="14"/>
        <v>9000</v>
      </c>
      <c r="R229" s="13">
        <v>82.95</v>
      </c>
      <c r="S229" t="s">
        <v>23</v>
      </c>
      <c r="T229">
        <f t="shared" si="15"/>
        <v>1</v>
      </c>
      <c r="U229">
        <v>0</v>
      </c>
      <c r="V229">
        <v>0</v>
      </c>
      <c r="W229">
        <v>0</v>
      </c>
    </row>
    <row r="230" spans="1:23" x14ac:dyDescent="0.35">
      <c r="A230" s="7" t="s">
        <v>322</v>
      </c>
      <c r="B230" t="s">
        <v>323</v>
      </c>
      <c r="C230" s="1">
        <v>45741</v>
      </c>
      <c r="D230">
        <v>41</v>
      </c>
      <c r="E230" t="str">
        <f t="shared" si="12"/>
        <v>35-44</v>
      </c>
      <c r="F230" t="s">
        <v>82</v>
      </c>
      <c r="G230" t="s">
        <v>33</v>
      </c>
      <c r="H230" t="s">
        <v>28</v>
      </c>
      <c r="I230">
        <v>2</v>
      </c>
      <c r="J230" t="s">
        <v>21</v>
      </c>
      <c r="K230">
        <v>60</v>
      </c>
      <c r="L230" t="str">
        <f t="shared" si="13"/>
        <v>2+years</v>
      </c>
      <c r="M230" t="s">
        <v>35</v>
      </c>
      <c r="N230">
        <v>20000</v>
      </c>
      <c r="O230">
        <v>5</v>
      </c>
      <c r="P230">
        <v>100000</v>
      </c>
      <c r="Q230">
        <f t="shared" si="14"/>
        <v>20000</v>
      </c>
      <c r="R230" s="13">
        <v>136.4</v>
      </c>
      <c r="S230" t="s">
        <v>23</v>
      </c>
      <c r="T230">
        <f t="shared" si="15"/>
        <v>1</v>
      </c>
      <c r="U230">
        <v>0</v>
      </c>
      <c r="V230">
        <v>0</v>
      </c>
      <c r="W230">
        <v>0</v>
      </c>
    </row>
    <row r="231" spans="1:23" x14ac:dyDescent="0.35">
      <c r="A231" s="7" t="s">
        <v>324</v>
      </c>
      <c r="B231" t="s">
        <v>325</v>
      </c>
      <c r="C231" s="1">
        <v>45713</v>
      </c>
      <c r="D231">
        <v>36</v>
      </c>
      <c r="E231" t="str">
        <f t="shared" si="12"/>
        <v>35-44</v>
      </c>
      <c r="F231" t="s">
        <v>105</v>
      </c>
      <c r="G231" t="s">
        <v>38</v>
      </c>
      <c r="H231" t="s">
        <v>28</v>
      </c>
      <c r="I231">
        <v>3</v>
      </c>
      <c r="J231" t="s">
        <v>47</v>
      </c>
      <c r="K231">
        <v>31</v>
      </c>
      <c r="L231" t="str">
        <f t="shared" si="13"/>
        <v>2+years</v>
      </c>
      <c r="M231" t="s">
        <v>59</v>
      </c>
      <c r="N231">
        <v>24000</v>
      </c>
      <c r="O231">
        <v>2</v>
      </c>
      <c r="P231">
        <v>48000</v>
      </c>
      <c r="Q231">
        <f t="shared" si="14"/>
        <v>24000</v>
      </c>
      <c r="R231" s="13">
        <v>147.87</v>
      </c>
      <c r="S231" t="s">
        <v>36</v>
      </c>
      <c r="T231">
        <f t="shared" si="15"/>
        <v>0</v>
      </c>
      <c r="U231">
        <v>0</v>
      </c>
      <c r="V231">
        <v>0</v>
      </c>
      <c r="W231">
        <v>0</v>
      </c>
    </row>
    <row r="232" spans="1:23" x14ac:dyDescent="0.35">
      <c r="A232" s="7" t="s">
        <v>324</v>
      </c>
      <c r="B232" t="s">
        <v>325</v>
      </c>
      <c r="C232" s="1">
        <v>45713</v>
      </c>
      <c r="D232">
        <v>36</v>
      </c>
      <c r="E232" t="str">
        <f t="shared" si="12"/>
        <v>35-44</v>
      </c>
      <c r="F232" t="s">
        <v>105</v>
      </c>
      <c r="G232" t="s">
        <v>27</v>
      </c>
      <c r="H232" t="s">
        <v>28</v>
      </c>
      <c r="I232">
        <v>3</v>
      </c>
      <c r="J232" t="s">
        <v>47</v>
      </c>
      <c r="K232">
        <v>31</v>
      </c>
      <c r="L232" t="str">
        <f t="shared" si="13"/>
        <v>2+years</v>
      </c>
      <c r="M232" t="s">
        <v>159</v>
      </c>
      <c r="N232">
        <v>600</v>
      </c>
      <c r="O232">
        <v>6</v>
      </c>
      <c r="P232">
        <v>3600</v>
      </c>
      <c r="Q232">
        <f t="shared" si="14"/>
        <v>600</v>
      </c>
      <c r="R232" s="13">
        <v>83.87</v>
      </c>
      <c r="S232" t="s">
        <v>36</v>
      </c>
      <c r="T232">
        <f t="shared" si="15"/>
        <v>0</v>
      </c>
      <c r="U232">
        <v>0</v>
      </c>
      <c r="V232">
        <v>0</v>
      </c>
      <c r="W232">
        <v>0</v>
      </c>
    </row>
    <row r="233" spans="1:23" x14ac:dyDescent="0.35">
      <c r="A233" s="7" t="s">
        <v>324</v>
      </c>
      <c r="B233" t="s">
        <v>325</v>
      </c>
      <c r="C233" s="1">
        <v>45713</v>
      </c>
      <c r="D233">
        <v>36</v>
      </c>
      <c r="E233" t="str">
        <f t="shared" si="12"/>
        <v>35-44</v>
      </c>
      <c r="F233" t="s">
        <v>105</v>
      </c>
      <c r="G233" t="s">
        <v>33</v>
      </c>
      <c r="H233" t="s">
        <v>28</v>
      </c>
      <c r="I233">
        <v>3</v>
      </c>
      <c r="J233" t="s">
        <v>47</v>
      </c>
      <c r="K233">
        <v>31</v>
      </c>
      <c r="L233" t="str">
        <f t="shared" si="13"/>
        <v>2+years</v>
      </c>
      <c r="M233" t="s">
        <v>39</v>
      </c>
      <c r="N233">
        <v>9000</v>
      </c>
      <c r="O233">
        <v>13</v>
      </c>
      <c r="P233">
        <v>117000</v>
      </c>
      <c r="Q233">
        <f t="shared" si="14"/>
        <v>9000</v>
      </c>
      <c r="R233" s="13">
        <v>199.44</v>
      </c>
      <c r="S233" t="s">
        <v>36</v>
      </c>
      <c r="T233">
        <f t="shared" si="15"/>
        <v>0</v>
      </c>
      <c r="U233">
        <v>0</v>
      </c>
      <c r="V233">
        <v>0</v>
      </c>
      <c r="W233">
        <v>0</v>
      </c>
    </row>
    <row r="234" spans="1:23" x14ac:dyDescent="0.35">
      <c r="A234" s="7" t="s">
        <v>326</v>
      </c>
      <c r="B234" t="s">
        <v>327</v>
      </c>
      <c r="C234" s="1">
        <v>45741</v>
      </c>
      <c r="D234">
        <v>39</v>
      </c>
      <c r="E234" t="str">
        <f t="shared" si="12"/>
        <v>35-44</v>
      </c>
      <c r="F234" t="s">
        <v>96</v>
      </c>
      <c r="G234" t="s">
        <v>33</v>
      </c>
      <c r="H234" t="s">
        <v>20</v>
      </c>
      <c r="I234">
        <v>5</v>
      </c>
      <c r="J234" t="s">
        <v>52</v>
      </c>
      <c r="K234">
        <v>1</v>
      </c>
      <c r="L234" t="str">
        <f t="shared" si="13"/>
        <v>0-5 months</v>
      </c>
      <c r="M234" t="s">
        <v>54</v>
      </c>
      <c r="N234">
        <v>150000</v>
      </c>
      <c r="O234">
        <v>5</v>
      </c>
      <c r="P234">
        <v>750000</v>
      </c>
      <c r="Q234">
        <f t="shared" si="14"/>
        <v>150000</v>
      </c>
      <c r="R234" s="13">
        <v>177.91</v>
      </c>
      <c r="S234" t="s">
        <v>36</v>
      </c>
      <c r="T234">
        <f t="shared" si="15"/>
        <v>0</v>
      </c>
      <c r="U234">
        <v>0</v>
      </c>
      <c r="V234">
        <v>0</v>
      </c>
      <c r="W234">
        <v>0</v>
      </c>
    </row>
    <row r="235" spans="1:23" x14ac:dyDescent="0.35">
      <c r="A235" s="7" t="s">
        <v>326</v>
      </c>
      <c r="B235" t="s">
        <v>327</v>
      </c>
      <c r="C235" s="1">
        <v>45741</v>
      </c>
      <c r="D235">
        <v>39</v>
      </c>
      <c r="E235" t="str">
        <f t="shared" si="12"/>
        <v>35-44</v>
      </c>
      <c r="F235" t="s">
        <v>96</v>
      </c>
      <c r="G235" t="s">
        <v>19</v>
      </c>
      <c r="H235" t="s">
        <v>20</v>
      </c>
      <c r="I235">
        <v>5</v>
      </c>
      <c r="J235" t="s">
        <v>52</v>
      </c>
      <c r="K235">
        <v>1</v>
      </c>
      <c r="L235" t="str">
        <f t="shared" si="13"/>
        <v>0-5 months</v>
      </c>
      <c r="M235" t="s">
        <v>22</v>
      </c>
      <c r="N235">
        <v>35000</v>
      </c>
      <c r="O235">
        <v>4</v>
      </c>
      <c r="P235">
        <v>140000</v>
      </c>
      <c r="Q235">
        <f t="shared" si="14"/>
        <v>35000</v>
      </c>
      <c r="R235" s="13">
        <v>54.93</v>
      </c>
      <c r="S235" t="s">
        <v>36</v>
      </c>
      <c r="T235">
        <f t="shared" si="15"/>
        <v>0</v>
      </c>
      <c r="U235">
        <v>0</v>
      </c>
      <c r="V235">
        <v>0</v>
      </c>
      <c r="W235">
        <v>0</v>
      </c>
    </row>
    <row r="236" spans="1:23" x14ac:dyDescent="0.35">
      <c r="A236" s="7" t="s">
        <v>328</v>
      </c>
      <c r="B236" t="s">
        <v>329</v>
      </c>
      <c r="C236" s="1">
        <v>45713</v>
      </c>
      <c r="D236">
        <v>36</v>
      </c>
      <c r="E236" t="str">
        <f t="shared" si="12"/>
        <v>35-44</v>
      </c>
      <c r="F236" t="s">
        <v>32</v>
      </c>
      <c r="G236" t="s">
        <v>19</v>
      </c>
      <c r="H236" t="s">
        <v>28</v>
      </c>
      <c r="I236">
        <v>1</v>
      </c>
      <c r="J236" t="s">
        <v>34</v>
      </c>
      <c r="K236">
        <v>46</v>
      </c>
      <c r="L236" t="str">
        <f t="shared" si="13"/>
        <v>2+years</v>
      </c>
      <c r="M236" t="s">
        <v>22</v>
      </c>
      <c r="N236">
        <v>35000</v>
      </c>
      <c r="O236">
        <v>17</v>
      </c>
      <c r="P236">
        <v>595000</v>
      </c>
      <c r="Q236">
        <f t="shared" si="14"/>
        <v>35000</v>
      </c>
      <c r="R236" s="13">
        <v>165.48</v>
      </c>
      <c r="S236" t="s">
        <v>36</v>
      </c>
      <c r="T236">
        <f t="shared" si="15"/>
        <v>0</v>
      </c>
      <c r="U236">
        <v>0</v>
      </c>
      <c r="V236">
        <v>0</v>
      </c>
      <c r="W236">
        <v>0</v>
      </c>
    </row>
    <row r="237" spans="1:23" x14ac:dyDescent="0.35">
      <c r="A237" s="7" t="s">
        <v>328</v>
      </c>
      <c r="B237" t="s">
        <v>329</v>
      </c>
      <c r="C237" s="1">
        <v>45713</v>
      </c>
      <c r="D237">
        <v>36</v>
      </c>
      <c r="E237" t="str">
        <f t="shared" si="12"/>
        <v>35-44</v>
      </c>
      <c r="F237" t="s">
        <v>32</v>
      </c>
      <c r="G237" t="s">
        <v>38</v>
      </c>
      <c r="H237" t="s">
        <v>28</v>
      </c>
      <c r="I237">
        <v>1</v>
      </c>
      <c r="J237" t="s">
        <v>34</v>
      </c>
      <c r="K237">
        <v>46</v>
      </c>
      <c r="L237" t="str">
        <f t="shared" si="13"/>
        <v>2+years</v>
      </c>
      <c r="M237" t="s">
        <v>62</v>
      </c>
      <c r="N237">
        <v>30000</v>
      </c>
      <c r="O237">
        <v>4</v>
      </c>
      <c r="P237">
        <v>120000</v>
      </c>
      <c r="Q237">
        <f t="shared" si="14"/>
        <v>30000</v>
      </c>
      <c r="R237" s="13">
        <v>17.8</v>
      </c>
      <c r="S237" t="s">
        <v>36</v>
      </c>
      <c r="T237">
        <f t="shared" si="15"/>
        <v>0</v>
      </c>
      <c r="U237">
        <v>0</v>
      </c>
      <c r="V237">
        <v>0</v>
      </c>
      <c r="W237">
        <v>0</v>
      </c>
    </row>
    <row r="238" spans="1:23" x14ac:dyDescent="0.35">
      <c r="A238" s="7" t="s">
        <v>330</v>
      </c>
      <c r="B238" t="s">
        <v>331</v>
      </c>
      <c r="C238" s="1">
        <v>45713</v>
      </c>
      <c r="D238">
        <v>33</v>
      </c>
      <c r="E238" t="str">
        <f t="shared" si="12"/>
        <v>25-34</v>
      </c>
      <c r="F238" t="s">
        <v>207</v>
      </c>
      <c r="G238" t="s">
        <v>33</v>
      </c>
      <c r="H238" t="s">
        <v>28</v>
      </c>
      <c r="I238">
        <v>1</v>
      </c>
      <c r="J238" t="s">
        <v>34</v>
      </c>
      <c r="K238">
        <v>60</v>
      </c>
      <c r="L238" t="str">
        <f t="shared" si="13"/>
        <v>2+years</v>
      </c>
      <c r="M238" t="s">
        <v>59</v>
      </c>
      <c r="N238">
        <v>24000</v>
      </c>
      <c r="O238">
        <v>19</v>
      </c>
      <c r="P238">
        <v>456000</v>
      </c>
      <c r="Q238">
        <f t="shared" si="14"/>
        <v>24000</v>
      </c>
      <c r="R238" s="13">
        <v>116.7</v>
      </c>
      <c r="S238" t="s">
        <v>23</v>
      </c>
      <c r="T238">
        <f t="shared" si="15"/>
        <v>1</v>
      </c>
      <c r="U238">
        <v>0</v>
      </c>
      <c r="V238">
        <v>0</v>
      </c>
      <c r="W238">
        <v>0</v>
      </c>
    </row>
    <row r="239" spans="1:23" x14ac:dyDescent="0.35">
      <c r="A239" s="7" t="s">
        <v>330</v>
      </c>
      <c r="B239" t="s">
        <v>331</v>
      </c>
      <c r="C239" s="1">
        <v>45713</v>
      </c>
      <c r="D239">
        <v>33</v>
      </c>
      <c r="E239" t="str">
        <f t="shared" si="12"/>
        <v>25-34</v>
      </c>
      <c r="F239" t="s">
        <v>207</v>
      </c>
      <c r="G239" t="s">
        <v>19</v>
      </c>
      <c r="H239" t="s">
        <v>28</v>
      </c>
      <c r="I239">
        <v>1</v>
      </c>
      <c r="J239" t="s">
        <v>34</v>
      </c>
      <c r="K239">
        <v>60</v>
      </c>
      <c r="L239" t="str">
        <f t="shared" si="13"/>
        <v>2+years</v>
      </c>
      <c r="M239" t="s">
        <v>55</v>
      </c>
      <c r="N239">
        <v>16000</v>
      </c>
      <c r="O239">
        <v>12</v>
      </c>
      <c r="P239">
        <v>192000</v>
      </c>
      <c r="Q239">
        <f t="shared" si="14"/>
        <v>16000</v>
      </c>
      <c r="R239" s="13">
        <v>52.68</v>
      </c>
      <c r="S239" t="s">
        <v>23</v>
      </c>
      <c r="T239">
        <f t="shared" si="15"/>
        <v>1</v>
      </c>
      <c r="U239">
        <v>0</v>
      </c>
      <c r="V239">
        <v>0</v>
      </c>
      <c r="W239">
        <v>0</v>
      </c>
    </row>
    <row r="240" spans="1:23" x14ac:dyDescent="0.35">
      <c r="A240" s="7" t="s">
        <v>332</v>
      </c>
      <c r="B240" t="s">
        <v>333</v>
      </c>
      <c r="C240" s="1">
        <v>45713</v>
      </c>
      <c r="D240">
        <v>23</v>
      </c>
      <c r="E240" t="str">
        <f t="shared" si="12"/>
        <v>Under25</v>
      </c>
      <c r="F240" t="s">
        <v>170</v>
      </c>
      <c r="G240" t="s">
        <v>33</v>
      </c>
      <c r="H240" t="s">
        <v>28</v>
      </c>
      <c r="I240">
        <v>4</v>
      </c>
      <c r="J240" t="s">
        <v>109</v>
      </c>
      <c r="K240">
        <v>20</v>
      </c>
      <c r="L240" t="str">
        <f t="shared" si="13"/>
        <v>1-2 years</v>
      </c>
      <c r="M240" t="s">
        <v>59</v>
      </c>
      <c r="N240">
        <v>24000</v>
      </c>
      <c r="O240">
        <v>8</v>
      </c>
      <c r="P240">
        <v>192000</v>
      </c>
      <c r="Q240">
        <f t="shared" si="14"/>
        <v>24000</v>
      </c>
      <c r="R240" s="13">
        <v>73.83</v>
      </c>
      <c r="S240" t="s">
        <v>36</v>
      </c>
      <c r="T240">
        <f t="shared" si="15"/>
        <v>0</v>
      </c>
      <c r="U240">
        <v>0</v>
      </c>
      <c r="V240">
        <v>0</v>
      </c>
      <c r="W240">
        <v>0</v>
      </c>
    </row>
    <row r="241" spans="1:23" x14ac:dyDescent="0.35">
      <c r="A241" s="7" t="s">
        <v>332</v>
      </c>
      <c r="B241" t="s">
        <v>333</v>
      </c>
      <c r="C241" s="1">
        <v>45713</v>
      </c>
      <c r="D241">
        <v>23</v>
      </c>
      <c r="E241" t="str">
        <f t="shared" si="12"/>
        <v>Under25</v>
      </c>
      <c r="F241" t="s">
        <v>170</v>
      </c>
      <c r="G241" t="s">
        <v>27</v>
      </c>
      <c r="H241" t="s">
        <v>28</v>
      </c>
      <c r="I241">
        <v>4</v>
      </c>
      <c r="J241" t="s">
        <v>109</v>
      </c>
      <c r="K241">
        <v>20</v>
      </c>
      <c r="L241" t="str">
        <f t="shared" si="13"/>
        <v>1-2 years</v>
      </c>
      <c r="M241" t="s">
        <v>69</v>
      </c>
      <c r="N241">
        <v>350</v>
      </c>
      <c r="O241">
        <v>16</v>
      </c>
      <c r="P241">
        <v>5600</v>
      </c>
      <c r="Q241">
        <f t="shared" si="14"/>
        <v>350</v>
      </c>
      <c r="R241" s="13">
        <v>191.49</v>
      </c>
      <c r="S241" t="s">
        <v>36</v>
      </c>
      <c r="T241">
        <f t="shared" si="15"/>
        <v>0</v>
      </c>
      <c r="U241">
        <v>0</v>
      </c>
      <c r="V241">
        <v>0</v>
      </c>
      <c r="W241">
        <v>0</v>
      </c>
    </row>
    <row r="242" spans="1:23" x14ac:dyDescent="0.35">
      <c r="A242" s="7" t="s">
        <v>332</v>
      </c>
      <c r="B242" t="s">
        <v>333</v>
      </c>
      <c r="C242" s="1">
        <v>45713</v>
      </c>
      <c r="D242">
        <v>23</v>
      </c>
      <c r="E242" t="str">
        <f t="shared" si="12"/>
        <v>Under25</v>
      </c>
      <c r="F242" t="s">
        <v>170</v>
      </c>
      <c r="G242" t="s">
        <v>38</v>
      </c>
      <c r="H242" t="s">
        <v>28</v>
      </c>
      <c r="I242">
        <v>4</v>
      </c>
      <c r="J242" t="s">
        <v>109</v>
      </c>
      <c r="K242">
        <v>20</v>
      </c>
      <c r="L242" t="str">
        <f t="shared" si="13"/>
        <v>1-2 years</v>
      </c>
      <c r="M242" t="s">
        <v>35</v>
      </c>
      <c r="N242">
        <v>20000</v>
      </c>
      <c r="O242">
        <v>20</v>
      </c>
      <c r="P242">
        <v>400000</v>
      </c>
      <c r="Q242">
        <f t="shared" si="14"/>
        <v>20000</v>
      </c>
      <c r="R242" s="13">
        <v>91.27</v>
      </c>
      <c r="S242" t="s">
        <v>36</v>
      </c>
      <c r="T242">
        <f t="shared" si="15"/>
        <v>0</v>
      </c>
      <c r="U242">
        <v>0</v>
      </c>
      <c r="V242">
        <v>0</v>
      </c>
      <c r="W242">
        <v>0</v>
      </c>
    </row>
    <row r="243" spans="1:23" x14ac:dyDescent="0.35">
      <c r="A243" s="7" t="s">
        <v>334</v>
      </c>
      <c r="B243" t="s">
        <v>335</v>
      </c>
      <c r="C243" s="1">
        <v>45713</v>
      </c>
      <c r="D243">
        <v>69</v>
      </c>
      <c r="E243" t="str">
        <f t="shared" si="12"/>
        <v>55+</v>
      </c>
      <c r="F243" t="s">
        <v>207</v>
      </c>
      <c r="G243" t="s">
        <v>27</v>
      </c>
      <c r="H243" t="s">
        <v>20</v>
      </c>
      <c r="I243">
        <v>5</v>
      </c>
      <c r="J243" t="s">
        <v>52</v>
      </c>
      <c r="K243">
        <v>49</v>
      </c>
      <c r="L243" t="str">
        <f t="shared" si="13"/>
        <v>2+years</v>
      </c>
      <c r="M243" t="s">
        <v>187</v>
      </c>
      <c r="N243">
        <v>6500</v>
      </c>
      <c r="O243">
        <v>3</v>
      </c>
      <c r="P243">
        <v>19500</v>
      </c>
      <c r="Q243">
        <f t="shared" si="14"/>
        <v>6500</v>
      </c>
      <c r="R243" s="13">
        <v>140.9</v>
      </c>
      <c r="S243" t="s">
        <v>36</v>
      </c>
      <c r="T243">
        <f t="shared" si="15"/>
        <v>0</v>
      </c>
      <c r="U243">
        <v>0</v>
      </c>
      <c r="V243">
        <v>0</v>
      </c>
      <c r="W243">
        <v>0</v>
      </c>
    </row>
    <row r="244" spans="1:23" x14ac:dyDescent="0.35">
      <c r="A244" s="7" t="s">
        <v>336</v>
      </c>
      <c r="B244" t="s">
        <v>337</v>
      </c>
      <c r="C244" s="1">
        <v>45713</v>
      </c>
      <c r="D244">
        <v>23</v>
      </c>
      <c r="E244" t="str">
        <f t="shared" si="12"/>
        <v>Under25</v>
      </c>
      <c r="F244" t="s">
        <v>183</v>
      </c>
      <c r="G244" t="s">
        <v>27</v>
      </c>
      <c r="H244" t="s">
        <v>20</v>
      </c>
      <c r="I244">
        <v>2</v>
      </c>
      <c r="J244" t="s">
        <v>21</v>
      </c>
      <c r="K244">
        <v>37</v>
      </c>
      <c r="L244" t="str">
        <f t="shared" si="13"/>
        <v>2+years</v>
      </c>
      <c r="M244" t="s">
        <v>29</v>
      </c>
      <c r="N244">
        <v>5500</v>
      </c>
      <c r="O244">
        <v>17</v>
      </c>
      <c r="P244">
        <v>93500</v>
      </c>
      <c r="Q244">
        <f t="shared" si="14"/>
        <v>5500</v>
      </c>
      <c r="R244" s="13">
        <v>18.64</v>
      </c>
      <c r="S244" t="s">
        <v>36</v>
      </c>
      <c r="T244">
        <f t="shared" si="15"/>
        <v>0</v>
      </c>
      <c r="U244">
        <v>0</v>
      </c>
      <c r="V244">
        <v>0</v>
      </c>
      <c r="W244">
        <v>0</v>
      </c>
    </row>
    <row r="245" spans="1:23" x14ac:dyDescent="0.35">
      <c r="A245" s="7" t="s">
        <v>336</v>
      </c>
      <c r="B245" t="s">
        <v>337</v>
      </c>
      <c r="C245" s="1">
        <v>45713</v>
      </c>
      <c r="D245">
        <v>23</v>
      </c>
      <c r="E245" t="str">
        <f t="shared" si="12"/>
        <v>Under25</v>
      </c>
      <c r="F245" t="s">
        <v>183</v>
      </c>
      <c r="G245" t="s">
        <v>38</v>
      </c>
      <c r="H245" t="s">
        <v>20</v>
      </c>
      <c r="I245">
        <v>2</v>
      </c>
      <c r="J245" t="s">
        <v>21</v>
      </c>
      <c r="K245">
        <v>37</v>
      </c>
      <c r="L245" t="str">
        <f t="shared" si="13"/>
        <v>2+years</v>
      </c>
      <c r="M245" t="s">
        <v>68</v>
      </c>
      <c r="N245">
        <v>14500</v>
      </c>
      <c r="O245">
        <v>15</v>
      </c>
      <c r="P245">
        <v>217500</v>
      </c>
      <c r="Q245">
        <f t="shared" si="14"/>
        <v>14500</v>
      </c>
      <c r="R245" s="13">
        <v>161.83000000000001</v>
      </c>
      <c r="S245" t="s">
        <v>36</v>
      </c>
      <c r="T245">
        <f t="shared" si="15"/>
        <v>0</v>
      </c>
      <c r="U245">
        <v>0</v>
      </c>
      <c r="V245">
        <v>0</v>
      </c>
      <c r="W245">
        <v>0</v>
      </c>
    </row>
    <row r="246" spans="1:23" x14ac:dyDescent="0.35">
      <c r="A246" s="7" t="s">
        <v>336</v>
      </c>
      <c r="B246" t="s">
        <v>337</v>
      </c>
      <c r="C246" s="1">
        <v>45713</v>
      </c>
      <c r="D246">
        <v>23</v>
      </c>
      <c r="E246" t="str">
        <f t="shared" si="12"/>
        <v>Under25</v>
      </c>
      <c r="F246" t="s">
        <v>183</v>
      </c>
      <c r="G246" t="s">
        <v>33</v>
      </c>
      <c r="H246" t="s">
        <v>20</v>
      </c>
      <c r="I246">
        <v>2</v>
      </c>
      <c r="J246" t="s">
        <v>21</v>
      </c>
      <c r="K246">
        <v>37</v>
      </c>
      <c r="L246" t="str">
        <f t="shared" si="13"/>
        <v>2+years</v>
      </c>
      <c r="M246" t="s">
        <v>62</v>
      </c>
      <c r="N246">
        <v>30000</v>
      </c>
      <c r="O246">
        <v>15</v>
      </c>
      <c r="P246">
        <v>450000</v>
      </c>
      <c r="Q246">
        <f t="shared" si="14"/>
        <v>30000</v>
      </c>
      <c r="R246" s="13">
        <v>102.89</v>
      </c>
      <c r="S246" t="s">
        <v>36</v>
      </c>
      <c r="T246">
        <f t="shared" si="15"/>
        <v>0</v>
      </c>
      <c r="U246">
        <v>0</v>
      </c>
      <c r="V246">
        <v>0</v>
      </c>
      <c r="W246">
        <v>0</v>
      </c>
    </row>
    <row r="247" spans="1:23" x14ac:dyDescent="0.35">
      <c r="A247" s="7" t="s">
        <v>338</v>
      </c>
      <c r="B247" t="s">
        <v>339</v>
      </c>
      <c r="C247" s="1">
        <v>45741</v>
      </c>
      <c r="D247">
        <v>75</v>
      </c>
      <c r="E247" t="str">
        <f t="shared" si="12"/>
        <v>55+</v>
      </c>
      <c r="F247" t="s">
        <v>144</v>
      </c>
      <c r="G247" t="s">
        <v>38</v>
      </c>
      <c r="H247" t="s">
        <v>20</v>
      </c>
      <c r="I247">
        <v>1</v>
      </c>
      <c r="J247" t="s">
        <v>34</v>
      </c>
      <c r="K247">
        <v>26</v>
      </c>
      <c r="L247" t="str">
        <f t="shared" si="13"/>
        <v>2+years</v>
      </c>
      <c r="M247" t="s">
        <v>62</v>
      </c>
      <c r="N247">
        <v>30000</v>
      </c>
      <c r="O247">
        <v>18</v>
      </c>
      <c r="P247">
        <v>540000</v>
      </c>
      <c r="Q247">
        <f t="shared" si="14"/>
        <v>30000</v>
      </c>
      <c r="R247" s="13">
        <v>140.22999999999999</v>
      </c>
      <c r="S247" t="s">
        <v>36</v>
      </c>
      <c r="T247">
        <f t="shared" si="15"/>
        <v>0</v>
      </c>
      <c r="U247">
        <v>0</v>
      </c>
      <c r="V247">
        <v>0</v>
      </c>
      <c r="W247">
        <v>0</v>
      </c>
    </row>
    <row r="248" spans="1:23" x14ac:dyDescent="0.35">
      <c r="A248" s="7" t="s">
        <v>338</v>
      </c>
      <c r="B248" t="s">
        <v>339</v>
      </c>
      <c r="C248" s="1">
        <v>45741</v>
      </c>
      <c r="D248">
        <v>75</v>
      </c>
      <c r="E248" t="str">
        <f t="shared" si="12"/>
        <v>55+</v>
      </c>
      <c r="F248" t="s">
        <v>144</v>
      </c>
      <c r="G248" t="s">
        <v>27</v>
      </c>
      <c r="H248" t="s">
        <v>20</v>
      </c>
      <c r="I248">
        <v>1</v>
      </c>
      <c r="J248" t="s">
        <v>34</v>
      </c>
      <c r="K248">
        <v>26</v>
      </c>
      <c r="L248" t="str">
        <f t="shared" si="13"/>
        <v>2+years</v>
      </c>
      <c r="M248" t="s">
        <v>97</v>
      </c>
      <c r="N248">
        <v>900</v>
      </c>
      <c r="O248">
        <v>3</v>
      </c>
      <c r="P248">
        <v>2700</v>
      </c>
      <c r="Q248">
        <f t="shared" si="14"/>
        <v>900</v>
      </c>
      <c r="R248" s="13">
        <v>186.95</v>
      </c>
      <c r="S248" t="s">
        <v>36</v>
      </c>
      <c r="T248">
        <f t="shared" si="15"/>
        <v>0</v>
      </c>
      <c r="U248">
        <v>0</v>
      </c>
      <c r="V248">
        <v>0</v>
      </c>
      <c r="W248">
        <v>0</v>
      </c>
    </row>
    <row r="249" spans="1:23" x14ac:dyDescent="0.35">
      <c r="A249" s="7" t="s">
        <v>338</v>
      </c>
      <c r="B249" t="s">
        <v>339</v>
      </c>
      <c r="C249" s="1">
        <v>45741</v>
      </c>
      <c r="D249">
        <v>75</v>
      </c>
      <c r="E249" t="str">
        <f t="shared" si="12"/>
        <v>55+</v>
      </c>
      <c r="F249" t="s">
        <v>144</v>
      </c>
      <c r="G249" t="s">
        <v>27</v>
      </c>
      <c r="H249" t="s">
        <v>20</v>
      </c>
      <c r="I249">
        <v>1</v>
      </c>
      <c r="J249" t="s">
        <v>34</v>
      </c>
      <c r="K249">
        <v>26</v>
      </c>
      <c r="L249" t="str">
        <f t="shared" si="13"/>
        <v>2+years</v>
      </c>
      <c r="M249" t="s">
        <v>22</v>
      </c>
      <c r="N249">
        <v>35000</v>
      </c>
      <c r="O249">
        <v>14</v>
      </c>
      <c r="P249">
        <v>490000</v>
      </c>
      <c r="Q249">
        <f t="shared" si="14"/>
        <v>35000</v>
      </c>
      <c r="R249" s="13">
        <v>6.83</v>
      </c>
      <c r="S249" t="s">
        <v>36</v>
      </c>
      <c r="T249">
        <f t="shared" si="15"/>
        <v>0</v>
      </c>
      <c r="U249">
        <v>0</v>
      </c>
      <c r="V249">
        <v>0</v>
      </c>
      <c r="W249">
        <v>0</v>
      </c>
    </row>
    <row r="250" spans="1:23" x14ac:dyDescent="0.35">
      <c r="A250" s="7" t="s">
        <v>340</v>
      </c>
      <c r="B250" t="s">
        <v>341</v>
      </c>
      <c r="C250" s="1">
        <v>45713</v>
      </c>
      <c r="D250">
        <v>33</v>
      </c>
      <c r="E250" t="str">
        <f t="shared" si="12"/>
        <v>25-34</v>
      </c>
      <c r="F250" t="s">
        <v>105</v>
      </c>
      <c r="G250" t="s">
        <v>27</v>
      </c>
      <c r="H250" t="s">
        <v>28</v>
      </c>
      <c r="I250">
        <v>4</v>
      </c>
      <c r="J250" t="s">
        <v>109</v>
      </c>
      <c r="K250">
        <v>58</v>
      </c>
      <c r="L250" t="str">
        <f t="shared" si="13"/>
        <v>2+years</v>
      </c>
      <c r="M250" t="s">
        <v>187</v>
      </c>
      <c r="N250">
        <v>6500</v>
      </c>
      <c r="O250">
        <v>12</v>
      </c>
      <c r="P250">
        <v>78000</v>
      </c>
      <c r="Q250">
        <f t="shared" si="14"/>
        <v>6500</v>
      </c>
      <c r="R250" s="13">
        <v>27.03</v>
      </c>
      <c r="S250" t="s">
        <v>36</v>
      </c>
      <c r="T250">
        <f t="shared" si="15"/>
        <v>0</v>
      </c>
      <c r="U250">
        <v>0</v>
      </c>
      <c r="V250">
        <v>0</v>
      </c>
      <c r="W250">
        <v>0</v>
      </c>
    </row>
    <row r="251" spans="1:23" x14ac:dyDescent="0.35">
      <c r="A251" s="7" t="s">
        <v>340</v>
      </c>
      <c r="B251" t="s">
        <v>341</v>
      </c>
      <c r="C251" s="1">
        <v>45713</v>
      </c>
      <c r="D251">
        <v>33</v>
      </c>
      <c r="E251" t="str">
        <f t="shared" si="12"/>
        <v>25-34</v>
      </c>
      <c r="F251" t="s">
        <v>105</v>
      </c>
      <c r="G251" t="s">
        <v>38</v>
      </c>
      <c r="H251" t="s">
        <v>28</v>
      </c>
      <c r="I251">
        <v>4</v>
      </c>
      <c r="J251" t="s">
        <v>109</v>
      </c>
      <c r="K251">
        <v>58</v>
      </c>
      <c r="L251" t="str">
        <f t="shared" si="13"/>
        <v>2+years</v>
      </c>
      <c r="M251" t="s">
        <v>39</v>
      </c>
      <c r="N251">
        <v>9000</v>
      </c>
      <c r="O251">
        <v>18</v>
      </c>
      <c r="P251">
        <v>162000</v>
      </c>
      <c r="Q251">
        <f t="shared" si="14"/>
        <v>9000</v>
      </c>
      <c r="R251" s="13">
        <v>36.11</v>
      </c>
      <c r="S251" t="s">
        <v>36</v>
      </c>
      <c r="T251">
        <f t="shared" si="15"/>
        <v>0</v>
      </c>
      <c r="U251">
        <v>0</v>
      </c>
      <c r="V251">
        <v>0</v>
      </c>
      <c r="W251">
        <v>0</v>
      </c>
    </row>
    <row r="252" spans="1:23" x14ac:dyDescent="0.35">
      <c r="A252" s="7" t="s">
        <v>342</v>
      </c>
      <c r="B252" t="s">
        <v>343</v>
      </c>
      <c r="C252" s="1">
        <v>45682</v>
      </c>
      <c r="D252">
        <v>32</v>
      </c>
      <c r="E252" t="str">
        <f t="shared" si="12"/>
        <v>25-34</v>
      </c>
      <c r="F252" t="s">
        <v>108</v>
      </c>
      <c r="G252" t="s">
        <v>27</v>
      </c>
      <c r="H252" t="s">
        <v>20</v>
      </c>
      <c r="I252">
        <v>3</v>
      </c>
      <c r="J252" t="s">
        <v>47</v>
      </c>
      <c r="K252">
        <v>49</v>
      </c>
      <c r="L252" t="str">
        <f t="shared" si="13"/>
        <v>2+years</v>
      </c>
      <c r="M252" t="s">
        <v>69</v>
      </c>
      <c r="N252">
        <v>350</v>
      </c>
      <c r="O252">
        <v>12</v>
      </c>
      <c r="P252">
        <v>4200</v>
      </c>
      <c r="Q252">
        <f t="shared" si="14"/>
        <v>350</v>
      </c>
      <c r="R252" s="13">
        <v>49.88</v>
      </c>
      <c r="S252" t="s">
        <v>36</v>
      </c>
      <c r="T252">
        <f t="shared" si="15"/>
        <v>0</v>
      </c>
      <c r="U252">
        <v>0</v>
      </c>
      <c r="V252">
        <v>0</v>
      </c>
      <c r="W252">
        <v>0</v>
      </c>
    </row>
    <row r="253" spans="1:23" x14ac:dyDescent="0.35">
      <c r="A253" s="7" t="s">
        <v>342</v>
      </c>
      <c r="B253" t="s">
        <v>343</v>
      </c>
      <c r="C253" s="1">
        <v>45682</v>
      </c>
      <c r="D253">
        <v>32</v>
      </c>
      <c r="E253" t="str">
        <f t="shared" si="12"/>
        <v>25-34</v>
      </c>
      <c r="F253" t="s">
        <v>108</v>
      </c>
      <c r="G253" t="s">
        <v>33</v>
      </c>
      <c r="H253" t="s">
        <v>20</v>
      </c>
      <c r="I253">
        <v>3</v>
      </c>
      <c r="J253" t="s">
        <v>47</v>
      </c>
      <c r="K253">
        <v>49</v>
      </c>
      <c r="L253" t="str">
        <f t="shared" si="13"/>
        <v>2+years</v>
      </c>
      <c r="M253" t="s">
        <v>62</v>
      </c>
      <c r="N253">
        <v>30000</v>
      </c>
      <c r="O253">
        <v>4</v>
      </c>
      <c r="P253">
        <v>120000</v>
      </c>
      <c r="Q253">
        <f t="shared" si="14"/>
        <v>30000</v>
      </c>
      <c r="R253" s="13">
        <v>55.49</v>
      </c>
      <c r="S253" t="s">
        <v>36</v>
      </c>
      <c r="T253">
        <f t="shared" si="15"/>
        <v>0</v>
      </c>
      <c r="U253">
        <v>0</v>
      </c>
      <c r="V253">
        <v>0</v>
      </c>
      <c r="W253">
        <v>0</v>
      </c>
    </row>
    <row r="254" spans="1:23" x14ac:dyDescent="0.35">
      <c r="A254" s="7" t="s">
        <v>342</v>
      </c>
      <c r="B254" t="s">
        <v>343</v>
      </c>
      <c r="C254" s="1">
        <v>45682</v>
      </c>
      <c r="D254">
        <v>32</v>
      </c>
      <c r="E254" t="str">
        <f t="shared" si="12"/>
        <v>25-34</v>
      </c>
      <c r="F254" t="s">
        <v>108</v>
      </c>
      <c r="G254" t="s">
        <v>19</v>
      </c>
      <c r="H254" t="s">
        <v>20</v>
      </c>
      <c r="I254">
        <v>3</v>
      </c>
      <c r="J254" t="s">
        <v>47</v>
      </c>
      <c r="K254">
        <v>49</v>
      </c>
      <c r="L254" t="str">
        <f t="shared" si="13"/>
        <v>2+years</v>
      </c>
      <c r="M254" t="s">
        <v>55</v>
      </c>
      <c r="N254">
        <v>16000</v>
      </c>
      <c r="O254">
        <v>14</v>
      </c>
      <c r="P254">
        <v>224000</v>
      </c>
      <c r="Q254">
        <f t="shared" si="14"/>
        <v>16000</v>
      </c>
      <c r="R254" s="13">
        <v>161.99</v>
      </c>
      <c r="S254" t="s">
        <v>36</v>
      </c>
      <c r="T254">
        <f t="shared" si="15"/>
        <v>0</v>
      </c>
      <c r="U254">
        <v>0</v>
      </c>
      <c r="V254">
        <v>0</v>
      </c>
      <c r="W254">
        <v>0</v>
      </c>
    </row>
    <row r="255" spans="1:23" x14ac:dyDescent="0.35">
      <c r="A255" s="7" t="s">
        <v>344</v>
      </c>
      <c r="B255" t="s">
        <v>345</v>
      </c>
      <c r="C255" s="1">
        <v>45682</v>
      </c>
      <c r="D255">
        <v>46</v>
      </c>
      <c r="E255" t="str">
        <f t="shared" si="12"/>
        <v>45-54</v>
      </c>
      <c r="F255" t="s">
        <v>75</v>
      </c>
      <c r="G255" t="s">
        <v>38</v>
      </c>
      <c r="H255" t="s">
        <v>20</v>
      </c>
      <c r="I255">
        <v>4</v>
      </c>
      <c r="J255" t="s">
        <v>109</v>
      </c>
      <c r="K255">
        <v>7</v>
      </c>
      <c r="L255" t="str">
        <f t="shared" si="13"/>
        <v>6-12 months</v>
      </c>
      <c r="M255" t="s">
        <v>68</v>
      </c>
      <c r="N255">
        <v>14500</v>
      </c>
      <c r="O255">
        <v>18</v>
      </c>
      <c r="P255">
        <v>261000</v>
      </c>
      <c r="Q255">
        <f t="shared" si="14"/>
        <v>14500</v>
      </c>
      <c r="R255" s="13">
        <v>88.07</v>
      </c>
      <c r="S255" t="s">
        <v>36</v>
      </c>
      <c r="T255">
        <f t="shared" si="15"/>
        <v>0</v>
      </c>
      <c r="U255">
        <v>0</v>
      </c>
      <c r="V255">
        <v>0</v>
      </c>
      <c r="W255">
        <v>0</v>
      </c>
    </row>
    <row r="256" spans="1:23" x14ac:dyDescent="0.35">
      <c r="A256" s="7" t="s">
        <v>344</v>
      </c>
      <c r="B256" t="s">
        <v>345</v>
      </c>
      <c r="C256" s="1">
        <v>45682</v>
      </c>
      <c r="D256">
        <v>46</v>
      </c>
      <c r="E256" t="str">
        <f t="shared" si="12"/>
        <v>45-54</v>
      </c>
      <c r="F256" t="s">
        <v>75</v>
      </c>
      <c r="G256" t="s">
        <v>27</v>
      </c>
      <c r="H256" t="s">
        <v>20</v>
      </c>
      <c r="I256">
        <v>4</v>
      </c>
      <c r="J256" t="s">
        <v>109</v>
      </c>
      <c r="K256">
        <v>7</v>
      </c>
      <c r="L256" t="str">
        <f t="shared" si="13"/>
        <v>6-12 months</v>
      </c>
      <c r="M256" t="s">
        <v>69</v>
      </c>
      <c r="N256">
        <v>350</v>
      </c>
      <c r="O256">
        <v>2</v>
      </c>
      <c r="P256">
        <v>700</v>
      </c>
      <c r="Q256">
        <f t="shared" si="14"/>
        <v>350</v>
      </c>
      <c r="R256" s="13">
        <v>151</v>
      </c>
      <c r="S256" t="s">
        <v>36</v>
      </c>
      <c r="T256">
        <f t="shared" si="15"/>
        <v>0</v>
      </c>
      <c r="U256">
        <v>0</v>
      </c>
      <c r="V256">
        <v>0</v>
      </c>
      <c r="W256">
        <v>0</v>
      </c>
    </row>
    <row r="257" spans="1:23" x14ac:dyDescent="0.35">
      <c r="A257" s="7" t="s">
        <v>344</v>
      </c>
      <c r="B257" t="s">
        <v>345</v>
      </c>
      <c r="C257" s="1">
        <v>45682</v>
      </c>
      <c r="D257">
        <v>46</v>
      </c>
      <c r="E257" t="str">
        <f t="shared" si="12"/>
        <v>45-54</v>
      </c>
      <c r="F257" t="s">
        <v>75</v>
      </c>
      <c r="G257" t="s">
        <v>33</v>
      </c>
      <c r="H257" t="s">
        <v>20</v>
      </c>
      <c r="I257">
        <v>4</v>
      </c>
      <c r="J257" t="s">
        <v>109</v>
      </c>
      <c r="K257">
        <v>7</v>
      </c>
      <c r="L257" t="str">
        <f t="shared" si="13"/>
        <v>6-12 months</v>
      </c>
      <c r="M257" t="s">
        <v>62</v>
      </c>
      <c r="N257">
        <v>30000</v>
      </c>
      <c r="O257">
        <v>10</v>
      </c>
      <c r="P257">
        <v>300000</v>
      </c>
      <c r="Q257">
        <f t="shared" si="14"/>
        <v>30000</v>
      </c>
      <c r="R257" s="13">
        <v>101.03</v>
      </c>
      <c r="S257" t="s">
        <v>36</v>
      </c>
      <c r="T257">
        <f t="shared" si="15"/>
        <v>0</v>
      </c>
      <c r="U257">
        <v>0</v>
      </c>
      <c r="V257">
        <v>0</v>
      </c>
      <c r="W257">
        <v>0</v>
      </c>
    </row>
    <row r="258" spans="1:23" x14ac:dyDescent="0.35">
      <c r="A258" s="7" t="s">
        <v>346</v>
      </c>
      <c r="B258" t="s">
        <v>347</v>
      </c>
      <c r="C258" s="1">
        <v>45713</v>
      </c>
      <c r="D258">
        <v>56</v>
      </c>
      <c r="E258" t="str">
        <f t="shared" si="12"/>
        <v>55+</v>
      </c>
      <c r="F258" t="s">
        <v>252</v>
      </c>
      <c r="G258" t="s">
        <v>38</v>
      </c>
      <c r="H258" t="s">
        <v>20</v>
      </c>
      <c r="I258">
        <v>5</v>
      </c>
      <c r="J258" t="s">
        <v>52</v>
      </c>
      <c r="K258">
        <v>20</v>
      </c>
      <c r="L258" t="str">
        <f t="shared" si="13"/>
        <v>1-2 years</v>
      </c>
      <c r="M258" t="s">
        <v>59</v>
      </c>
      <c r="N258">
        <v>24000</v>
      </c>
      <c r="O258">
        <v>6</v>
      </c>
      <c r="P258">
        <v>144000</v>
      </c>
      <c r="Q258">
        <f t="shared" si="14"/>
        <v>24000</v>
      </c>
      <c r="R258" s="13">
        <v>176</v>
      </c>
      <c r="S258" t="s">
        <v>23</v>
      </c>
      <c r="T258">
        <f t="shared" si="15"/>
        <v>1</v>
      </c>
      <c r="U258">
        <v>0</v>
      </c>
      <c r="V258">
        <v>0</v>
      </c>
      <c r="W258">
        <v>0</v>
      </c>
    </row>
    <row r="259" spans="1:23" x14ac:dyDescent="0.35">
      <c r="A259" s="7" t="s">
        <v>346</v>
      </c>
      <c r="B259" t="s">
        <v>347</v>
      </c>
      <c r="C259" s="1">
        <v>45713</v>
      </c>
      <c r="D259">
        <v>56</v>
      </c>
      <c r="E259" t="str">
        <f t="shared" ref="E259:E322" si="16">IF(D259&lt;25,"Under25",IF(D259&lt;35,"25-34",IF(D259&lt;45,"35-44",IF(D259&lt;55,"45-54","55+"))) )</f>
        <v>55+</v>
      </c>
      <c r="F259" t="s">
        <v>252</v>
      </c>
      <c r="G259" t="s">
        <v>33</v>
      </c>
      <c r="H259" t="s">
        <v>20</v>
      </c>
      <c r="I259">
        <v>5</v>
      </c>
      <c r="J259" t="s">
        <v>52</v>
      </c>
      <c r="K259">
        <v>20</v>
      </c>
      <c r="L259" t="str">
        <f t="shared" ref="L259:L322" si="17">IF(K259&lt;6,"0-5 months",IF(K259&lt;13,"6-12 months",IF(K259&lt;25,"1-2 years","2+years")))</f>
        <v>1-2 years</v>
      </c>
      <c r="M259" t="s">
        <v>100</v>
      </c>
      <c r="N259">
        <v>75000</v>
      </c>
      <c r="O259">
        <v>2</v>
      </c>
      <c r="P259">
        <v>150000</v>
      </c>
      <c r="Q259">
        <f t="shared" ref="Q259:Q322" si="18">P259/O259</f>
        <v>75000</v>
      </c>
      <c r="R259" s="13">
        <v>111.39</v>
      </c>
      <c r="S259" t="s">
        <v>23</v>
      </c>
      <c r="T259">
        <f t="shared" ref="T259:T322" si="19">IF(S259="yes",1,0)</f>
        <v>1</v>
      </c>
      <c r="U259">
        <v>0</v>
      </c>
      <c r="V259">
        <v>0</v>
      </c>
      <c r="W259">
        <v>0</v>
      </c>
    </row>
    <row r="260" spans="1:23" x14ac:dyDescent="0.35">
      <c r="A260" s="7" t="s">
        <v>348</v>
      </c>
      <c r="B260" t="s">
        <v>349</v>
      </c>
      <c r="C260" s="1">
        <v>45713</v>
      </c>
      <c r="D260">
        <v>64</v>
      </c>
      <c r="E260" t="str">
        <f t="shared" si="16"/>
        <v>55+</v>
      </c>
      <c r="F260" t="s">
        <v>72</v>
      </c>
      <c r="G260" t="s">
        <v>27</v>
      </c>
      <c r="H260" t="s">
        <v>28</v>
      </c>
      <c r="I260">
        <v>4</v>
      </c>
      <c r="J260" t="s">
        <v>109</v>
      </c>
      <c r="K260">
        <v>45</v>
      </c>
      <c r="L260" t="str">
        <f t="shared" si="17"/>
        <v>2+years</v>
      </c>
      <c r="M260" t="s">
        <v>69</v>
      </c>
      <c r="N260">
        <v>350</v>
      </c>
      <c r="O260">
        <v>10</v>
      </c>
      <c r="P260">
        <v>3500</v>
      </c>
      <c r="Q260">
        <f t="shared" si="18"/>
        <v>350</v>
      </c>
      <c r="R260" s="13">
        <v>169.94</v>
      </c>
      <c r="S260" t="s">
        <v>23</v>
      </c>
      <c r="T260">
        <f t="shared" si="19"/>
        <v>1</v>
      </c>
      <c r="U260">
        <v>0</v>
      </c>
      <c r="V260">
        <v>0</v>
      </c>
      <c r="W260">
        <v>0</v>
      </c>
    </row>
    <row r="261" spans="1:23" x14ac:dyDescent="0.35">
      <c r="A261" s="7" t="s">
        <v>350</v>
      </c>
      <c r="B261" t="s">
        <v>351</v>
      </c>
      <c r="C261" s="1">
        <v>45713</v>
      </c>
      <c r="D261">
        <v>75</v>
      </c>
      <c r="E261" t="str">
        <f t="shared" si="16"/>
        <v>55+</v>
      </c>
      <c r="F261" t="s">
        <v>46</v>
      </c>
      <c r="G261" t="s">
        <v>38</v>
      </c>
      <c r="H261" t="s">
        <v>28</v>
      </c>
      <c r="I261">
        <v>4</v>
      </c>
      <c r="J261" t="s">
        <v>109</v>
      </c>
      <c r="K261">
        <v>27</v>
      </c>
      <c r="L261" t="str">
        <f t="shared" si="17"/>
        <v>2+years</v>
      </c>
      <c r="M261" t="s">
        <v>62</v>
      </c>
      <c r="N261">
        <v>30000</v>
      </c>
      <c r="O261">
        <v>7</v>
      </c>
      <c r="P261">
        <v>210000</v>
      </c>
      <c r="Q261">
        <f t="shared" si="18"/>
        <v>30000</v>
      </c>
      <c r="R261" s="13">
        <v>18.95</v>
      </c>
      <c r="S261" t="s">
        <v>23</v>
      </c>
      <c r="T261">
        <f t="shared" si="19"/>
        <v>1</v>
      </c>
      <c r="U261">
        <v>0</v>
      </c>
      <c r="V261">
        <v>0</v>
      </c>
      <c r="W261">
        <v>0</v>
      </c>
    </row>
    <row r="262" spans="1:23" x14ac:dyDescent="0.35">
      <c r="A262" s="7" t="s">
        <v>350</v>
      </c>
      <c r="B262" t="s">
        <v>351</v>
      </c>
      <c r="C262" s="1">
        <v>45713</v>
      </c>
      <c r="D262">
        <v>75</v>
      </c>
      <c r="E262" t="str">
        <f t="shared" si="16"/>
        <v>55+</v>
      </c>
      <c r="F262" t="s">
        <v>46</v>
      </c>
      <c r="G262" t="s">
        <v>19</v>
      </c>
      <c r="H262" t="s">
        <v>28</v>
      </c>
      <c r="I262">
        <v>4</v>
      </c>
      <c r="J262" t="s">
        <v>109</v>
      </c>
      <c r="K262">
        <v>27</v>
      </c>
      <c r="L262" t="str">
        <f t="shared" si="17"/>
        <v>2+years</v>
      </c>
      <c r="M262" t="s">
        <v>55</v>
      </c>
      <c r="N262">
        <v>16000</v>
      </c>
      <c r="O262">
        <v>20</v>
      </c>
      <c r="P262">
        <v>320000</v>
      </c>
      <c r="Q262">
        <f t="shared" si="18"/>
        <v>16000</v>
      </c>
      <c r="R262" s="13">
        <v>54.06</v>
      </c>
      <c r="S262" t="s">
        <v>23</v>
      </c>
      <c r="T262">
        <f t="shared" si="19"/>
        <v>1</v>
      </c>
      <c r="U262">
        <v>0</v>
      </c>
      <c r="V262">
        <v>0</v>
      </c>
      <c r="W262">
        <v>0</v>
      </c>
    </row>
    <row r="263" spans="1:23" x14ac:dyDescent="0.35">
      <c r="A263" s="7" t="s">
        <v>352</v>
      </c>
      <c r="B263" t="s">
        <v>353</v>
      </c>
      <c r="C263" s="1">
        <v>45713</v>
      </c>
      <c r="D263">
        <v>25</v>
      </c>
      <c r="E263" t="str">
        <f t="shared" si="16"/>
        <v>25-34</v>
      </c>
      <c r="F263" t="s">
        <v>116</v>
      </c>
      <c r="G263" t="s">
        <v>27</v>
      </c>
      <c r="H263" t="s">
        <v>20</v>
      </c>
      <c r="I263">
        <v>3</v>
      </c>
      <c r="J263" t="s">
        <v>47</v>
      </c>
      <c r="K263">
        <v>31</v>
      </c>
      <c r="L263" t="str">
        <f t="shared" si="17"/>
        <v>2+years</v>
      </c>
      <c r="M263" t="s">
        <v>43</v>
      </c>
      <c r="N263">
        <v>4500</v>
      </c>
      <c r="O263">
        <v>4</v>
      </c>
      <c r="P263">
        <v>18000</v>
      </c>
      <c r="Q263">
        <f t="shared" si="18"/>
        <v>4500</v>
      </c>
      <c r="R263" s="13">
        <v>192.43</v>
      </c>
      <c r="S263" t="s">
        <v>36</v>
      </c>
      <c r="T263">
        <f t="shared" si="19"/>
        <v>0</v>
      </c>
      <c r="U263">
        <v>0</v>
      </c>
      <c r="V263">
        <v>0</v>
      </c>
      <c r="W263">
        <v>0</v>
      </c>
    </row>
    <row r="264" spans="1:23" x14ac:dyDescent="0.35">
      <c r="A264" s="7" t="s">
        <v>354</v>
      </c>
      <c r="B264" t="s">
        <v>355</v>
      </c>
      <c r="C264" s="1">
        <v>45713</v>
      </c>
      <c r="D264">
        <v>47</v>
      </c>
      <c r="E264" t="str">
        <f t="shared" si="16"/>
        <v>45-54</v>
      </c>
      <c r="F264" t="s">
        <v>75</v>
      </c>
      <c r="G264" t="s">
        <v>27</v>
      </c>
      <c r="H264" t="s">
        <v>28</v>
      </c>
      <c r="I264">
        <v>5</v>
      </c>
      <c r="J264" t="s">
        <v>52</v>
      </c>
      <c r="K264">
        <v>59</v>
      </c>
      <c r="L264" t="str">
        <f t="shared" si="17"/>
        <v>2+years</v>
      </c>
      <c r="M264" t="s">
        <v>187</v>
      </c>
      <c r="N264">
        <v>6500</v>
      </c>
      <c r="O264">
        <v>10</v>
      </c>
      <c r="P264">
        <v>65000</v>
      </c>
      <c r="Q264">
        <f t="shared" si="18"/>
        <v>6500</v>
      </c>
      <c r="R264" s="13">
        <v>129.91999999999999</v>
      </c>
      <c r="S264" t="s">
        <v>36</v>
      </c>
      <c r="T264">
        <f t="shared" si="19"/>
        <v>0</v>
      </c>
      <c r="U264">
        <v>0</v>
      </c>
      <c r="V264">
        <v>0</v>
      </c>
      <c r="W264">
        <v>0</v>
      </c>
    </row>
    <row r="265" spans="1:23" x14ac:dyDescent="0.35">
      <c r="A265" s="7" t="s">
        <v>354</v>
      </c>
      <c r="B265" t="s">
        <v>355</v>
      </c>
      <c r="C265" s="1">
        <v>45713</v>
      </c>
      <c r="D265">
        <v>47</v>
      </c>
      <c r="E265" t="str">
        <f t="shared" si="16"/>
        <v>45-54</v>
      </c>
      <c r="F265" t="s">
        <v>75</v>
      </c>
      <c r="G265" t="s">
        <v>19</v>
      </c>
      <c r="H265" t="s">
        <v>28</v>
      </c>
      <c r="I265">
        <v>5</v>
      </c>
      <c r="J265" t="s">
        <v>52</v>
      </c>
      <c r="K265">
        <v>59</v>
      </c>
      <c r="L265" t="str">
        <f t="shared" si="17"/>
        <v>2+years</v>
      </c>
      <c r="M265" t="s">
        <v>48</v>
      </c>
      <c r="N265">
        <v>9000</v>
      </c>
      <c r="O265">
        <v>16</v>
      </c>
      <c r="P265">
        <v>144000</v>
      </c>
      <c r="Q265">
        <f t="shared" si="18"/>
        <v>9000</v>
      </c>
      <c r="R265" s="13">
        <v>72.25</v>
      </c>
      <c r="S265" t="s">
        <v>36</v>
      </c>
      <c r="T265">
        <f t="shared" si="19"/>
        <v>0</v>
      </c>
      <c r="U265">
        <v>0</v>
      </c>
      <c r="V265">
        <v>0</v>
      </c>
      <c r="W265">
        <v>0</v>
      </c>
    </row>
    <row r="266" spans="1:23" x14ac:dyDescent="0.35">
      <c r="A266" s="7" t="s">
        <v>356</v>
      </c>
      <c r="B266" t="s">
        <v>357</v>
      </c>
      <c r="C266" s="1">
        <v>45713</v>
      </c>
      <c r="D266">
        <v>28</v>
      </c>
      <c r="E266" t="str">
        <f t="shared" si="16"/>
        <v>25-34</v>
      </c>
      <c r="F266" t="s">
        <v>207</v>
      </c>
      <c r="G266" t="s">
        <v>19</v>
      </c>
      <c r="H266" t="s">
        <v>28</v>
      </c>
      <c r="I266">
        <v>3</v>
      </c>
      <c r="J266" t="s">
        <v>47</v>
      </c>
      <c r="K266">
        <v>59</v>
      </c>
      <c r="L266" t="str">
        <f t="shared" si="17"/>
        <v>2+years</v>
      </c>
      <c r="M266" t="s">
        <v>43</v>
      </c>
      <c r="N266">
        <v>4500</v>
      </c>
      <c r="O266">
        <v>18</v>
      </c>
      <c r="P266">
        <v>81000</v>
      </c>
      <c r="Q266">
        <f t="shared" si="18"/>
        <v>4500</v>
      </c>
      <c r="R266" s="13">
        <v>3.74</v>
      </c>
      <c r="S266" t="s">
        <v>36</v>
      </c>
      <c r="T266">
        <f t="shared" si="19"/>
        <v>0</v>
      </c>
      <c r="U266">
        <v>0</v>
      </c>
      <c r="V266">
        <v>0</v>
      </c>
      <c r="W266">
        <v>0</v>
      </c>
    </row>
    <row r="267" spans="1:23" x14ac:dyDescent="0.35">
      <c r="A267" s="7" t="s">
        <v>358</v>
      </c>
      <c r="B267" t="s">
        <v>359</v>
      </c>
      <c r="C267" s="1">
        <v>45713</v>
      </c>
      <c r="D267">
        <v>53</v>
      </c>
      <c r="E267" t="str">
        <f t="shared" si="16"/>
        <v>45-54</v>
      </c>
      <c r="F267" t="s">
        <v>51</v>
      </c>
      <c r="G267" t="s">
        <v>27</v>
      </c>
      <c r="H267" t="s">
        <v>20</v>
      </c>
      <c r="I267">
        <v>4</v>
      </c>
      <c r="J267" t="s">
        <v>109</v>
      </c>
      <c r="K267">
        <v>22</v>
      </c>
      <c r="L267" t="str">
        <f t="shared" si="17"/>
        <v>1-2 years</v>
      </c>
      <c r="M267" t="s">
        <v>187</v>
      </c>
      <c r="N267">
        <v>6500</v>
      </c>
      <c r="O267">
        <v>11</v>
      </c>
      <c r="P267">
        <v>71500</v>
      </c>
      <c r="Q267">
        <f t="shared" si="18"/>
        <v>6500</v>
      </c>
      <c r="R267" s="13">
        <v>131.09</v>
      </c>
      <c r="S267" t="s">
        <v>36</v>
      </c>
      <c r="T267">
        <f t="shared" si="19"/>
        <v>0</v>
      </c>
      <c r="U267">
        <v>0</v>
      </c>
      <c r="V267">
        <v>0</v>
      </c>
      <c r="W267">
        <v>0</v>
      </c>
    </row>
    <row r="268" spans="1:23" x14ac:dyDescent="0.35">
      <c r="A268" s="7" t="s">
        <v>360</v>
      </c>
      <c r="B268" t="s">
        <v>361</v>
      </c>
      <c r="C268" s="1">
        <v>45741</v>
      </c>
      <c r="D268">
        <v>78</v>
      </c>
      <c r="E268" t="str">
        <f t="shared" si="16"/>
        <v>55+</v>
      </c>
      <c r="F268" t="s">
        <v>86</v>
      </c>
      <c r="G268" t="s">
        <v>19</v>
      </c>
      <c r="H268" t="s">
        <v>28</v>
      </c>
      <c r="I268">
        <v>2</v>
      </c>
      <c r="J268" t="s">
        <v>21</v>
      </c>
      <c r="K268">
        <v>11</v>
      </c>
      <c r="L268" t="str">
        <f t="shared" si="17"/>
        <v>6-12 months</v>
      </c>
      <c r="M268" t="s">
        <v>55</v>
      </c>
      <c r="N268">
        <v>16000</v>
      </c>
      <c r="O268">
        <v>3</v>
      </c>
      <c r="P268">
        <v>48000</v>
      </c>
      <c r="Q268">
        <f t="shared" si="18"/>
        <v>16000</v>
      </c>
      <c r="R268" s="13">
        <v>105.03</v>
      </c>
      <c r="S268" t="s">
        <v>23</v>
      </c>
      <c r="T268">
        <f t="shared" si="19"/>
        <v>1</v>
      </c>
      <c r="U268">
        <v>0</v>
      </c>
      <c r="V268">
        <v>0</v>
      </c>
      <c r="W268">
        <v>0</v>
      </c>
    </row>
    <row r="269" spans="1:23" x14ac:dyDescent="0.35">
      <c r="A269" s="7" t="s">
        <v>360</v>
      </c>
      <c r="B269" t="s">
        <v>361</v>
      </c>
      <c r="C269" s="1">
        <v>45741</v>
      </c>
      <c r="D269">
        <v>78</v>
      </c>
      <c r="E269" t="str">
        <f t="shared" si="16"/>
        <v>55+</v>
      </c>
      <c r="F269" t="s">
        <v>86</v>
      </c>
      <c r="G269" t="s">
        <v>33</v>
      </c>
      <c r="H269" t="s">
        <v>28</v>
      </c>
      <c r="I269">
        <v>2</v>
      </c>
      <c r="J269" t="s">
        <v>21</v>
      </c>
      <c r="K269">
        <v>11</v>
      </c>
      <c r="L269" t="str">
        <f t="shared" si="17"/>
        <v>6-12 months</v>
      </c>
      <c r="M269" t="s">
        <v>39</v>
      </c>
      <c r="N269">
        <v>9000</v>
      </c>
      <c r="O269">
        <v>14</v>
      </c>
      <c r="P269">
        <v>126000</v>
      </c>
      <c r="Q269">
        <f t="shared" si="18"/>
        <v>9000</v>
      </c>
      <c r="R269" s="13">
        <v>152.99</v>
      </c>
      <c r="S269" t="s">
        <v>23</v>
      </c>
      <c r="T269">
        <f t="shared" si="19"/>
        <v>1</v>
      </c>
      <c r="U269">
        <v>0</v>
      </c>
      <c r="V269">
        <v>0</v>
      </c>
      <c r="W269">
        <v>0</v>
      </c>
    </row>
    <row r="270" spans="1:23" x14ac:dyDescent="0.35">
      <c r="A270" s="7" t="s">
        <v>362</v>
      </c>
      <c r="B270" t="s">
        <v>363</v>
      </c>
      <c r="C270" s="1">
        <v>45713</v>
      </c>
      <c r="D270">
        <v>45</v>
      </c>
      <c r="E270" t="str">
        <f t="shared" si="16"/>
        <v>45-54</v>
      </c>
      <c r="F270" t="s">
        <v>141</v>
      </c>
      <c r="G270" t="s">
        <v>27</v>
      </c>
      <c r="H270" t="s">
        <v>20</v>
      </c>
      <c r="I270">
        <v>5</v>
      </c>
      <c r="J270" t="s">
        <v>52</v>
      </c>
      <c r="K270">
        <v>1</v>
      </c>
      <c r="L270" t="str">
        <f t="shared" si="17"/>
        <v>0-5 months</v>
      </c>
      <c r="M270" t="s">
        <v>29</v>
      </c>
      <c r="N270">
        <v>5500</v>
      </c>
      <c r="O270">
        <v>18</v>
      </c>
      <c r="P270">
        <v>99000</v>
      </c>
      <c r="Q270">
        <f t="shared" si="18"/>
        <v>5500</v>
      </c>
      <c r="R270" s="13">
        <v>3.64</v>
      </c>
      <c r="S270" t="s">
        <v>36</v>
      </c>
      <c r="T270">
        <f t="shared" si="19"/>
        <v>0</v>
      </c>
      <c r="U270">
        <v>0</v>
      </c>
      <c r="V270">
        <v>0</v>
      </c>
      <c r="W270">
        <v>0</v>
      </c>
    </row>
    <row r="271" spans="1:23" x14ac:dyDescent="0.35">
      <c r="A271" s="7" t="s">
        <v>364</v>
      </c>
      <c r="B271" t="s">
        <v>365</v>
      </c>
      <c r="C271" s="1">
        <v>45741</v>
      </c>
      <c r="D271">
        <v>17</v>
      </c>
      <c r="E271" t="str">
        <f t="shared" si="16"/>
        <v>Under25</v>
      </c>
      <c r="F271" t="s">
        <v>113</v>
      </c>
      <c r="G271" t="s">
        <v>27</v>
      </c>
      <c r="H271" t="s">
        <v>28</v>
      </c>
      <c r="I271">
        <v>1</v>
      </c>
      <c r="J271" t="s">
        <v>34</v>
      </c>
      <c r="K271">
        <v>35</v>
      </c>
      <c r="L271" t="str">
        <f t="shared" si="17"/>
        <v>2+years</v>
      </c>
      <c r="M271" t="s">
        <v>79</v>
      </c>
      <c r="N271">
        <v>1000</v>
      </c>
      <c r="O271">
        <v>8</v>
      </c>
      <c r="P271">
        <v>8000</v>
      </c>
      <c r="Q271">
        <f t="shared" si="18"/>
        <v>1000</v>
      </c>
      <c r="R271" s="13">
        <v>105.11</v>
      </c>
      <c r="S271" t="s">
        <v>36</v>
      </c>
      <c r="T271">
        <f t="shared" si="19"/>
        <v>0</v>
      </c>
      <c r="U271">
        <v>0</v>
      </c>
      <c r="V271">
        <v>0</v>
      </c>
      <c r="W271">
        <v>0</v>
      </c>
    </row>
    <row r="272" spans="1:23" x14ac:dyDescent="0.35">
      <c r="A272" s="7" t="s">
        <v>366</v>
      </c>
      <c r="B272" t="s">
        <v>367</v>
      </c>
      <c r="C272" s="1">
        <v>45713</v>
      </c>
      <c r="D272">
        <v>48</v>
      </c>
      <c r="E272" t="str">
        <f t="shared" si="16"/>
        <v>45-54</v>
      </c>
      <c r="F272" t="s">
        <v>147</v>
      </c>
      <c r="G272" t="s">
        <v>27</v>
      </c>
      <c r="H272" t="s">
        <v>28</v>
      </c>
      <c r="I272">
        <v>1</v>
      </c>
      <c r="J272" t="s">
        <v>34</v>
      </c>
      <c r="K272">
        <v>51</v>
      </c>
      <c r="L272" t="str">
        <f t="shared" si="17"/>
        <v>2+years</v>
      </c>
      <c r="M272" t="s">
        <v>69</v>
      </c>
      <c r="N272">
        <v>350</v>
      </c>
      <c r="O272">
        <v>8</v>
      </c>
      <c r="P272">
        <v>2800</v>
      </c>
      <c r="Q272">
        <f t="shared" si="18"/>
        <v>350</v>
      </c>
      <c r="R272" s="13">
        <v>198.05</v>
      </c>
      <c r="S272" t="s">
        <v>36</v>
      </c>
      <c r="T272">
        <f t="shared" si="19"/>
        <v>0</v>
      </c>
      <c r="U272">
        <v>0</v>
      </c>
      <c r="V272">
        <v>0</v>
      </c>
      <c r="W272">
        <v>0</v>
      </c>
    </row>
    <row r="273" spans="1:23" x14ac:dyDescent="0.35">
      <c r="A273" s="7" t="s">
        <v>366</v>
      </c>
      <c r="B273" t="s">
        <v>367</v>
      </c>
      <c r="C273" s="1">
        <v>45713</v>
      </c>
      <c r="D273">
        <v>48</v>
      </c>
      <c r="E273" t="str">
        <f t="shared" si="16"/>
        <v>45-54</v>
      </c>
      <c r="F273" t="s">
        <v>147</v>
      </c>
      <c r="G273" t="s">
        <v>33</v>
      </c>
      <c r="H273" t="s">
        <v>28</v>
      </c>
      <c r="I273">
        <v>1</v>
      </c>
      <c r="J273" t="s">
        <v>34</v>
      </c>
      <c r="K273">
        <v>51</v>
      </c>
      <c r="L273" t="str">
        <f t="shared" si="17"/>
        <v>2+years</v>
      </c>
      <c r="M273" t="s">
        <v>59</v>
      </c>
      <c r="N273">
        <v>24000</v>
      </c>
      <c r="O273">
        <v>3</v>
      </c>
      <c r="P273">
        <v>72000</v>
      </c>
      <c r="Q273">
        <f t="shared" si="18"/>
        <v>24000</v>
      </c>
      <c r="R273" s="13">
        <v>136.97</v>
      </c>
      <c r="S273" t="s">
        <v>36</v>
      </c>
      <c r="T273">
        <f t="shared" si="19"/>
        <v>0</v>
      </c>
      <c r="U273">
        <v>0</v>
      </c>
      <c r="V273">
        <v>0</v>
      </c>
      <c r="W273">
        <v>0</v>
      </c>
    </row>
    <row r="274" spans="1:23" x14ac:dyDescent="0.35">
      <c r="A274" s="7" t="s">
        <v>368</v>
      </c>
      <c r="B274" t="s">
        <v>369</v>
      </c>
      <c r="C274" s="1">
        <v>45713</v>
      </c>
      <c r="D274">
        <v>27</v>
      </c>
      <c r="E274" t="str">
        <f t="shared" si="16"/>
        <v>25-34</v>
      </c>
      <c r="F274" t="s">
        <v>78</v>
      </c>
      <c r="G274" t="s">
        <v>27</v>
      </c>
      <c r="H274" t="s">
        <v>28</v>
      </c>
      <c r="I274">
        <v>1</v>
      </c>
      <c r="J274" t="s">
        <v>34</v>
      </c>
      <c r="K274">
        <v>25</v>
      </c>
      <c r="L274" t="str">
        <f t="shared" si="17"/>
        <v>2+years</v>
      </c>
      <c r="M274" t="s">
        <v>22</v>
      </c>
      <c r="N274">
        <v>35000</v>
      </c>
      <c r="O274">
        <v>11</v>
      </c>
      <c r="P274">
        <v>385000</v>
      </c>
      <c r="Q274">
        <f t="shared" si="18"/>
        <v>35000</v>
      </c>
      <c r="R274" s="13">
        <v>129.16</v>
      </c>
      <c r="S274" t="s">
        <v>36</v>
      </c>
      <c r="T274">
        <f t="shared" si="19"/>
        <v>0</v>
      </c>
      <c r="U274">
        <v>0</v>
      </c>
      <c r="V274">
        <v>0</v>
      </c>
      <c r="W274">
        <v>0</v>
      </c>
    </row>
    <row r="275" spans="1:23" x14ac:dyDescent="0.35">
      <c r="A275" s="7" t="s">
        <v>368</v>
      </c>
      <c r="B275" t="s">
        <v>369</v>
      </c>
      <c r="C275" s="1">
        <v>45713</v>
      </c>
      <c r="D275">
        <v>27</v>
      </c>
      <c r="E275" t="str">
        <f t="shared" si="16"/>
        <v>25-34</v>
      </c>
      <c r="F275" t="s">
        <v>78</v>
      </c>
      <c r="G275" t="s">
        <v>38</v>
      </c>
      <c r="H275" t="s">
        <v>28</v>
      </c>
      <c r="I275">
        <v>1</v>
      </c>
      <c r="J275" t="s">
        <v>34</v>
      </c>
      <c r="K275">
        <v>25</v>
      </c>
      <c r="L275" t="str">
        <f t="shared" si="17"/>
        <v>2+years</v>
      </c>
      <c r="M275" t="s">
        <v>59</v>
      </c>
      <c r="N275">
        <v>24000</v>
      </c>
      <c r="O275">
        <v>4</v>
      </c>
      <c r="P275">
        <v>96000</v>
      </c>
      <c r="Q275">
        <f t="shared" si="18"/>
        <v>24000</v>
      </c>
      <c r="R275" s="13">
        <v>195.48</v>
      </c>
      <c r="S275" t="s">
        <v>36</v>
      </c>
      <c r="T275">
        <f t="shared" si="19"/>
        <v>0</v>
      </c>
      <c r="U275">
        <v>0</v>
      </c>
      <c r="V275">
        <v>0</v>
      </c>
      <c r="W275">
        <v>0</v>
      </c>
    </row>
    <row r="276" spans="1:23" x14ac:dyDescent="0.35">
      <c r="A276" s="7" t="s">
        <v>368</v>
      </c>
      <c r="B276" t="s">
        <v>369</v>
      </c>
      <c r="C276" s="1">
        <v>45713</v>
      </c>
      <c r="D276">
        <v>27</v>
      </c>
      <c r="E276" t="str">
        <f t="shared" si="16"/>
        <v>25-34</v>
      </c>
      <c r="F276" t="s">
        <v>78</v>
      </c>
      <c r="G276" t="s">
        <v>27</v>
      </c>
      <c r="H276" t="s">
        <v>28</v>
      </c>
      <c r="I276">
        <v>1</v>
      </c>
      <c r="J276" t="s">
        <v>34</v>
      </c>
      <c r="K276">
        <v>25</v>
      </c>
      <c r="L276" t="str">
        <f t="shared" si="17"/>
        <v>2+years</v>
      </c>
      <c r="M276" t="s">
        <v>187</v>
      </c>
      <c r="N276">
        <v>6500</v>
      </c>
      <c r="O276">
        <v>8</v>
      </c>
      <c r="P276">
        <v>52000</v>
      </c>
      <c r="Q276">
        <f t="shared" si="18"/>
        <v>6500</v>
      </c>
      <c r="R276" s="13">
        <v>183.87</v>
      </c>
      <c r="S276" t="s">
        <v>36</v>
      </c>
      <c r="T276">
        <f t="shared" si="19"/>
        <v>0</v>
      </c>
      <c r="U276">
        <v>0</v>
      </c>
      <c r="V276">
        <v>0</v>
      </c>
      <c r="W276">
        <v>0</v>
      </c>
    </row>
    <row r="277" spans="1:23" x14ac:dyDescent="0.35">
      <c r="A277" s="7" t="s">
        <v>370</v>
      </c>
      <c r="B277" t="s">
        <v>371</v>
      </c>
      <c r="C277" s="1">
        <v>45682</v>
      </c>
      <c r="D277">
        <v>76</v>
      </c>
      <c r="E277" t="str">
        <f t="shared" si="16"/>
        <v>55+</v>
      </c>
      <c r="F277" t="s">
        <v>186</v>
      </c>
      <c r="G277" t="s">
        <v>38</v>
      </c>
      <c r="H277" t="s">
        <v>20</v>
      </c>
      <c r="I277">
        <v>3</v>
      </c>
      <c r="J277" t="s">
        <v>47</v>
      </c>
      <c r="K277">
        <v>60</v>
      </c>
      <c r="L277" t="str">
        <f t="shared" si="17"/>
        <v>2+years</v>
      </c>
      <c r="M277" t="s">
        <v>39</v>
      </c>
      <c r="N277">
        <v>9000</v>
      </c>
      <c r="O277">
        <v>19</v>
      </c>
      <c r="P277">
        <v>171000</v>
      </c>
      <c r="Q277">
        <f t="shared" si="18"/>
        <v>9000</v>
      </c>
      <c r="R277" s="13">
        <v>192.31</v>
      </c>
      <c r="S277" t="s">
        <v>36</v>
      </c>
      <c r="T277">
        <f t="shared" si="19"/>
        <v>0</v>
      </c>
      <c r="U277">
        <v>0</v>
      </c>
      <c r="V277">
        <v>0</v>
      </c>
      <c r="W277">
        <v>0</v>
      </c>
    </row>
    <row r="278" spans="1:23" x14ac:dyDescent="0.35">
      <c r="A278" s="7" t="s">
        <v>370</v>
      </c>
      <c r="B278" t="s">
        <v>371</v>
      </c>
      <c r="C278" s="1">
        <v>45682</v>
      </c>
      <c r="D278">
        <v>76</v>
      </c>
      <c r="E278" t="str">
        <f t="shared" si="16"/>
        <v>55+</v>
      </c>
      <c r="F278" t="s">
        <v>186</v>
      </c>
      <c r="G278" t="s">
        <v>27</v>
      </c>
      <c r="H278" t="s">
        <v>20</v>
      </c>
      <c r="I278">
        <v>3</v>
      </c>
      <c r="J278" t="s">
        <v>47</v>
      </c>
      <c r="K278">
        <v>60</v>
      </c>
      <c r="L278" t="str">
        <f t="shared" si="17"/>
        <v>2+years</v>
      </c>
      <c r="M278" t="s">
        <v>159</v>
      </c>
      <c r="N278">
        <v>600</v>
      </c>
      <c r="O278">
        <v>13</v>
      </c>
      <c r="P278">
        <v>7800</v>
      </c>
      <c r="Q278">
        <f t="shared" si="18"/>
        <v>600</v>
      </c>
      <c r="R278" s="13">
        <v>150.57</v>
      </c>
      <c r="S278" t="s">
        <v>36</v>
      </c>
      <c r="T278">
        <f t="shared" si="19"/>
        <v>0</v>
      </c>
      <c r="U278">
        <v>0</v>
      </c>
      <c r="V278">
        <v>0</v>
      </c>
      <c r="W278">
        <v>0</v>
      </c>
    </row>
    <row r="279" spans="1:23" x14ac:dyDescent="0.35">
      <c r="A279" s="7" t="s">
        <v>370</v>
      </c>
      <c r="B279" t="s">
        <v>371</v>
      </c>
      <c r="C279" s="1">
        <v>45682</v>
      </c>
      <c r="D279">
        <v>76</v>
      </c>
      <c r="E279" t="str">
        <f t="shared" si="16"/>
        <v>55+</v>
      </c>
      <c r="F279" t="s">
        <v>186</v>
      </c>
      <c r="G279" t="s">
        <v>19</v>
      </c>
      <c r="H279" t="s">
        <v>20</v>
      </c>
      <c r="I279">
        <v>3</v>
      </c>
      <c r="J279" t="s">
        <v>47</v>
      </c>
      <c r="K279">
        <v>60</v>
      </c>
      <c r="L279" t="str">
        <f t="shared" si="17"/>
        <v>2+years</v>
      </c>
      <c r="M279" t="s">
        <v>55</v>
      </c>
      <c r="N279">
        <v>16000</v>
      </c>
      <c r="O279">
        <v>19</v>
      </c>
      <c r="P279">
        <v>304000</v>
      </c>
      <c r="Q279">
        <f t="shared" si="18"/>
        <v>16000</v>
      </c>
      <c r="R279" s="13">
        <v>60.21</v>
      </c>
      <c r="S279" t="s">
        <v>36</v>
      </c>
      <c r="T279">
        <f t="shared" si="19"/>
        <v>0</v>
      </c>
      <c r="U279">
        <v>0</v>
      </c>
      <c r="V279">
        <v>0</v>
      </c>
      <c r="W279">
        <v>0</v>
      </c>
    </row>
    <row r="280" spans="1:23" x14ac:dyDescent="0.35">
      <c r="A280" s="7" t="s">
        <v>372</v>
      </c>
      <c r="B280" t="s">
        <v>373</v>
      </c>
      <c r="C280" s="1">
        <v>45713</v>
      </c>
      <c r="D280">
        <v>65</v>
      </c>
      <c r="E280" t="str">
        <f t="shared" si="16"/>
        <v>55+</v>
      </c>
      <c r="F280" t="s">
        <v>82</v>
      </c>
      <c r="G280" t="s">
        <v>38</v>
      </c>
      <c r="H280" t="s">
        <v>28</v>
      </c>
      <c r="I280">
        <v>1</v>
      </c>
      <c r="J280" t="s">
        <v>34</v>
      </c>
      <c r="K280">
        <v>25</v>
      </c>
      <c r="L280" t="str">
        <f t="shared" si="17"/>
        <v>2+years</v>
      </c>
      <c r="M280" t="s">
        <v>68</v>
      </c>
      <c r="N280">
        <v>14500</v>
      </c>
      <c r="O280">
        <v>3</v>
      </c>
      <c r="P280">
        <v>43500</v>
      </c>
      <c r="Q280">
        <f t="shared" si="18"/>
        <v>14500</v>
      </c>
      <c r="R280" s="13">
        <v>46.81</v>
      </c>
      <c r="S280" t="s">
        <v>36</v>
      </c>
      <c r="T280">
        <f t="shared" si="19"/>
        <v>0</v>
      </c>
      <c r="U280">
        <v>0</v>
      </c>
      <c r="V280">
        <v>0</v>
      </c>
      <c r="W280">
        <v>0</v>
      </c>
    </row>
    <row r="281" spans="1:23" x14ac:dyDescent="0.35">
      <c r="A281" s="7" t="s">
        <v>372</v>
      </c>
      <c r="B281" t="s">
        <v>373</v>
      </c>
      <c r="C281" s="1">
        <v>45713</v>
      </c>
      <c r="D281">
        <v>65</v>
      </c>
      <c r="E281" t="str">
        <f t="shared" si="16"/>
        <v>55+</v>
      </c>
      <c r="F281" t="s">
        <v>82</v>
      </c>
      <c r="G281" t="s">
        <v>27</v>
      </c>
      <c r="H281" t="s">
        <v>28</v>
      </c>
      <c r="I281">
        <v>1</v>
      </c>
      <c r="J281" t="s">
        <v>34</v>
      </c>
      <c r="K281">
        <v>25</v>
      </c>
      <c r="L281" t="str">
        <f t="shared" si="17"/>
        <v>2+years</v>
      </c>
      <c r="M281" t="s">
        <v>53</v>
      </c>
      <c r="N281">
        <v>3500</v>
      </c>
      <c r="O281">
        <v>20</v>
      </c>
      <c r="P281">
        <v>70000</v>
      </c>
      <c r="Q281">
        <f t="shared" si="18"/>
        <v>3500</v>
      </c>
      <c r="R281" s="13">
        <v>121.23</v>
      </c>
      <c r="S281" t="s">
        <v>36</v>
      </c>
      <c r="T281">
        <f t="shared" si="19"/>
        <v>0</v>
      </c>
      <c r="U281">
        <v>0</v>
      </c>
      <c r="V281">
        <v>0</v>
      </c>
      <c r="W281">
        <v>0</v>
      </c>
    </row>
    <row r="282" spans="1:23" x14ac:dyDescent="0.35">
      <c r="A282" s="7" t="s">
        <v>374</v>
      </c>
      <c r="B282" t="s">
        <v>375</v>
      </c>
      <c r="C282" s="1">
        <v>45713</v>
      </c>
      <c r="D282">
        <v>57</v>
      </c>
      <c r="E282" t="str">
        <f t="shared" si="16"/>
        <v>55+</v>
      </c>
      <c r="F282" t="s">
        <v>113</v>
      </c>
      <c r="G282" t="s">
        <v>27</v>
      </c>
      <c r="H282" t="s">
        <v>28</v>
      </c>
      <c r="I282">
        <v>4</v>
      </c>
      <c r="J282" t="s">
        <v>109</v>
      </c>
      <c r="K282">
        <v>51</v>
      </c>
      <c r="L282" t="str">
        <f t="shared" si="17"/>
        <v>2+years</v>
      </c>
      <c r="M282" t="s">
        <v>83</v>
      </c>
      <c r="N282">
        <v>7500</v>
      </c>
      <c r="O282">
        <v>20</v>
      </c>
      <c r="P282">
        <v>150000</v>
      </c>
      <c r="Q282">
        <f t="shared" si="18"/>
        <v>7500</v>
      </c>
      <c r="R282" s="13">
        <v>17.600000000000001</v>
      </c>
      <c r="S282" t="s">
        <v>23</v>
      </c>
      <c r="T282">
        <f t="shared" si="19"/>
        <v>1</v>
      </c>
      <c r="U282">
        <v>0</v>
      </c>
      <c r="V282">
        <v>0</v>
      </c>
      <c r="W282">
        <v>0</v>
      </c>
    </row>
    <row r="283" spans="1:23" x14ac:dyDescent="0.35">
      <c r="A283" s="7" t="s">
        <v>374</v>
      </c>
      <c r="B283" t="s">
        <v>375</v>
      </c>
      <c r="C283" s="1">
        <v>45713</v>
      </c>
      <c r="D283">
        <v>57</v>
      </c>
      <c r="E283" t="str">
        <f t="shared" si="16"/>
        <v>55+</v>
      </c>
      <c r="F283" t="s">
        <v>113</v>
      </c>
      <c r="G283" t="s">
        <v>38</v>
      </c>
      <c r="H283" t="s">
        <v>28</v>
      </c>
      <c r="I283">
        <v>4</v>
      </c>
      <c r="J283" t="s">
        <v>109</v>
      </c>
      <c r="K283">
        <v>51</v>
      </c>
      <c r="L283" t="str">
        <f t="shared" si="17"/>
        <v>2+years</v>
      </c>
      <c r="M283" t="s">
        <v>62</v>
      </c>
      <c r="N283">
        <v>30000</v>
      </c>
      <c r="O283">
        <v>3</v>
      </c>
      <c r="P283">
        <v>90000</v>
      </c>
      <c r="Q283">
        <f t="shared" si="18"/>
        <v>30000</v>
      </c>
      <c r="R283" s="13">
        <v>159.71</v>
      </c>
      <c r="S283" t="s">
        <v>23</v>
      </c>
      <c r="T283">
        <f t="shared" si="19"/>
        <v>1</v>
      </c>
      <c r="U283">
        <v>0</v>
      </c>
      <c r="V283">
        <v>0</v>
      </c>
      <c r="W283">
        <v>0</v>
      </c>
    </row>
    <row r="284" spans="1:23" x14ac:dyDescent="0.35">
      <c r="A284" s="7" t="s">
        <v>376</v>
      </c>
      <c r="B284" t="s">
        <v>377</v>
      </c>
      <c r="C284" s="1">
        <v>45713</v>
      </c>
      <c r="D284">
        <v>50</v>
      </c>
      <c r="E284" t="str">
        <f t="shared" si="16"/>
        <v>45-54</v>
      </c>
      <c r="F284" t="s">
        <v>51</v>
      </c>
      <c r="G284" t="s">
        <v>38</v>
      </c>
      <c r="H284" t="s">
        <v>28</v>
      </c>
      <c r="I284">
        <v>4</v>
      </c>
      <c r="J284" t="s">
        <v>109</v>
      </c>
      <c r="K284">
        <v>46</v>
      </c>
      <c r="L284" t="str">
        <f t="shared" si="17"/>
        <v>2+years</v>
      </c>
      <c r="M284" t="s">
        <v>39</v>
      </c>
      <c r="N284">
        <v>9000</v>
      </c>
      <c r="O284">
        <v>15</v>
      </c>
      <c r="P284">
        <v>135000</v>
      </c>
      <c r="Q284">
        <f t="shared" si="18"/>
        <v>9000</v>
      </c>
      <c r="R284" s="13">
        <v>188.62</v>
      </c>
      <c r="S284" t="s">
        <v>36</v>
      </c>
      <c r="T284">
        <f t="shared" si="19"/>
        <v>0</v>
      </c>
      <c r="U284">
        <v>0</v>
      </c>
      <c r="V284">
        <v>0</v>
      </c>
      <c r="W284">
        <v>0</v>
      </c>
    </row>
    <row r="285" spans="1:23" x14ac:dyDescent="0.35">
      <c r="A285" s="7" t="s">
        <v>378</v>
      </c>
      <c r="B285" t="s">
        <v>379</v>
      </c>
      <c r="C285" s="1">
        <v>45713</v>
      </c>
      <c r="D285">
        <v>50</v>
      </c>
      <c r="E285" t="str">
        <f t="shared" si="16"/>
        <v>45-54</v>
      </c>
      <c r="F285" t="s">
        <v>91</v>
      </c>
      <c r="G285" t="s">
        <v>27</v>
      </c>
      <c r="H285" t="s">
        <v>20</v>
      </c>
      <c r="I285">
        <v>4</v>
      </c>
      <c r="J285" t="s">
        <v>109</v>
      </c>
      <c r="K285">
        <v>6</v>
      </c>
      <c r="L285" t="str">
        <f t="shared" si="17"/>
        <v>6-12 months</v>
      </c>
      <c r="M285" t="s">
        <v>79</v>
      </c>
      <c r="N285">
        <v>1000</v>
      </c>
      <c r="O285">
        <v>3</v>
      </c>
      <c r="P285">
        <v>3000</v>
      </c>
      <c r="Q285">
        <f t="shared" si="18"/>
        <v>1000</v>
      </c>
      <c r="R285" s="13">
        <v>71.11</v>
      </c>
      <c r="S285" t="s">
        <v>36</v>
      </c>
      <c r="T285">
        <f t="shared" si="19"/>
        <v>0</v>
      </c>
      <c r="U285">
        <v>0</v>
      </c>
      <c r="V285">
        <v>0</v>
      </c>
      <c r="W285">
        <v>0</v>
      </c>
    </row>
    <row r="286" spans="1:23" x14ac:dyDescent="0.35">
      <c r="A286" s="7" t="s">
        <v>378</v>
      </c>
      <c r="B286" t="s">
        <v>379</v>
      </c>
      <c r="C286" s="1">
        <v>45713</v>
      </c>
      <c r="D286">
        <v>50</v>
      </c>
      <c r="E286" t="str">
        <f t="shared" si="16"/>
        <v>45-54</v>
      </c>
      <c r="F286" t="s">
        <v>91</v>
      </c>
      <c r="G286" t="s">
        <v>38</v>
      </c>
      <c r="H286" t="s">
        <v>20</v>
      </c>
      <c r="I286">
        <v>4</v>
      </c>
      <c r="J286" t="s">
        <v>109</v>
      </c>
      <c r="K286">
        <v>6</v>
      </c>
      <c r="L286" t="str">
        <f t="shared" si="17"/>
        <v>6-12 months</v>
      </c>
      <c r="M286" t="s">
        <v>59</v>
      </c>
      <c r="N286">
        <v>24000</v>
      </c>
      <c r="O286">
        <v>11</v>
      </c>
      <c r="P286">
        <v>264000</v>
      </c>
      <c r="Q286">
        <f t="shared" si="18"/>
        <v>24000</v>
      </c>
      <c r="R286" s="13">
        <v>119.81</v>
      </c>
      <c r="S286" t="s">
        <v>36</v>
      </c>
      <c r="T286">
        <f t="shared" si="19"/>
        <v>0</v>
      </c>
      <c r="U286">
        <v>0</v>
      </c>
      <c r="V286">
        <v>0</v>
      </c>
      <c r="W286">
        <v>0</v>
      </c>
    </row>
    <row r="287" spans="1:23" x14ac:dyDescent="0.35">
      <c r="A287" s="7" t="s">
        <v>378</v>
      </c>
      <c r="B287" t="s">
        <v>379</v>
      </c>
      <c r="C287" s="1">
        <v>45713</v>
      </c>
      <c r="D287">
        <v>50</v>
      </c>
      <c r="E287" t="str">
        <f t="shared" si="16"/>
        <v>45-54</v>
      </c>
      <c r="F287" t="s">
        <v>91</v>
      </c>
      <c r="G287" t="s">
        <v>33</v>
      </c>
      <c r="H287" t="s">
        <v>20</v>
      </c>
      <c r="I287">
        <v>4</v>
      </c>
      <c r="J287" t="s">
        <v>109</v>
      </c>
      <c r="K287">
        <v>6</v>
      </c>
      <c r="L287" t="str">
        <f t="shared" si="17"/>
        <v>6-12 months</v>
      </c>
      <c r="M287" t="s">
        <v>100</v>
      </c>
      <c r="N287">
        <v>75000</v>
      </c>
      <c r="O287">
        <v>14</v>
      </c>
      <c r="P287">
        <v>1050000</v>
      </c>
      <c r="Q287">
        <f t="shared" si="18"/>
        <v>75000</v>
      </c>
      <c r="R287" s="13">
        <v>2.96</v>
      </c>
      <c r="S287" t="s">
        <v>36</v>
      </c>
      <c r="T287">
        <f t="shared" si="19"/>
        <v>0</v>
      </c>
      <c r="U287">
        <v>0</v>
      </c>
      <c r="V287">
        <v>0</v>
      </c>
      <c r="W287">
        <v>0</v>
      </c>
    </row>
    <row r="288" spans="1:23" x14ac:dyDescent="0.35">
      <c r="A288" s="7" t="s">
        <v>380</v>
      </c>
      <c r="B288" t="s">
        <v>381</v>
      </c>
      <c r="C288" s="1">
        <v>45713</v>
      </c>
      <c r="D288">
        <v>26</v>
      </c>
      <c r="E288" t="str">
        <f t="shared" si="16"/>
        <v>25-34</v>
      </c>
      <c r="F288" t="s">
        <v>67</v>
      </c>
      <c r="G288" t="s">
        <v>27</v>
      </c>
      <c r="H288" t="s">
        <v>20</v>
      </c>
      <c r="I288">
        <v>2</v>
      </c>
      <c r="J288" t="s">
        <v>21</v>
      </c>
      <c r="K288">
        <v>44</v>
      </c>
      <c r="L288" t="str">
        <f t="shared" si="17"/>
        <v>2+years</v>
      </c>
      <c r="M288" t="s">
        <v>79</v>
      </c>
      <c r="N288">
        <v>1000</v>
      </c>
      <c r="O288">
        <v>9</v>
      </c>
      <c r="P288">
        <v>9000</v>
      </c>
      <c r="Q288">
        <f t="shared" si="18"/>
        <v>1000</v>
      </c>
      <c r="R288" s="13">
        <v>33.86</v>
      </c>
      <c r="S288" t="s">
        <v>23</v>
      </c>
      <c r="T288">
        <f t="shared" si="19"/>
        <v>1</v>
      </c>
      <c r="U288">
        <v>0</v>
      </c>
      <c r="V288">
        <v>0</v>
      </c>
      <c r="W288">
        <v>0</v>
      </c>
    </row>
    <row r="289" spans="1:23" x14ac:dyDescent="0.35">
      <c r="A289" s="7" t="s">
        <v>380</v>
      </c>
      <c r="B289" t="s">
        <v>381</v>
      </c>
      <c r="C289" s="1">
        <v>45713</v>
      </c>
      <c r="D289">
        <v>26</v>
      </c>
      <c r="E289" t="str">
        <f t="shared" si="16"/>
        <v>25-34</v>
      </c>
      <c r="F289" t="s">
        <v>67</v>
      </c>
      <c r="G289" t="s">
        <v>38</v>
      </c>
      <c r="H289" t="s">
        <v>20</v>
      </c>
      <c r="I289">
        <v>2</v>
      </c>
      <c r="J289" t="s">
        <v>21</v>
      </c>
      <c r="K289">
        <v>44</v>
      </c>
      <c r="L289" t="str">
        <f t="shared" si="17"/>
        <v>2+years</v>
      </c>
      <c r="M289" t="s">
        <v>68</v>
      </c>
      <c r="N289">
        <v>14500</v>
      </c>
      <c r="O289">
        <v>3</v>
      </c>
      <c r="P289">
        <v>43500</v>
      </c>
      <c r="Q289">
        <f t="shared" si="18"/>
        <v>14500</v>
      </c>
      <c r="R289" s="13">
        <v>60.3</v>
      </c>
      <c r="S289" t="s">
        <v>23</v>
      </c>
      <c r="T289">
        <f t="shared" si="19"/>
        <v>1</v>
      </c>
      <c r="U289">
        <v>0</v>
      </c>
      <c r="V289">
        <v>0</v>
      </c>
      <c r="W289">
        <v>0</v>
      </c>
    </row>
    <row r="290" spans="1:23" x14ac:dyDescent="0.35">
      <c r="A290" s="7" t="s">
        <v>382</v>
      </c>
      <c r="B290" t="s">
        <v>383</v>
      </c>
      <c r="C290" s="1">
        <v>45713</v>
      </c>
      <c r="D290">
        <v>48</v>
      </c>
      <c r="E290" t="str">
        <f t="shared" si="16"/>
        <v>45-54</v>
      </c>
      <c r="F290" t="s">
        <v>67</v>
      </c>
      <c r="G290" t="s">
        <v>27</v>
      </c>
      <c r="H290" t="s">
        <v>28</v>
      </c>
      <c r="I290">
        <v>4</v>
      </c>
      <c r="J290" t="s">
        <v>109</v>
      </c>
      <c r="K290">
        <v>39</v>
      </c>
      <c r="L290" t="str">
        <f t="shared" si="17"/>
        <v>2+years</v>
      </c>
      <c r="M290" t="s">
        <v>53</v>
      </c>
      <c r="N290">
        <v>3500</v>
      </c>
      <c r="O290">
        <v>13</v>
      </c>
      <c r="P290">
        <v>45500</v>
      </c>
      <c r="Q290">
        <f t="shared" si="18"/>
        <v>3500</v>
      </c>
      <c r="R290" s="13">
        <v>168.4</v>
      </c>
      <c r="S290" t="s">
        <v>23</v>
      </c>
      <c r="T290">
        <f t="shared" si="19"/>
        <v>1</v>
      </c>
      <c r="U290">
        <v>0</v>
      </c>
      <c r="V290">
        <v>0</v>
      </c>
      <c r="W290">
        <v>0</v>
      </c>
    </row>
    <row r="291" spans="1:23" x14ac:dyDescent="0.35">
      <c r="A291" s="7" t="s">
        <v>384</v>
      </c>
      <c r="B291" t="s">
        <v>385</v>
      </c>
      <c r="C291" s="1">
        <v>45713</v>
      </c>
      <c r="D291">
        <v>72</v>
      </c>
      <c r="E291" t="str">
        <f t="shared" si="16"/>
        <v>55+</v>
      </c>
      <c r="F291" t="s">
        <v>152</v>
      </c>
      <c r="G291" t="s">
        <v>19</v>
      </c>
      <c r="H291" t="s">
        <v>28</v>
      </c>
      <c r="I291">
        <v>3</v>
      </c>
      <c r="J291" t="s">
        <v>47</v>
      </c>
      <c r="K291">
        <v>53</v>
      </c>
      <c r="L291" t="str">
        <f t="shared" si="17"/>
        <v>2+years</v>
      </c>
      <c r="M291" t="s">
        <v>43</v>
      </c>
      <c r="N291">
        <v>4500</v>
      </c>
      <c r="O291">
        <v>11</v>
      </c>
      <c r="P291">
        <v>49500</v>
      </c>
      <c r="Q291">
        <f t="shared" si="18"/>
        <v>4500</v>
      </c>
      <c r="R291" s="13">
        <v>192.93</v>
      </c>
      <c r="S291" t="s">
        <v>36</v>
      </c>
      <c r="T291">
        <f t="shared" si="19"/>
        <v>0</v>
      </c>
      <c r="U291">
        <v>0</v>
      </c>
      <c r="V291">
        <v>0</v>
      </c>
      <c r="W291">
        <v>0</v>
      </c>
    </row>
    <row r="292" spans="1:23" x14ac:dyDescent="0.35">
      <c r="A292" s="7" t="s">
        <v>384</v>
      </c>
      <c r="B292" t="s">
        <v>385</v>
      </c>
      <c r="C292" s="1">
        <v>45713</v>
      </c>
      <c r="D292">
        <v>72</v>
      </c>
      <c r="E292" t="str">
        <f t="shared" si="16"/>
        <v>55+</v>
      </c>
      <c r="F292" t="s">
        <v>152</v>
      </c>
      <c r="G292" t="s">
        <v>27</v>
      </c>
      <c r="H292" t="s">
        <v>28</v>
      </c>
      <c r="I292">
        <v>3</v>
      </c>
      <c r="J292" t="s">
        <v>47</v>
      </c>
      <c r="K292">
        <v>53</v>
      </c>
      <c r="L292" t="str">
        <f t="shared" si="17"/>
        <v>2+years</v>
      </c>
      <c r="M292" t="s">
        <v>37</v>
      </c>
      <c r="N292">
        <v>500</v>
      </c>
      <c r="O292">
        <v>16</v>
      </c>
      <c r="P292">
        <v>8000</v>
      </c>
      <c r="Q292">
        <f t="shared" si="18"/>
        <v>500</v>
      </c>
      <c r="R292" s="13">
        <v>147.11000000000001</v>
      </c>
      <c r="S292" t="s">
        <v>36</v>
      </c>
      <c r="T292">
        <f t="shared" si="19"/>
        <v>0</v>
      </c>
      <c r="U292">
        <v>0</v>
      </c>
      <c r="V292">
        <v>0</v>
      </c>
      <c r="W292">
        <v>0</v>
      </c>
    </row>
    <row r="293" spans="1:23" x14ac:dyDescent="0.35">
      <c r="A293" s="7" t="s">
        <v>384</v>
      </c>
      <c r="B293" t="s">
        <v>385</v>
      </c>
      <c r="C293" s="1">
        <v>45713</v>
      </c>
      <c r="D293">
        <v>72</v>
      </c>
      <c r="E293" t="str">
        <f t="shared" si="16"/>
        <v>55+</v>
      </c>
      <c r="F293" t="s">
        <v>152</v>
      </c>
      <c r="G293" t="s">
        <v>33</v>
      </c>
      <c r="H293" t="s">
        <v>28</v>
      </c>
      <c r="I293">
        <v>3</v>
      </c>
      <c r="J293" t="s">
        <v>47</v>
      </c>
      <c r="K293">
        <v>53</v>
      </c>
      <c r="L293" t="str">
        <f t="shared" si="17"/>
        <v>2+years</v>
      </c>
      <c r="M293" t="s">
        <v>68</v>
      </c>
      <c r="N293">
        <v>14500</v>
      </c>
      <c r="O293">
        <v>9</v>
      </c>
      <c r="P293">
        <v>130500</v>
      </c>
      <c r="Q293">
        <f t="shared" si="18"/>
        <v>14500</v>
      </c>
      <c r="R293" s="13">
        <v>65.510000000000005</v>
      </c>
      <c r="S293" t="s">
        <v>36</v>
      </c>
      <c r="T293">
        <f t="shared" si="19"/>
        <v>0</v>
      </c>
      <c r="U293">
        <v>0</v>
      </c>
      <c r="V293">
        <v>0</v>
      </c>
      <c r="W293">
        <v>0</v>
      </c>
    </row>
    <row r="294" spans="1:23" x14ac:dyDescent="0.35">
      <c r="A294" s="7" t="s">
        <v>386</v>
      </c>
      <c r="B294" t="s">
        <v>387</v>
      </c>
      <c r="C294" s="1">
        <v>45713</v>
      </c>
      <c r="D294">
        <v>62</v>
      </c>
      <c r="E294" t="str">
        <f t="shared" si="16"/>
        <v>55+</v>
      </c>
      <c r="F294" t="s">
        <v>170</v>
      </c>
      <c r="G294" t="s">
        <v>19</v>
      </c>
      <c r="H294" t="s">
        <v>20</v>
      </c>
      <c r="I294">
        <v>5</v>
      </c>
      <c r="J294" t="s">
        <v>52</v>
      </c>
      <c r="K294">
        <v>38</v>
      </c>
      <c r="L294" t="str">
        <f t="shared" si="17"/>
        <v>2+years</v>
      </c>
      <c r="M294" t="s">
        <v>48</v>
      </c>
      <c r="N294">
        <v>9000</v>
      </c>
      <c r="O294">
        <v>3</v>
      </c>
      <c r="P294">
        <v>27000</v>
      </c>
      <c r="Q294">
        <f t="shared" si="18"/>
        <v>9000</v>
      </c>
      <c r="R294" s="13">
        <v>166.34</v>
      </c>
      <c r="S294" t="s">
        <v>23</v>
      </c>
      <c r="T294">
        <f t="shared" si="19"/>
        <v>1</v>
      </c>
      <c r="U294">
        <v>0</v>
      </c>
      <c r="V294">
        <v>0</v>
      </c>
      <c r="W294">
        <v>0</v>
      </c>
    </row>
    <row r="295" spans="1:23" x14ac:dyDescent="0.35">
      <c r="A295" s="7" t="s">
        <v>386</v>
      </c>
      <c r="B295" t="s">
        <v>387</v>
      </c>
      <c r="C295" s="1">
        <v>45713</v>
      </c>
      <c r="D295">
        <v>62</v>
      </c>
      <c r="E295" t="str">
        <f t="shared" si="16"/>
        <v>55+</v>
      </c>
      <c r="F295" t="s">
        <v>170</v>
      </c>
      <c r="G295" t="s">
        <v>27</v>
      </c>
      <c r="H295" t="s">
        <v>20</v>
      </c>
      <c r="I295">
        <v>5</v>
      </c>
      <c r="J295" t="s">
        <v>52</v>
      </c>
      <c r="K295">
        <v>38</v>
      </c>
      <c r="L295" t="str">
        <f t="shared" si="17"/>
        <v>2+years</v>
      </c>
      <c r="M295" t="s">
        <v>83</v>
      </c>
      <c r="N295">
        <v>7500</v>
      </c>
      <c r="O295">
        <v>5</v>
      </c>
      <c r="P295">
        <v>37500</v>
      </c>
      <c r="Q295">
        <f t="shared" si="18"/>
        <v>7500</v>
      </c>
      <c r="R295" s="13">
        <v>134.76</v>
      </c>
      <c r="S295" t="s">
        <v>23</v>
      </c>
      <c r="T295">
        <f t="shared" si="19"/>
        <v>1</v>
      </c>
      <c r="U295">
        <v>0</v>
      </c>
      <c r="V295">
        <v>0</v>
      </c>
      <c r="W295">
        <v>0</v>
      </c>
    </row>
    <row r="296" spans="1:23" x14ac:dyDescent="0.35">
      <c r="A296" s="7" t="s">
        <v>388</v>
      </c>
      <c r="B296" t="s">
        <v>389</v>
      </c>
      <c r="C296" s="1">
        <v>45713</v>
      </c>
      <c r="D296">
        <v>46</v>
      </c>
      <c r="E296" t="str">
        <f t="shared" si="16"/>
        <v>45-54</v>
      </c>
      <c r="F296" t="s">
        <v>138</v>
      </c>
      <c r="G296" t="s">
        <v>27</v>
      </c>
      <c r="H296" t="s">
        <v>20</v>
      </c>
      <c r="I296">
        <v>4</v>
      </c>
      <c r="J296" t="s">
        <v>109</v>
      </c>
      <c r="K296">
        <v>46</v>
      </c>
      <c r="L296" t="str">
        <f t="shared" si="17"/>
        <v>2+years</v>
      </c>
      <c r="M296" t="s">
        <v>187</v>
      </c>
      <c r="N296">
        <v>6500</v>
      </c>
      <c r="O296">
        <v>14</v>
      </c>
      <c r="P296">
        <v>91000</v>
      </c>
      <c r="Q296">
        <f t="shared" si="18"/>
        <v>6500</v>
      </c>
      <c r="R296" s="13">
        <v>184.74</v>
      </c>
      <c r="S296" t="s">
        <v>23</v>
      </c>
      <c r="T296">
        <f t="shared" si="19"/>
        <v>1</v>
      </c>
      <c r="U296">
        <v>0</v>
      </c>
      <c r="V296">
        <v>0</v>
      </c>
      <c r="W296">
        <v>0</v>
      </c>
    </row>
    <row r="297" spans="1:23" x14ac:dyDescent="0.35">
      <c r="A297" s="7" t="s">
        <v>388</v>
      </c>
      <c r="B297" t="s">
        <v>389</v>
      </c>
      <c r="C297" s="1">
        <v>45713</v>
      </c>
      <c r="D297">
        <v>46</v>
      </c>
      <c r="E297" t="str">
        <f t="shared" si="16"/>
        <v>45-54</v>
      </c>
      <c r="F297" t="s">
        <v>138</v>
      </c>
      <c r="G297" t="s">
        <v>33</v>
      </c>
      <c r="H297" t="s">
        <v>20</v>
      </c>
      <c r="I297">
        <v>4</v>
      </c>
      <c r="J297" t="s">
        <v>109</v>
      </c>
      <c r="K297">
        <v>46</v>
      </c>
      <c r="L297" t="str">
        <f t="shared" si="17"/>
        <v>2+years</v>
      </c>
      <c r="M297" t="s">
        <v>39</v>
      </c>
      <c r="N297">
        <v>9000</v>
      </c>
      <c r="O297">
        <v>12</v>
      </c>
      <c r="P297">
        <v>108000</v>
      </c>
      <c r="Q297">
        <f t="shared" si="18"/>
        <v>9000</v>
      </c>
      <c r="R297" s="13">
        <v>158.25</v>
      </c>
      <c r="S297" t="s">
        <v>23</v>
      </c>
      <c r="T297">
        <f t="shared" si="19"/>
        <v>1</v>
      </c>
      <c r="U297">
        <v>0</v>
      </c>
      <c r="V297">
        <v>0</v>
      </c>
      <c r="W297">
        <v>0</v>
      </c>
    </row>
    <row r="298" spans="1:23" x14ac:dyDescent="0.35">
      <c r="A298" s="7" t="s">
        <v>390</v>
      </c>
      <c r="B298" t="s">
        <v>391</v>
      </c>
      <c r="C298" s="1">
        <v>45741</v>
      </c>
      <c r="D298">
        <v>26</v>
      </c>
      <c r="E298" t="str">
        <f t="shared" si="16"/>
        <v>25-34</v>
      </c>
      <c r="F298" t="s">
        <v>91</v>
      </c>
      <c r="G298" t="s">
        <v>27</v>
      </c>
      <c r="H298" t="s">
        <v>20</v>
      </c>
      <c r="I298">
        <v>2</v>
      </c>
      <c r="J298" t="s">
        <v>21</v>
      </c>
      <c r="K298">
        <v>43</v>
      </c>
      <c r="L298" t="str">
        <f t="shared" si="17"/>
        <v>2+years</v>
      </c>
      <c r="M298" t="s">
        <v>53</v>
      </c>
      <c r="N298">
        <v>3500</v>
      </c>
      <c r="O298">
        <v>14</v>
      </c>
      <c r="P298">
        <v>49000</v>
      </c>
      <c r="Q298">
        <f t="shared" si="18"/>
        <v>3500</v>
      </c>
      <c r="R298" s="13">
        <v>193.16</v>
      </c>
      <c r="S298" t="s">
        <v>36</v>
      </c>
      <c r="T298">
        <f t="shared" si="19"/>
        <v>0</v>
      </c>
      <c r="U298">
        <v>0</v>
      </c>
      <c r="V298">
        <v>0</v>
      </c>
      <c r="W298">
        <v>0</v>
      </c>
    </row>
    <row r="299" spans="1:23" x14ac:dyDescent="0.35">
      <c r="A299" s="7" t="s">
        <v>392</v>
      </c>
      <c r="B299" t="s">
        <v>393</v>
      </c>
      <c r="C299" s="1">
        <v>45713</v>
      </c>
      <c r="D299">
        <v>17</v>
      </c>
      <c r="E299" t="str">
        <f t="shared" si="16"/>
        <v>Under25</v>
      </c>
      <c r="F299" t="s">
        <v>91</v>
      </c>
      <c r="G299" t="s">
        <v>19</v>
      </c>
      <c r="H299" t="s">
        <v>28</v>
      </c>
      <c r="I299">
        <v>4</v>
      </c>
      <c r="J299" t="s">
        <v>109</v>
      </c>
      <c r="K299">
        <v>15</v>
      </c>
      <c r="L299" t="str">
        <f t="shared" si="17"/>
        <v>1-2 years</v>
      </c>
      <c r="M299" t="s">
        <v>43</v>
      </c>
      <c r="N299">
        <v>4500</v>
      </c>
      <c r="O299">
        <v>10</v>
      </c>
      <c r="P299">
        <v>45000</v>
      </c>
      <c r="Q299">
        <f t="shared" si="18"/>
        <v>4500</v>
      </c>
      <c r="R299" s="13">
        <v>96.81</v>
      </c>
      <c r="S299" t="s">
        <v>36</v>
      </c>
      <c r="T299">
        <f t="shared" si="19"/>
        <v>0</v>
      </c>
      <c r="U299">
        <v>0</v>
      </c>
      <c r="V299">
        <v>0</v>
      </c>
      <c r="W299">
        <v>0</v>
      </c>
    </row>
    <row r="300" spans="1:23" x14ac:dyDescent="0.35">
      <c r="A300" s="7" t="s">
        <v>392</v>
      </c>
      <c r="B300" t="s">
        <v>393</v>
      </c>
      <c r="C300" s="1">
        <v>45713</v>
      </c>
      <c r="D300">
        <v>17</v>
      </c>
      <c r="E300" t="str">
        <f t="shared" si="16"/>
        <v>Under25</v>
      </c>
      <c r="F300" t="s">
        <v>91</v>
      </c>
      <c r="G300" t="s">
        <v>27</v>
      </c>
      <c r="H300" t="s">
        <v>28</v>
      </c>
      <c r="I300">
        <v>4</v>
      </c>
      <c r="J300" t="s">
        <v>109</v>
      </c>
      <c r="K300">
        <v>15</v>
      </c>
      <c r="L300" t="str">
        <f t="shared" si="17"/>
        <v>1-2 years</v>
      </c>
      <c r="M300" t="s">
        <v>29</v>
      </c>
      <c r="N300">
        <v>5500</v>
      </c>
      <c r="O300">
        <v>3</v>
      </c>
      <c r="P300">
        <v>16500</v>
      </c>
      <c r="Q300">
        <f t="shared" si="18"/>
        <v>5500</v>
      </c>
      <c r="R300" s="13">
        <v>184.15</v>
      </c>
      <c r="S300" t="s">
        <v>36</v>
      </c>
      <c r="T300">
        <f t="shared" si="19"/>
        <v>0</v>
      </c>
      <c r="U300">
        <v>0</v>
      </c>
      <c r="V300">
        <v>0</v>
      </c>
      <c r="W300">
        <v>0</v>
      </c>
    </row>
    <row r="301" spans="1:23" x14ac:dyDescent="0.35">
      <c r="A301" s="7" t="s">
        <v>394</v>
      </c>
      <c r="B301" t="s">
        <v>395</v>
      </c>
      <c r="C301" s="1">
        <v>45713</v>
      </c>
      <c r="D301">
        <v>34</v>
      </c>
      <c r="E301" t="str">
        <f t="shared" si="16"/>
        <v>25-34</v>
      </c>
      <c r="F301" t="s">
        <v>147</v>
      </c>
      <c r="G301" t="s">
        <v>27</v>
      </c>
      <c r="H301" t="s">
        <v>28</v>
      </c>
      <c r="I301">
        <v>2</v>
      </c>
      <c r="J301" t="s">
        <v>21</v>
      </c>
      <c r="K301">
        <v>22</v>
      </c>
      <c r="L301" t="str">
        <f t="shared" si="17"/>
        <v>1-2 years</v>
      </c>
      <c r="M301" t="s">
        <v>29</v>
      </c>
      <c r="N301">
        <v>5500</v>
      </c>
      <c r="O301">
        <v>15</v>
      </c>
      <c r="P301">
        <v>82500</v>
      </c>
      <c r="Q301">
        <f t="shared" si="18"/>
        <v>5500</v>
      </c>
      <c r="R301" s="13">
        <v>144.54</v>
      </c>
      <c r="S301" t="s">
        <v>36</v>
      </c>
      <c r="T301">
        <f t="shared" si="19"/>
        <v>0</v>
      </c>
      <c r="U301">
        <v>0</v>
      </c>
      <c r="V301">
        <v>0</v>
      </c>
      <c r="W301">
        <v>0</v>
      </c>
    </row>
    <row r="302" spans="1:23" x14ac:dyDescent="0.35">
      <c r="A302" s="7" t="s">
        <v>394</v>
      </c>
      <c r="B302" t="s">
        <v>395</v>
      </c>
      <c r="C302" s="1">
        <v>45713</v>
      </c>
      <c r="D302">
        <v>34</v>
      </c>
      <c r="E302" t="str">
        <f t="shared" si="16"/>
        <v>25-34</v>
      </c>
      <c r="F302" t="s">
        <v>147</v>
      </c>
      <c r="G302" t="s">
        <v>38</v>
      </c>
      <c r="H302" t="s">
        <v>28</v>
      </c>
      <c r="I302">
        <v>2</v>
      </c>
      <c r="J302" t="s">
        <v>21</v>
      </c>
      <c r="K302">
        <v>22</v>
      </c>
      <c r="L302" t="str">
        <f t="shared" si="17"/>
        <v>1-2 years</v>
      </c>
      <c r="M302" t="s">
        <v>62</v>
      </c>
      <c r="N302">
        <v>30000</v>
      </c>
      <c r="O302">
        <v>2</v>
      </c>
      <c r="P302">
        <v>60000</v>
      </c>
      <c r="Q302">
        <f t="shared" si="18"/>
        <v>30000</v>
      </c>
      <c r="R302" s="13">
        <v>13.9</v>
      </c>
      <c r="S302" t="s">
        <v>36</v>
      </c>
      <c r="T302">
        <f t="shared" si="19"/>
        <v>0</v>
      </c>
      <c r="U302">
        <v>0</v>
      </c>
      <c r="V302">
        <v>0</v>
      </c>
      <c r="W302">
        <v>0</v>
      </c>
    </row>
    <row r="303" spans="1:23" x14ac:dyDescent="0.35">
      <c r="A303" s="7" t="s">
        <v>396</v>
      </c>
      <c r="B303" t="s">
        <v>397</v>
      </c>
      <c r="C303" s="1">
        <v>45713</v>
      </c>
      <c r="D303">
        <v>18</v>
      </c>
      <c r="E303" t="str">
        <f t="shared" si="16"/>
        <v>Under25</v>
      </c>
      <c r="F303" t="s">
        <v>152</v>
      </c>
      <c r="G303" t="s">
        <v>19</v>
      </c>
      <c r="H303" t="s">
        <v>20</v>
      </c>
      <c r="I303">
        <v>2</v>
      </c>
      <c r="J303" t="s">
        <v>21</v>
      </c>
      <c r="K303">
        <v>44</v>
      </c>
      <c r="L303" t="str">
        <f t="shared" si="17"/>
        <v>2+years</v>
      </c>
      <c r="M303" t="s">
        <v>43</v>
      </c>
      <c r="N303">
        <v>4500</v>
      </c>
      <c r="O303">
        <v>13</v>
      </c>
      <c r="P303">
        <v>58500</v>
      </c>
      <c r="Q303">
        <f t="shared" si="18"/>
        <v>4500</v>
      </c>
      <c r="R303" s="13">
        <v>46.76</v>
      </c>
      <c r="S303" t="s">
        <v>36</v>
      </c>
      <c r="T303">
        <f t="shared" si="19"/>
        <v>0</v>
      </c>
      <c r="U303">
        <v>0</v>
      </c>
      <c r="V303">
        <v>0</v>
      </c>
      <c r="W303">
        <v>0</v>
      </c>
    </row>
    <row r="304" spans="1:23" x14ac:dyDescent="0.35">
      <c r="A304" s="7" t="s">
        <v>396</v>
      </c>
      <c r="B304" t="s">
        <v>397</v>
      </c>
      <c r="C304" s="1">
        <v>45713</v>
      </c>
      <c r="D304">
        <v>18</v>
      </c>
      <c r="E304" t="str">
        <f t="shared" si="16"/>
        <v>Under25</v>
      </c>
      <c r="F304" t="s">
        <v>152</v>
      </c>
      <c r="G304" t="s">
        <v>27</v>
      </c>
      <c r="H304" t="s">
        <v>20</v>
      </c>
      <c r="I304">
        <v>2</v>
      </c>
      <c r="J304" t="s">
        <v>21</v>
      </c>
      <c r="K304">
        <v>44</v>
      </c>
      <c r="L304" t="str">
        <f t="shared" si="17"/>
        <v>2+years</v>
      </c>
      <c r="M304" t="s">
        <v>159</v>
      </c>
      <c r="N304">
        <v>600</v>
      </c>
      <c r="O304">
        <v>14</v>
      </c>
      <c r="P304">
        <v>8400</v>
      </c>
      <c r="Q304">
        <f t="shared" si="18"/>
        <v>600</v>
      </c>
      <c r="R304" s="13">
        <v>37.68</v>
      </c>
      <c r="S304" t="s">
        <v>36</v>
      </c>
      <c r="T304">
        <f t="shared" si="19"/>
        <v>0</v>
      </c>
      <c r="U304">
        <v>0</v>
      </c>
      <c r="V304">
        <v>0</v>
      </c>
      <c r="W304">
        <v>0</v>
      </c>
    </row>
    <row r="305" spans="1:23" x14ac:dyDescent="0.35">
      <c r="A305" s="7" t="s">
        <v>398</v>
      </c>
      <c r="B305" t="s">
        <v>399</v>
      </c>
      <c r="C305" s="1">
        <v>45741</v>
      </c>
      <c r="D305">
        <v>29</v>
      </c>
      <c r="E305" t="str">
        <f t="shared" si="16"/>
        <v>25-34</v>
      </c>
      <c r="F305" t="s">
        <v>82</v>
      </c>
      <c r="G305" t="s">
        <v>27</v>
      </c>
      <c r="H305" t="s">
        <v>20</v>
      </c>
      <c r="I305">
        <v>2</v>
      </c>
      <c r="J305" t="s">
        <v>21</v>
      </c>
      <c r="K305">
        <v>24</v>
      </c>
      <c r="L305" t="str">
        <f t="shared" si="17"/>
        <v>1-2 years</v>
      </c>
      <c r="M305" t="s">
        <v>53</v>
      </c>
      <c r="N305">
        <v>3500</v>
      </c>
      <c r="O305">
        <v>20</v>
      </c>
      <c r="P305">
        <v>70000</v>
      </c>
      <c r="Q305">
        <f t="shared" si="18"/>
        <v>3500</v>
      </c>
      <c r="R305" s="13">
        <v>119.6</v>
      </c>
      <c r="S305" t="s">
        <v>36</v>
      </c>
      <c r="T305">
        <f t="shared" si="19"/>
        <v>0</v>
      </c>
      <c r="U305">
        <v>0</v>
      </c>
      <c r="V305">
        <v>0</v>
      </c>
      <c r="W305">
        <v>0</v>
      </c>
    </row>
    <row r="306" spans="1:23" x14ac:dyDescent="0.35">
      <c r="A306" s="7" t="s">
        <v>398</v>
      </c>
      <c r="B306" t="s">
        <v>399</v>
      </c>
      <c r="C306" s="1">
        <v>45741</v>
      </c>
      <c r="D306">
        <v>29</v>
      </c>
      <c r="E306" t="str">
        <f t="shared" si="16"/>
        <v>25-34</v>
      </c>
      <c r="F306" t="s">
        <v>82</v>
      </c>
      <c r="G306" t="s">
        <v>33</v>
      </c>
      <c r="H306" t="s">
        <v>20</v>
      </c>
      <c r="I306">
        <v>2</v>
      </c>
      <c r="J306" t="s">
        <v>21</v>
      </c>
      <c r="K306">
        <v>24</v>
      </c>
      <c r="L306" t="str">
        <f t="shared" si="17"/>
        <v>1-2 years</v>
      </c>
      <c r="M306" t="s">
        <v>100</v>
      </c>
      <c r="N306">
        <v>75000</v>
      </c>
      <c r="O306">
        <v>12</v>
      </c>
      <c r="P306">
        <v>900000</v>
      </c>
      <c r="Q306">
        <f t="shared" si="18"/>
        <v>75000</v>
      </c>
      <c r="R306" s="13">
        <v>117.61</v>
      </c>
      <c r="S306" t="s">
        <v>36</v>
      </c>
      <c r="T306">
        <f t="shared" si="19"/>
        <v>0</v>
      </c>
      <c r="U306">
        <v>0</v>
      </c>
      <c r="V306">
        <v>0</v>
      </c>
      <c r="W306">
        <v>0</v>
      </c>
    </row>
    <row r="307" spans="1:23" x14ac:dyDescent="0.35">
      <c r="A307" s="7" t="s">
        <v>400</v>
      </c>
      <c r="B307" t="s">
        <v>401</v>
      </c>
      <c r="C307" s="1">
        <v>45682</v>
      </c>
      <c r="D307">
        <v>74</v>
      </c>
      <c r="E307" t="str">
        <f t="shared" si="16"/>
        <v>55+</v>
      </c>
      <c r="F307" t="s">
        <v>126</v>
      </c>
      <c r="G307" t="s">
        <v>33</v>
      </c>
      <c r="H307" t="s">
        <v>28</v>
      </c>
      <c r="I307">
        <v>2</v>
      </c>
      <c r="J307" t="s">
        <v>21</v>
      </c>
      <c r="K307">
        <v>59</v>
      </c>
      <c r="L307" t="str">
        <f t="shared" si="17"/>
        <v>2+years</v>
      </c>
      <c r="M307" t="s">
        <v>35</v>
      </c>
      <c r="N307">
        <v>20000</v>
      </c>
      <c r="O307">
        <v>5</v>
      </c>
      <c r="P307">
        <v>100000</v>
      </c>
      <c r="Q307">
        <f t="shared" si="18"/>
        <v>20000</v>
      </c>
      <c r="R307" s="13">
        <v>37.020000000000003</v>
      </c>
      <c r="S307" t="s">
        <v>36</v>
      </c>
      <c r="T307">
        <f t="shared" si="19"/>
        <v>0</v>
      </c>
      <c r="U307">
        <v>0</v>
      </c>
      <c r="V307">
        <v>0</v>
      </c>
      <c r="W307">
        <v>0</v>
      </c>
    </row>
    <row r="308" spans="1:23" x14ac:dyDescent="0.35">
      <c r="A308" s="7" t="s">
        <v>402</v>
      </c>
      <c r="B308" t="s">
        <v>403</v>
      </c>
      <c r="C308" s="1">
        <v>45713</v>
      </c>
      <c r="D308">
        <v>65</v>
      </c>
      <c r="E308" t="str">
        <f t="shared" si="16"/>
        <v>55+</v>
      </c>
      <c r="F308" t="s">
        <v>105</v>
      </c>
      <c r="G308" t="s">
        <v>19</v>
      </c>
      <c r="H308" t="s">
        <v>20</v>
      </c>
      <c r="I308">
        <v>4</v>
      </c>
      <c r="J308" t="s">
        <v>109</v>
      </c>
      <c r="K308">
        <v>37</v>
      </c>
      <c r="L308" t="str">
        <f t="shared" si="17"/>
        <v>2+years</v>
      </c>
      <c r="M308" t="s">
        <v>22</v>
      </c>
      <c r="N308">
        <v>35000</v>
      </c>
      <c r="O308">
        <v>6</v>
      </c>
      <c r="P308">
        <v>210000</v>
      </c>
      <c r="Q308">
        <f t="shared" si="18"/>
        <v>35000</v>
      </c>
      <c r="R308" s="13">
        <v>58.12</v>
      </c>
      <c r="S308" t="s">
        <v>23</v>
      </c>
      <c r="T308">
        <f t="shared" si="19"/>
        <v>1</v>
      </c>
      <c r="U308">
        <v>0</v>
      </c>
      <c r="V308">
        <v>0</v>
      </c>
      <c r="W308">
        <v>0</v>
      </c>
    </row>
    <row r="309" spans="1:23" x14ac:dyDescent="0.35">
      <c r="A309" s="7" t="s">
        <v>402</v>
      </c>
      <c r="B309" t="s">
        <v>403</v>
      </c>
      <c r="C309" s="1">
        <v>45713</v>
      </c>
      <c r="D309">
        <v>65</v>
      </c>
      <c r="E309" t="str">
        <f t="shared" si="16"/>
        <v>55+</v>
      </c>
      <c r="F309" t="s">
        <v>105</v>
      </c>
      <c r="G309" t="s">
        <v>33</v>
      </c>
      <c r="H309" t="s">
        <v>20</v>
      </c>
      <c r="I309">
        <v>4</v>
      </c>
      <c r="J309" t="s">
        <v>109</v>
      </c>
      <c r="K309">
        <v>37</v>
      </c>
      <c r="L309" t="str">
        <f t="shared" si="17"/>
        <v>2+years</v>
      </c>
      <c r="M309" t="s">
        <v>110</v>
      </c>
      <c r="N309">
        <v>25000</v>
      </c>
      <c r="O309">
        <v>20</v>
      </c>
      <c r="P309">
        <v>500000</v>
      </c>
      <c r="Q309">
        <f t="shared" si="18"/>
        <v>25000</v>
      </c>
      <c r="R309" s="13">
        <v>168.48</v>
      </c>
      <c r="S309" t="s">
        <v>23</v>
      </c>
      <c r="T309">
        <f t="shared" si="19"/>
        <v>1</v>
      </c>
      <c r="U309">
        <v>0</v>
      </c>
      <c r="V309">
        <v>0</v>
      </c>
      <c r="W309">
        <v>0</v>
      </c>
    </row>
    <row r="310" spans="1:23" x14ac:dyDescent="0.35">
      <c r="A310" s="7" t="s">
        <v>402</v>
      </c>
      <c r="B310" t="s">
        <v>403</v>
      </c>
      <c r="C310" s="1">
        <v>45713</v>
      </c>
      <c r="D310">
        <v>65</v>
      </c>
      <c r="E310" t="str">
        <f t="shared" si="16"/>
        <v>55+</v>
      </c>
      <c r="F310" t="s">
        <v>105</v>
      </c>
      <c r="G310" t="s">
        <v>38</v>
      </c>
      <c r="H310" t="s">
        <v>20</v>
      </c>
      <c r="I310">
        <v>4</v>
      </c>
      <c r="J310" t="s">
        <v>109</v>
      </c>
      <c r="K310">
        <v>37</v>
      </c>
      <c r="L310" t="str">
        <f t="shared" si="17"/>
        <v>2+years</v>
      </c>
      <c r="M310" t="s">
        <v>39</v>
      </c>
      <c r="N310">
        <v>9000</v>
      </c>
      <c r="O310">
        <v>1</v>
      </c>
      <c r="P310">
        <v>9000</v>
      </c>
      <c r="Q310">
        <f t="shared" si="18"/>
        <v>9000</v>
      </c>
      <c r="R310" s="13">
        <v>173.17</v>
      </c>
      <c r="S310" t="s">
        <v>23</v>
      </c>
      <c r="T310">
        <f t="shared" si="19"/>
        <v>1</v>
      </c>
      <c r="U310">
        <v>0</v>
      </c>
      <c r="V310">
        <v>0</v>
      </c>
      <c r="W310">
        <v>0</v>
      </c>
    </row>
    <row r="311" spans="1:23" x14ac:dyDescent="0.35">
      <c r="A311" s="7" t="s">
        <v>404</v>
      </c>
      <c r="B311" t="s">
        <v>405</v>
      </c>
      <c r="C311" s="1">
        <v>45713</v>
      </c>
      <c r="D311">
        <v>33</v>
      </c>
      <c r="E311" t="str">
        <f t="shared" si="16"/>
        <v>25-34</v>
      </c>
      <c r="F311" t="s">
        <v>116</v>
      </c>
      <c r="G311" t="s">
        <v>27</v>
      </c>
      <c r="H311" t="s">
        <v>28</v>
      </c>
      <c r="I311">
        <v>4</v>
      </c>
      <c r="J311" t="s">
        <v>109</v>
      </c>
      <c r="K311">
        <v>36</v>
      </c>
      <c r="L311" t="str">
        <f t="shared" si="17"/>
        <v>2+years</v>
      </c>
      <c r="M311" t="s">
        <v>159</v>
      </c>
      <c r="N311">
        <v>600</v>
      </c>
      <c r="O311">
        <v>1</v>
      </c>
      <c r="P311">
        <v>600</v>
      </c>
      <c r="Q311">
        <f t="shared" si="18"/>
        <v>600</v>
      </c>
      <c r="R311" s="13">
        <v>16.989999999999998</v>
      </c>
      <c r="S311" t="s">
        <v>36</v>
      </c>
      <c r="T311">
        <f t="shared" si="19"/>
        <v>0</v>
      </c>
      <c r="U311">
        <v>0</v>
      </c>
      <c r="V311">
        <v>0</v>
      </c>
      <c r="W311">
        <v>0</v>
      </c>
    </row>
    <row r="312" spans="1:23" x14ac:dyDescent="0.35">
      <c r="A312" s="7" t="s">
        <v>404</v>
      </c>
      <c r="B312" t="s">
        <v>405</v>
      </c>
      <c r="C312" s="1">
        <v>45713</v>
      </c>
      <c r="D312">
        <v>33</v>
      </c>
      <c r="E312" t="str">
        <f t="shared" si="16"/>
        <v>25-34</v>
      </c>
      <c r="F312" t="s">
        <v>116</v>
      </c>
      <c r="G312" t="s">
        <v>19</v>
      </c>
      <c r="H312" t="s">
        <v>28</v>
      </c>
      <c r="I312">
        <v>4</v>
      </c>
      <c r="J312" t="s">
        <v>109</v>
      </c>
      <c r="K312">
        <v>36</v>
      </c>
      <c r="L312" t="str">
        <f t="shared" si="17"/>
        <v>2+years</v>
      </c>
      <c r="M312" t="s">
        <v>43</v>
      </c>
      <c r="N312">
        <v>4500</v>
      </c>
      <c r="O312">
        <v>9</v>
      </c>
      <c r="P312">
        <v>40500</v>
      </c>
      <c r="Q312">
        <f t="shared" si="18"/>
        <v>4500</v>
      </c>
      <c r="R312" s="13">
        <v>58.77</v>
      </c>
      <c r="S312" t="s">
        <v>36</v>
      </c>
      <c r="T312">
        <f t="shared" si="19"/>
        <v>0</v>
      </c>
      <c r="U312">
        <v>0</v>
      </c>
      <c r="V312">
        <v>0</v>
      </c>
      <c r="W312">
        <v>0</v>
      </c>
    </row>
    <row r="313" spans="1:23" x14ac:dyDescent="0.35">
      <c r="A313" s="7" t="s">
        <v>406</v>
      </c>
      <c r="B313" t="s">
        <v>407</v>
      </c>
      <c r="C313" s="1">
        <v>45713</v>
      </c>
      <c r="D313">
        <v>52</v>
      </c>
      <c r="E313" t="str">
        <f t="shared" si="16"/>
        <v>45-54</v>
      </c>
      <c r="F313" t="s">
        <v>26</v>
      </c>
      <c r="G313" t="s">
        <v>38</v>
      </c>
      <c r="H313" t="s">
        <v>28</v>
      </c>
      <c r="I313">
        <v>5</v>
      </c>
      <c r="J313" t="s">
        <v>52</v>
      </c>
      <c r="K313">
        <v>37</v>
      </c>
      <c r="L313" t="str">
        <f t="shared" si="17"/>
        <v>2+years</v>
      </c>
      <c r="M313" t="s">
        <v>59</v>
      </c>
      <c r="N313">
        <v>24000</v>
      </c>
      <c r="O313">
        <v>2</v>
      </c>
      <c r="P313">
        <v>48000</v>
      </c>
      <c r="Q313">
        <f t="shared" si="18"/>
        <v>24000</v>
      </c>
      <c r="R313" s="13">
        <v>164.61</v>
      </c>
      <c r="S313" t="s">
        <v>36</v>
      </c>
      <c r="T313">
        <f t="shared" si="19"/>
        <v>0</v>
      </c>
      <c r="U313">
        <v>0</v>
      </c>
      <c r="V313">
        <v>0</v>
      </c>
      <c r="W313">
        <v>0</v>
      </c>
    </row>
    <row r="314" spans="1:23" x14ac:dyDescent="0.35">
      <c r="A314" s="7" t="s">
        <v>406</v>
      </c>
      <c r="B314" t="s">
        <v>407</v>
      </c>
      <c r="C314" s="1">
        <v>45713</v>
      </c>
      <c r="D314">
        <v>52</v>
      </c>
      <c r="E314" t="str">
        <f t="shared" si="16"/>
        <v>45-54</v>
      </c>
      <c r="F314" t="s">
        <v>26</v>
      </c>
      <c r="G314" t="s">
        <v>19</v>
      </c>
      <c r="H314" t="s">
        <v>28</v>
      </c>
      <c r="I314">
        <v>5</v>
      </c>
      <c r="J314" t="s">
        <v>52</v>
      </c>
      <c r="K314">
        <v>37</v>
      </c>
      <c r="L314" t="str">
        <f t="shared" si="17"/>
        <v>2+years</v>
      </c>
      <c r="M314" t="s">
        <v>22</v>
      </c>
      <c r="N314">
        <v>35000</v>
      </c>
      <c r="O314">
        <v>14</v>
      </c>
      <c r="P314">
        <v>490000</v>
      </c>
      <c r="Q314">
        <f t="shared" si="18"/>
        <v>35000</v>
      </c>
      <c r="R314" s="13">
        <v>109.5</v>
      </c>
      <c r="S314" t="s">
        <v>36</v>
      </c>
      <c r="T314">
        <f t="shared" si="19"/>
        <v>0</v>
      </c>
      <c r="U314">
        <v>0</v>
      </c>
      <c r="V314">
        <v>0</v>
      </c>
      <c r="W314">
        <v>0</v>
      </c>
    </row>
    <row r="315" spans="1:23" x14ac:dyDescent="0.35">
      <c r="A315" s="7" t="s">
        <v>406</v>
      </c>
      <c r="B315" t="s">
        <v>407</v>
      </c>
      <c r="C315" s="1">
        <v>45713</v>
      </c>
      <c r="D315">
        <v>52</v>
      </c>
      <c r="E315" t="str">
        <f t="shared" si="16"/>
        <v>45-54</v>
      </c>
      <c r="F315" t="s">
        <v>26</v>
      </c>
      <c r="G315" t="s">
        <v>33</v>
      </c>
      <c r="H315" t="s">
        <v>28</v>
      </c>
      <c r="I315">
        <v>5</v>
      </c>
      <c r="J315" t="s">
        <v>52</v>
      </c>
      <c r="K315">
        <v>37</v>
      </c>
      <c r="L315" t="str">
        <f t="shared" si="17"/>
        <v>2+years</v>
      </c>
      <c r="M315" t="s">
        <v>35</v>
      </c>
      <c r="N315">
        <v>20000</v>
      </c>
      <c r="O315">
        <v>8</v>
      </c>
      <c r="P315">
        <v>160000</v>
      </c>
      <c r="Q315">
        <f t="shared" si="18"/>
        <v>20000</v>
      </c>
      <c r="R315" s="13">
        <v>147.33000000000001</v>
      </c>
      <c r="S315" t="s">
        <v>36</v>
      </c>
      <c r="T315">
        <f t="shared" si="19"/>
        <v>0</v>
      </c>
      <c r="U315">
        <v>0</v>
      </c>
      <c r="V315">
        <v>0</v>
      </c>
      <c r="W315">
        <v>0</v>
      </c>
    </row>
    <row r="316" spans="1:23" x14ac:dyDescent="0.35">
      <c r="A316" s="7" t="s">
        <v>408</v>
      </c>
      <c r="B316" t="s">
        <v>409</v>
      </c>
      <c r="C316" s="1">
        <v>45682</v>
      </c>
      <c r="D316">
        <v>20</v>
      </c>
      <c r="E316" t="str">
        <f t="shared" si="16"/>
        <v>Under25</v>
      </c>
      <c r="F316" t="s">
        <v>192</v>
      </c>
      <c r="G316" t="s">
        <v>27</v>
      </c>
      <c r="H316" t="s">
        <v>28</v>
      </c>
      <c r="I316">
        <v>4</v>
      </c>
      <c r="J316" t="s">
        <v>109</v>
      </c>
      <c r="K316">
        <v>23</v>
      </c>
      <c r="L316" t="str">
        <f t="shared" si="17"/>
        <v>1-2 years</v>
      </c>
      <c r="M316" t="s">
        <v>43</v>
      </c>
      <c r="N316">
        <v>4500</v>
      </c>
      <c r="O316">
        <v>19</v>
      </c>
      <c r="P316">
        <v>85500</v>
      </c>
      <c r="Q316">
        <f t="shared" si="18"/>
        <v>4500</v>
      </c>
      <c r="R316" s="13">
        <v>162.24</v>
      </c>
      <c r="S316" t="s">
        <v>36</v>
      </c>
      <c r="T316">
        <f t="shared" si="19"/>
        <v>0</v>
      </c>
      <c r="U316">
        <v>0</v>
      </c>
      <c r="V316">
        <v>0</v>
      </c>
      <c r="W316">
        <v>0</v>
      </c>
    </row>
    <row r="317" spans="1:23" x14ac:dyDescent="0.35">
      <c r="A317" s="7" t="s">
        <v>410</v>
      </c>
      <c r="B317" t="s">
        <v>411</v>
      </c>
      <c r="C317" s="1">
        <v>45713</v>
      </c>
      <c r="D317">
        <v>70</v>
      </c>
      <c r="E317" t="str">
        <f t="shared" si="16"/>
        <v>55+</v>
      </c>
      <c r="F317" t="s">
        <v>26</v>
      </c>
      <c r="G317" t="s">
        <v>33</v>
      </c>
      <c r="H317" t="s">
        <v>20</v>
      </c>
      <c r="I317">
        <v>2</v>
      </c>
      <c r="J317" t="s">
        <v>21</v>
      </c>
      <c r="K317">
        <v>51</v>
      </c>
      <c r="L317" t="str">
        <f t="shared" si="17"/>
        <v>2+years</v>
      </c>
      <c r="M317" t="s">
        <v>62</v>
      </c>
      <c r="N317">
        <v>30000</v>
      </c>
      <c r="O317">
        <v>10</v>
      </c>
      <c r="P317">
        <v>300000</v>
      </c>
      <c r="Q317">
        <f t="shared" si="18"/>
        <v>30000</v>
      </c>
      <c r="R317" s="13">
        <v>65.069999999999993</v>
      </c>
      <c r="S317" t="s">
        <v>36</v>
      </c>
      <c r="T317">
        <f t="shared" si="19"/>
        <v>0</v>
      </c>
      <c r="U317">
        <v>0</v>
      </c>
      <c r="V317">
        <v>0</v>
      </c>
      <c r="W317">
        <v>0</v>
      </c>
    </row>
    <row r="318" spans="1:23" x14ac:dyDescent="0.35">
      <c r="A318" s="7" t="s">
        <v>410</v>
      </c>
      <c r="B318" t="s">
        <v>411</v>
      </c>
      <c r="C318" s="1">
        <v>45713</v>
      </c>
      <c r="D318">
        <v>70</v>
      </c>
      <c r="E318" t="str">
        <f t="shared" si="16"/>
        <v>55+</v>
      </c>
      <c r="F318" t="s">
        <v>26</v>
      </c>
      <c r="G318" t="s">
        <v>27</v>
      </c>
      <c r="H318" t="s">
        <v>20</v>
      </c>
      <c r="I318">
        <v>2</v>
      </c>
      <c r="J318" t="s">
        <v>21</v>
      </c>
      <c r="K318">
        <v>51</v>
      </c>
      <c r="L318" t="str">
        <f t="shared" si="17"/>
        <v>2+years</v>
      </c>
      <c r="M318" t="s">
        <v>37</v>
      </c>
      <c r="N318">
        <v>500</v>
      </c>
      <c r="O318">
        <v>17</v>
      </c>
      <c r="P318">
        <v>8500</v>
      </c>
      <c r="Q318">
        <f t="shared" si="18"/>
        <v>500</v>
      </c>
      <c r="R318" s="13">
        <v>114.76</v>
      </c>
      <c r="S318" t="s">
        <v>36</v>
      </c>
      <c r="T318">
        <f t="shared" si="19"/>
        <v>0</v>
      </c>
      <c r="U318">
        <v>0</v>
      </c>
      <c r="V318">
        <v>0</v>
      </c>
      <c r="W318">
        <v>0</v>
      </c>
    </row>
    <row r="319" spans="1:23" x14ac:dyDescent="0.35">
      <c r="A319" s="7" t="s">
        <v>410</v>
      </c>
      <c r="B319" t="s">
        <v>411</v>
      </c>
      <c r="C319" s="1">
        <v>45713</v>
      </c>
      <c r="D319">
        <v>70</v>
      </c>
      <c r="E319" t="str">
        <f t="shared" si="16"/>
        <v>55+</v>
      </c>
      <c r="F319" t="s">
        <v>26</v>
      </c>
      <c r="G319" t="s">
        <v>19</v>
      </c>
      <c r="H319" t="s">
        <v>20</v>
      </c>
      <c r="I319">
        <v>2</v>
      </c>
      <c r="J319" t="s">
        <v>21</v>
      </c>
      <c r="K319">
        <v>51</v>
      </c>
      <c r="L319" t="str">
        <f t="shared" si="17"/>
        <v>2+years</v>
      </c>
      <c r="M319" t="s">
        <v>55</v>
      </c>
      <c r="N319">
        <v>16000</v>
      </c>
      <c r="O319">
        <v>14</v>
      </c>
      <c r="P319">
        <v>224000</v>
      </c>
      <c r="Q319">
        <f t="shared" si="18"/>
        <v>16000</v>
      </c>
      <c r="R319" s="13">
        <v>27.55</v>
      </c>
      <c r="S319" t="s">
        <v>36</v>
      </c>
      <c r="T319">
        <f t="shared" si="19"/>
        <v>0</v>
      </c>
      <c r="U319">
        <v>0</v>
      </c>
      <c r="V319">
        <v>0</v>
      </c>
      <c r="W319">
        <v>0</v>
      </c>
    </row>
    <row r="320" spans="1:23" x14ac:dyDescent="0.35">
      <c r="A320" s="7" t="s">
        <v>412</v>
      </c>
      <c r="B320" t="s">
        <v>413</v>
      </c>
      <c r="C320" s="1">
        <v>45713</v>
      </c>
      <c r="D320">
        <v>51</v>
      </c>
      <c r="E320" t="str">
        <f t="shared" si="16"/>
        <v>45-54</v>
      </c>
      <c r="F320" t="s">
        <v>135</v>
      </c>
      <c r="G320" t="s">
        <v>27</v>
      </c>
      <c r="H320" t="s">
        <v>20</v>
      </c>
      <c r="I320">
        <v>3</v>
      </c>
      <c r="J320" t="s">
        <v>47</v>
      </c>
      <c r="K320">
        <v>16</v>
      </c>
      <c r="L320" t="str">
        <f t="shared" si="17"/>
        <v>1-2 years</v>
      </c>
      <c r="M320" t="s">
        <v>37</v>
      </c>
      <c r="N320">
        <v>500</v>
      </c>
      <c r="O320">
        <v>13</v>
      </c>
      <c r="P320">
        <v>6500</v>
      </c>
      <c r="Q320">
        <f t="shared" si="18"/>
        <v>500</v>
      </c>
      <c r="R320" s="13">
        <v>125.75</v>
      </c>
      <c r="S320" t="s">
        <v>36</v>
      </c>
      <c r="T320">
        <f t="shared" si="19"/>
        <v>0</v>
      </c>
      <c r="U320">
        <v>0</v>
      </c>
      <c r="V320">
        <v>0</v>
      </c>
      <c r="W320">
        <v>0</v>
      </c>
    </row>
    <row r="321" spans="1:23" x14ac:dyDescent="0.35">
      <c r="A321" s="7" t="s">
        <v>412</v>
      </c>
      <c r="B321" t="s">
        <v>413</v>
      </c>
      <c r="C321" s="1">
        <v>45713</v>
      </c>
      <c r="D321">
        <v>51</v>
      </c>
      <c r="E321" t="str">
        <f t="shared" si="16"/>
        <v>45-54</v>
      </c>
      <c r="F321" t="s">
        <v>135</v>
      </c>
      <c r="G321" t="s">
        <v>19</v>
      </c>
      <c r="H321" t="s">
        <v>20</v>
      </c>
      <c r="I321">
        <v>3</v>
      </c>
      <c r="J321" t="s">
        <v>47</v>
      </c>
      <c r="K321">
        <v>16</v>
      </c>
      <c r="L321" t="str">
        <f t="shared" si="17"/>
        <v>1-2 years</v>
      </c>
      <c r="M321" t="s">
        <v>22</v>
      </c>
      <c r="N321">
        <v>35000</v>
      </c>
      <c r="O321">
        <v>3</v>
      </c>
      <c r="P321">
        <v>105000</v>
      </c>
      <c r="Q321">
        <f t="shared" si="18"/>
        <v>35000</v>
      </c>
      <c r="R321" s="13">
        <v>15.57</v>
      </c>
      <c r="S321" t="s">
        <v>36</v>
      </c>
      <c r="T321">
        <f t="shared" si="19"/>
        <v>0</v>
      </c>
      <c r="U321">
        <v>0</v>
      </c>
      <c r="V321">
        <v>0</v>
      </c>
      <c r="W321">
        <v>0</v>
      </c>
    </row>
    <row r="322" spans="1:23" x14ac:dyDescent="0.35">
      <c r="A322" s="7" t="s">
        <v>412</v>
      </c>
      <c r="B322" t="s">
        <v>413</v>
      </c>
      <c r="C322" s="1">
        <v>45713</v>
      </c>
      <c r="D322">
        <v>51</v>
      </c>
      <c r="E322" t="str">
        <f t="shared" si="16"/>
        <v>45-54</v>
      </c>
      <c r="F322" t="s">
        <v>135</v>
      </c>
      <c r="G322" t="s">
        <v>38</v>
      </c>
      <c r="H322" t="s">
        <v>20</v>
      </c>
      <c r="I322">
        <v>3</v>
      </c>
      <c r="J322" t="s">
        <v>47</v>
      </c>
      <c r="K322">
        <v>16</v>
      </c>
      <c r="L322" t="str">
        <f t="shared" si="17"/>
        <v>1-2 years</v>
      </c>
      <c r="M322" t="s">
        <v>68</v>
      </c>
      <c r="N322">
        <v>14500</v>
      </c>
      <c r="O322">
        <v>9</v>
      </c>
      <c r="P322">
        <v>130500</v>
      </c>
      <c r="Q322">
        <f t="shared" si="18"/>
        <v>14500</v>
      </c>
      <c r="R322" s="13">
        <v>103.36</v>
      </c>
      <c r="S322" t="s">
        <v>36</v>
      </c>
      <c r="T322">
        <f t="shared" si="19"/>
        <v>0</v>
      </c>
      <c r="U322">
        <v>0</v>
      </c>
      <c r="V322">
        <v>0</v>
      </c>
      <c r="W322">
        <v>0</v>
      </c>
    </row>
    <row r="323" spans="1:23" x14ac:dyDescent="0.35">
      <c r="A323" s="7" t="s">
        <v>414</v>
      </c>
      <c r="B323" t="s">
        <v>415</v>
      </c>
      <c r="C323" s="1">
        <v>45682</v>
      </c>
      <c r="D323">
        <v>74</v>
      </c>
      <c r="E323" t="str">
        <f t="shared" ref="E323:E386" si="20">IF(D323&lt;25,"Under25",IF(D323&lt;35,"25-34",IF(D323&lt;45,"35-44",IF(D323&lt;55,"45-54","55+"))) )</f>
        <v>55+</v>
      </c>
      <c r="F323" t="s">
        <v>86</v>
      </c>
      <c r="G323" t="s">
        <v>33</v>
      </c>
      <c r="H323" t="s">
        <v>28</v>
      </c>
      <c r="I323">
        <v>1</v>
      </c>
      <c r="J323" t="s">
        <v>34</v>
      </c>
      <c r="K323">
        <v>38</v>
      </c>
      <c r="L323" t="str">
        <f t="shared" ref="L323:L386" si="21">IF(K323&lt;6,"0-5 months",IF(K323&lt;13,"6-12 months",IF(K323&lt;25,"1-2 years","2+years")))</f>
        <v>2+years</v>
      </c>
      <c r="M323" t="s">
        <v>100</v>
      </c>
      <c r="N323">
        <v>75000</v>
      </c>
      <c r="O323">
        <v>14</v>
      </c>
      <c r="P323">
        <v>1050000</v>
      </c>
      <c r="Q323">
        <f t="shared" ref="Q323:Q386" si="22">P323/O323</f>
        <v>75000</v>
      </c>
      <c r="R323" s="13">
        <v>43.96</v>
      </c>
      <c r="S323" t="s">
        <v>36</v>
      </c>
      <c r="T323">
        <f t="shared" ref="T323:T386" si="23">IF(S323="yes",1,0)</f>
        <v>0</v>
      </c>
      <c r="U323">
        <v>0</v>
      </c>
      <c r="V323">
        <v>0</v>
      </c>
      <c r="W323">
        <v>0</v>
      </c>
    </row>
    <row r="324" spans="1:23" x14ac:dyDescent="0.35">
      <c r="A324" s="7" t="s">
        <v>414</v>
      </c>
      <c r="B324" t="s">
        <v>415</v>
      </c>
      <c r="C324" s="1">
        <v>45682</v>
      </c>
      <c r="D324">
        <v>74</v>
      </c>
      <c r="E324" t="str">
        <f t="shared" si="20"/>
        <v>55+</v>
      </c>
      <c r="F324" t="s">
        <v>86</v>
      </c>
      <c r="G324" t="s">
        <v>38</v>
      </c>
      <c r="H324" t="s">
        <v>28</v>
      </c>
      <c r="I324">
        <v>1</v>
      </c>
      <c r="J324" t="s">
        <v>34</v>
      </c>
      <c r="K324">
        <v>38</v>
      </c>
      <c r="L324" t="str">
        <f t="shared" si="21"/>
        <v>2+years</v>
      </c>
      <c r="M324" t="s">
        <v>35</v>
      </c>
      <c r="N324">
        <v>20000</v>
      </c>
      <c r="O324">
        <v>11</v>
      </c>
      <c r="P324">
        <v>220000</v>
      </c>
      <c r="Q324">
        <f t="shared" si="22"/>
        <v>20000</v>
      </c>
      <c r="R324" s="13">
        <v>99.2</v>
      </c>
      <c r="S324" t="s">
        <v>36</v>
      </c>
      <c r="T324">
        <f t="shared" si="23"/>
        <v>0</v>
      </c>
      <c r="U324">
        <v>0</v>
      </c>
      <c r="V324">
        <v>0</v>
      </c>
      <c r="W324">
        <v>0</v>
      </c>
    </row>
    <row r="325" spans="1:23" x14ac:dyDescent="0.35">
      <c r="A325" s="7" t="s">
        <v>416</v>
      </c>
      <c r="B325" t="s">
        <v>417</v>
      </c>
      <c r="C325" s="1">
        <v>45741</v>
      </c>
      <c r="D325">
        <v>59</v>
      </c>
      <c r="E325" t="str">
        <f t="shared" si="20"/>
        <v>55+</v>
      </c>
      <c r="F325" t="s">
        <v>135</v>
      </c>
      <c r="G325" t="s">
        <v>38</v>
      </c>
      <c r="H325" t="s">
        <v>28</v>
      </c>
      <c r="I325">
        <v>1</v>
      </c>
      <c r="J325" t="s">
        <v>34</v>
      </c>
      <c r="K325">
        <v>51</v>
      </c>
      <c r="L325" t="str">
        <f t="shared" si="21"/>
        <v>2+years</v>
      </c>
      <c r="M325" t="s">
        <v>35</v>
      </c>
      <c r="N325">
        <v>20000</v>
      </c>
      <c r="O325">
        <v>1</v>
      </c>
      <c r="P325">
        <v>20000</v>
      </c>
      <c r="Q325">
        <f t="shared" si="22"/>
        <v>20000</v>
      </c>
      <c r="R325" s="13">
        <v>88.54</v>
      </c>
      <c r="S325" t="s">
        <v>23</v>
      </c>
      <c r="T325">
        <f t="shared" si="23"/>
        <v>1</v>
      </c>
      <c r="U325">
        <v>0</v>
      </c>
      <c r="V325">
        <v>0</v>
      </c>
      <c r="W325">
        <v>0</v>
      </c>
    </row>
    <row r="326" spans="1:23" x14ac:dyDescent="0.35">
      <c r="A326" s="7" t="s">
        <v>416</v>
      </c>
      <c r="B326" t="s">
        <v>417</v>
      </c>
      <c r="C326" s="1">
        <v>45741</v>
      </c>
      <c r="D326">
        <v>59</v>
      </c>
      <c r="E326" t="str">
        <f t="shared" si="20"/>
        <v>55+</v>
      </c>
      <c r="F326" t="s">
        <v>135</v>
      </c>
      <c r="G326" t="s">
        <v>27</v>
      </c>
      <c r="H326" t="s">
        <v>28</v>
      </c>
      <c r="I326">
        <v>1</v>
      </c>
      <c r="J326" t="s">
        <v>34</v>
      </c>
      <c r="K326">
        <v>51</v>
      </c>
      <c r="L326" t="str">
        <f t="shared" si="21"/>
        <v>2+years</v>
      </c>
      <c r="M326" t="s">
        <v>83</v>
      </c>
      <c r="N326">
        <v>7500</v>
      </c>
      <c r="O326">
        <v>5</v>
      </c>
      <c r="P326">
        <v>37500</v>
      </c>
      <c r="Q326">
        <f t="shared" si="22"/>
        <v>7500</v>
      </c>
      <c r="R326" s="13">
        <v>40.86</v>
      </c>
      <c r="S326" t="s">
        <v>23</v>
      </c>
      <c r="T326">
        <f t="shared" si="23"/>
        <v>1</v>
      </c>
      <c r="U326">
        <v>0</v>
      </c>
      <c r="V326">
        <v>0</v>
      </c>
      <c r="W326">
        <v>0</v>
      </c>
    </row>
    <row r="327" spans="1:23" x14ac:dyDescent="0.35">
      <c r="A327" s="7" t="s">
        <v>418</v>
      </c>
      <c r="B327" t="s">
        <v>419</v>
      </c>
      <c r="C327" s="1">
        <v>45741</v>
      </c>
      <c r="D327">
        <v>36</v>
      </c>
      <c r="E327" t="str">
        <f t="shared" si="20"/>
        <v>35-44</v>
      </c>
      <c r="F327" t="s">
        <v>186</v>
      </c>
      <c r="G327" t="s">
        <v>19</v>
      </c>
      <c r="H327" t="s">
        <v>20</v>
      </c>
      <c r="I327">
        <v>3</v>
      </c>
      <c r="J327" t="s">
        <v>47</v>
      </c>
      <c r="K327">
        <v>42</v>
      </c>
      <c r="L327" t="str">
        <f t="shared" si="21"/>
        <v>2+years</v>
      </c>
      <c r="M327" t="s">
        <v>48</v>
      </c>
      <c r="N327">
        <v>9000</v>
      </c>
      <c r="O327">
        <v>8</v>
      </c>
      <c r="P327">
        <v>72000</v>
      </c>
      <c r="Q327">
        <f t="shared" si="22"/>
        <v>9000</v>
      </c>
      <c r="R327" s="13">
        <v>145.33000000000001</v>
      </c>
      <c r="S327" t="s">
        <v>23</v>
      </c>
      <c r="T327">
        <f t="shared" si="23"/>
        <v>1</v>
      </c>
      <c r="U327">
        <v>0</v>
      </c>
      <c r="V327">
        <v>0</v>
      </c>
      <c r="W327">
        <v>0</v>
      </c>
    </row>
    <row r="328" spans="1:23" x14ac:dyDescent="0.35">
      <c r="A328" s="7" t="s">
        <v>418</v>
      </c>
      <c r="B328" t="s">
        <v>419</v>
      </c>
      <c r="C328" s="1">
        <v>45741</v>
      </c>
      <c r="D328">
        <v>36</v>
      </c>
      <c r="E328" t="str">
        <f t="shared" si="20"/>
        <v>35-44</v>
      </c>
      <c r="F328" t="s">
        <v>186</v>
      </c>
      <c r="G328" t="s">
        <v>38</v>
      </c>
      <c r="H328" t="s">
        <v>20</v>
      </c>
      <c r="I328">
        <v>3</v>
      </c>
      <c r="J328" t="s">
        <v>47</v>
      </c>
      <c r="K328">
        <v>42</v>
      </c>
      <c r="L328" t="str">
        <f t="shared" si="21"/>
        <v>2+years</v>
      </c>
      <c r="M328" t="s">
        <v>68</v>
      </c>
      <c r="N328">
        <v>14500</v>
      </c>
      <c r="O328">
        <v>4</v>
      </c>
      <c r="P328">
        <v>58000</v>
      </c>
      <c r="Q328">
        <f t="shared" si="22"/>
        <v>14500</v>
      </c>
      <c r="R328" s="13">
        <v>131.27000000000001</v>
      </c>
      <c r="S328" t="s">
        <v>23</v>
      </c>
      <c r="T328">
        <f t="shared" si="23"/>
        <v>1</v>
      </c>
      <c r="U328">
        <v>0</v>
      </c>
      <c r="V328">
        <v>0</v>
      </c>
      <c r="W328">
        <v>0</v>
      </c>
    </row>
    <row r="329" spans="1:23" x14ac:dyDescent="0.35">
      <c r="A329" s="7" t="s">
        <v>418</v>
      </c>
      <c r="B329" t="s">
        <v>419</v>
      </c>
      <c r="C329" s="1">
        <v>45741</v>
      </c>
      <c r="D329">
        <v>36</v>
      </c>
      <c r="E329" t="str">
        <f t="shared" si="20"/>
        <v>35-44</v>
      </c>
      <c r="F329" t="s">
        <v>186</v>
      </c>
      <c r="G329" t="s">
        <v>27</v>
      </c>
      <c r="H329" t="s">
        <v>20</v>
      </c>
      <c r="I329">
        <v>3</v>
      </c>
      <c r="J329" t="s">
        <v>47</v>
      </c>
      <c r="K329">
        <v>42</v>
      </c>
      <c r="L329" t="str">
        <f t="shared" si="21"/>
        <v>2+years</v>
      </c>
      <c r="M329" t="s">
        <v>97</v>
      </c>
      <c r="N329">
        <v>900</v>
      </c>
      <c r="O329">
        <v>3</v>
      </c>
      <c r="P329">
        <v>2700</v>
      </c>
      <c r="Q329">
        <f t="shared" si="22"/>
        <v>900</v>
      </c>
      <c r="R329" s="13">
        <v>43.08</v>
      </c>
      <c r="S329" t="s">
        <v>23</v>
      </c>
      <c r="T329">
        <f t="shared" si="23"/>
        <v>1</v>
      </c>
      <c r="U329">
        <v>0</v>
      </c>
      <c r="V329">
        <v>0</v>
      </c>
      <c r="W329">
        <v>0</v>
      </c>
    </row>
    <row r="330" spans="1:23" x14ac:dyDescent="0.35">
      <c r="A330" s="7" t="s">
        <v>420</v>
      </c>
      <c r="B330" t="s">
        <v>421</v>
      </c>
      <c r="C330" s="1">
        <v>45682</v>
      </c>
      <c r="D330">
        <v>44</v>
      </c>
      <c r="E330" t="str">
        <f t="shared" si="20"/>
        <v>35-44</v>
      </c>
      <c r="F330" t="s">
        <v>72</v>
      </c>
      <c r="G330" t="s">
        <v>19</v>
      </c>
      <c r="H330" t="s">
        <v>28</v>
      </c>
      <c r="I330">
        <v>3</v>
      </c>
      <c r="J330" t="s">
        <v>47</v>
      </c>
      <c r="K330">
        <v>1</v>
      </c>
      <c r="L330" t="str">
        <f t="shared" si="21"/>
        <v>0-5 months</v>
      </c>
      <c r="M330" t="s">
        <v>55</v>
      </c>
      <c r="N330">
        <v>16000</v>
      </c>
      <c r="O330">
        <v>3</v>
      </c>
      <c r="P330">
        <v>48000</v>
      </c>
      <c r="Q330">
        <f t="shared" si="22"/>
        <v>16000</v>
      </c>
      <c r="R330" s="13">
        <v>46.17</v>
      </c>
      <c r="S330" t="s">
        <v>36</v>
      </c>
      <c r="T330">
        <f t="shared" si="23"/>
        <v>0</v>
      </c>
      <c r="U330">
        <v>0</v>
      </c>
      <c r="V330">
        <v>0</v>
      </c>
      <c r="W330">
        <v>0</v>
      </c>
    </row>
    <row r="331" spans="1:23" x14ac:dyDescent="0.35">
      <c r="A331" s="7" t="s">
        <v>420</v>
      </c>
      <c r="B331" t="s">
        <v>421</v>
      </c>
      <c r="C331" s="1">
        <v>45682</v>
      </c>
      <c r="D331">
        <v>44</v>
      </c>
      <c r="E331" t="str">
        <f t="shared" si="20"/>
        <v>35-44</v>
      </c>
      <c r="F331" t="s">
        <v>72</v>
      </c>
      <c r="G331" t="s">
        <v>27</v>
      </c>
      <c r="H331" t="s">
        <v>28</v>
      </c>
      <c r="I331">
        <v>3</v>
      </c>
      <c r="J331" t="s">
        <v>47</v>
      </c>
      <c r="K331">
        <v>1</v>
      </c>
      <c r="L331" t="str">
        <f t="shared" si="21"/>
        <v>0-5 months</v>
      </c>
      <c r="M331" t="s">
        <v>79</v>
      </c>
      <c r="N331">
        <v>1000</v>
      </c>
      <c r="O331">
        <v>12</v>
      </c>
      <c r="P331">
        <v>12000</v>
      </c>
      <c r="Q331">
        <f t="shared" si="22"/>
        <v>1000</v>
      </c>
      <c r="R331" s="13">
        <v>21.09</v>
      </c>
      <c r="S331" t="s">
        <v>36</v>
      </c>
      <c r="T331">
        <f t="shared" si="23"/>
        <v>0</v>
      </c>
      <c r="U331">
        <v>0</v>
      </c>
      <c r="V331">
        <v>0</v>
      </c>
      <c r="W331">
        <v>0</v>
      </c>
    </row>
    <row r="332" spans="1:23" x14ac:dyDescent="0.35">
      <c r="A332" s="7" t="s">
        <v>422</v>
      </c>
      <c r="B332" t="s">
        <v>423</v>
      </c>
      <c r="C332" s="1">
        <v>45713</v>
      </c>
      <c r="D332">
        <v>33</v>
      </c>
      <c r="E332" t="str">
        <f t="shared" si="20"/>
        <v>25-34</v>
      </c>
      <c r="F332" t="s">
        <v>58</v>
      </c>
      <c r="G332" t="s">
        <v>19</v>
      </c>
      <c r="H332" t="s">
        <v>20</v>
      </c>
      <c r="I332">
        <v>1</v>
      </c>
      <c r="J332" t="s">
        <v>34</v>
      </c>
      <c r="K332">
        <v>42</v>
      </c>
      <c r="L332" t="str">
        <f t="shared" si="21"/>
        <v>2+years</v>
      </c>
      <c r="M332" t="s">
        <v>22</v>
      </c>
      <c r="N332">
        <v>35000</v>
      </c>
      <c r="O332">
        <v>7</v>
      </c>
      <c r="P332">
        <v>245000</v>
      </c>
      <c r="Q332">
        <f t="shared" si="22"/>
        <v>35000</v>
      </c>
      <c r="R332" s="13">
        <v>70.56</v>
      </c>
      <c r="S332" t="s">
        <v>36</v>
      </c>
      <c r="T332">
        <f t="shared" si="23"/>
        <v>0</v>
      </c>
      <c r="U332">
        <v>0</v>
      </c>
      <c r="V332">
        <v>0</v>
      </c>
      <c r="W332">
        <v>0</v>
      </c>
    </row>
    <row r="333" spans="1:23" x14ac:dyDescent="0.35">
      <c r="A333" s="7" t="s">
        <v>424</v>
      </c>
      <c r="B333" t="s">
        <v>425</v>
      </c>
      <c r="C333" s="1">
        <v>45682</v>
      </c>
      <c r="D333">
        <v>68</v>
      </c>
      <c r="E333" t="str">
        <f t="shared" si="20"/>
        <v>55+</v>
      </c>
      <c r="F333" t="s">
        <v>192</v>
      </c>
      <c r="G333" t="s">
        <v>27</v>
      </c>
      <c r="H333" t="s">
        <v>20</v>
      </c>
      <c r="I333">
        <v>2</v>
      </c>
      <c r="J333" t="s">
        <v>21</v>
      </c>
      <c r="K333">
        <v>6</v>
      </c>
      <c r="L333" t="str">
        <f t="shared" si="21"/>
        <v>6-12 months</v>
      </c>
      <c r="M333" t="s">
        <v>53</v>
      </c>
      <c r="N333">
        <v>3500</v>
      </c>
      <c r="O333">
        <v>8</v>
      </c>
      <c r="P333">
        <v>28000</v>
      </c>
      <c r="Q333">
        <f t="shared" si="22"/>
        <v>3500</v>
      </c>
      <c r="R333" s="13">
        <v>158.32</v>
      </c>
      <c r="S333" t="s">
        <v>36</v>
      </c>
      <c r="T333">
        <f t="shared" si="23"/>
        <v>0</v>
      </c>
      <c r="U333">
        <v>0</v>
      </c>
      <c r="V333">
        <v>0</v>
      </c>
      <c r="W333">
        <v>0</v>
      </c>
    </row>
    <row r="334" spans="1:23" x14ac:dyDescent="0.35">
      <c r="A334" s="7" t="s">
        <v>424</v>
      </c>
      <c r="B334" t="s">
        <v>425</v>
      </c>
      <c r="C334" s="1">
        <v>45682</v>
      </c>
      <c r="D334">
        <v>68</v>
      </c>
      <c r="E334" t="str">
        <f t="shared" si="20"/>
        <v>55+</v>
      </c>
      <c r="F334" t="s">
        <v>192</v>
      </c>
      <c r="G334" t="s">
        <v>19</v>
      </c>
      <c r="H334" t="s">
        <v>20</v>
      </c>
      <c r="I334">
        <v>2</v>
      </c>
      <c r="J334" t="s">
        <v>21</v>
      </c>
      <c r="K334">
        <v>6</v>
      </c>
      <c r="L334" t="str">
        <f t="shared" si="21"/>
        <v>6-12 months</v>
      </c>
      <c r="M334" t="s">
        <v>48</v>
      </c>
      <c r="N334">
        <v>9000</v>
      </c>
      <c r="O334">
        <v>8</v>
      </c>
      <c r="P334">
        <v>72000</v>
      </c>
      <c r="Q334">
        <f t="shared" si="22"/>
        <v>9000</v>
      </c>
      <c r="R334" s="13">
        <v>129.1</v>
      </c>
      <c r="S334" t="s">
        <v>36</v>
      </c>
      <c r="T334">
        <f t="shared" si="23"/>
        <v>0</v>
      </c>
      <c r="U334">
        <v>0</v>
      </c>
      <c r="V334">
        <v>0</v>
      </c>
      <c r="W334">
        <v>0</v>
      </c>
    </row>
    <row r="335" spans="1:23" x14ac:dyDescent="0.35">
      <c r="A335" s="7" t="s">
        <v>424</v>
      </c>
      <c r="B335" t="s">
        <v>425</v>
      </c>
      <c r="C335" s="1">
        <v>45682</v>
      </c>
      <c r="D335">
        <v>68</v>
      </c>
      <c r="E335" t="str">
        <f t="shared" si="20"/>
        <v>55+</v>
      </c>
      <c r="F335" t="s">
        <v>192</v>
      </c>
      <c r="G335" t="s">
        <v>33</v>
      </c>
      <c r="H335" t="s">
        <v>20</v>
      </c>
      <c r="I335">
        <v>2</v>
      </c>
      <c r="J335" t="s">
        <v>21</v>
      </c>
      <c r="K335">
        <v>6</v>
      </c>
      <c r="L335" t="str">
        <f t="shared" si="21"/>
        <v>6-12 months</v>
      </c>
      <c r="M335" t="s">
        <v>59</v>
      </c>
      <c r="N335">
        <v>24000</v>
      </c>
      <c r="O335">
        <v>1</v>
      </c>
      <c r="P335">
        <v>24000</v>
      </c>
      <c r="Q335">
        <f t="shared" si="22"/>
        <v>24000</v>
      </c>
      <c r="R335" s="13">
        <v>155.9</v>
      </c>
      <c r="S335" t="s">
        <v>36</v>
      </c>
      <c r="T335">
        <f t="shared" si="23"/>
        <v>0</v>
      </c>
      <c r="U335">
        <v>0</v>
      </c>
      <c r="V335">
        <v>0</v>
      </c>
      <c r="W335">
        <v>0</v>
      </c>
    </row>
    <row r="336" spans="1:23" x14ac:dyDescent="0.35">
      <c r="A336" s="7" t="s">
        <v>426</v>
      </c>
      <c r="B336" t="s">
        <v>427</v>
      </c>
      <c r="C336" s="1">
        <v>45713</v>
      </c>
      <c r="D336">
        <v>42</v>
      </c>
      <c r="E336" t="str">
        <f t="shared" si="20"/>
        <v>35-44</v>
      </c>
      <c r="F336" t="s">
        <v>72</v>
      </c>
      <c r="G336" t="s">
        <v>27</v>
      </c>
      <c r="H336" t="s">
        <v>20</v>
      </c>
      <c r="I336">
        <v>3</v>
      </c>
      <c r="J336" t="s">
        <v>47</v>
      </c>
      <c r="K336">
        <v>48</v>
      </c>
      <c r="L336" t="str">
        <f t="shared" si="21"/>
        <v>2+years</v>
      </c>
      <c r="M336" t="s">
        <v>83</v>
      </c>
      <c r="N336">
        <v>7500</v>
      </c>
      <c r="O336">
        <v>16</v>
      </c>
      <c r="P336">
        <v>120000</v>
      </c>
      <c r="Q336">
        <f t="shared" si="22"/>
        <v>7500</v>
      </c>
      <c r="R336" s="13">
        <v>22.99</v>
      </c>
      <c r="S336" t="s">
        <v>36</v>
      </c>
      <c r="T336">
        <f t="shared" si="23"/>
        <v>0</v>
      </c>
      <c r="U336">
        <v>0</v>
      </c>
      <c r="V336">
        <v>0</v>
      </c>
      <c r="W336">
        <v>0</v>
      </c>
    </row>
    <row r="337" spans="1:23" x14ac:dyDescent="0.35">
      <c r="A337" s="7" t="s">
        <v>428</v>
      </c>
      <c r="B337" t="s">
        <v>429</v>
      </c>
      <c r="C337" s="1">
        <v>45713</v>
      </c>
      <c r="D337">
        <v>17</v>
      </c>
      <c r="E337" t="str">
        <f t="shared" si="20"/>
        <v>Under25</v>
      </c>
      <c r="F337" t="s">
        <v>42</v>
      </c>
      <c r="G337" t="s">
        <v>19</v>
      </c>
      <c r="H337" t="s">
        <v>28</v>
      </c>
      <c r="I337">
        <v>5</v>
      </c>
      <c r="J337" t="s">
        <v>52</v>
      </c>
      <c r="K337">
        <v>9</v>
      </c>
      <c r="L337" t="str">
        <f t="shared" si="21"/>
        <v>6-12 months</v>
      </c>
      <c r="M337" t="s">
        <v>43</v>
      </c>
      <c r="N337">
        <v>4500</v>
      </c>
      <c r="O337">
        <v>1</v>
      </c>
      <c r="P337">
        <v>4500</v>
      </c>
      <c r="Q337">
        <f t="shared" si="22"/>
        <v>4500</v>
      </c>
      <c r="R337" s="13">
        <v>117.68</v>
      </c>
      <c r="S337" t="s">
        <v>36</v>
      </c>
      <c r="T337">
        <f t="shared" si="23"/>
        <v>0</v>
      </c>
      <c r="U337">
        <v>0</v>
      </c>
      <c r="V337">
        <v>0</v>
      </c>
      <c r="W337">
        <v>0</v>
      </c>
    </row>
    <row r="338" spans="1:23" x14ac:dyDescent="0.35">
      <c r="A338" s="7" t="s">
        <v>428</v>
      </c>
      <c r="B338" t="s">
        <v>429</v>
      </c>
      <c r="C338" s="1">
        <v>45713</v>
      </c>
      <c r="D338">
        <v>17</v>
      </c>
      <c r="E338" t="str">
        <f t="shared" si="20"/>
        <v>Under25</v>
      </c>
      <c r="F338" t="s">
        <v>42</v>
      </c>
      <c r="G338" t="s">
        <v>27</v>
      </c>
      <c r="H338" t="s">
        <v>28</v>
      </c>
      <c r="I338">
        <v>5</v>
      </c>
      <c r="J338" t="s">
        <v>52</v>
      </c>
      <c r="K338">
        <v>9</v>
      </c>
      <c r="L338" t="str">
        <f t="shared" si="21"/>
        <v>6-12 months</v>
      </c>
      <c r="M338" t="s">
        <v>37</v>
      </c>
      <c r="N338">
        <v>500</v>
      </c>
      <c r="O338">
        <v>2</v>
      </c>
      <c r="P338">
        <v>1000</v>
      </c>
      <c r="Q338">
        <f t="shared" si="22"/>
        <v>500</v>
      </c>
      <c r="R338" s="13">
        <v>43.54</v>
      </c>
      <c r="S338" t="s">
        <v>36</v>
      </c>
      <c r="T338">
        <f t="shared" si="23"/>
        <v>0</v>
      </c>
      <c r="U338">
        <v>0</v>
      </c>
      <c r="V338">
        <v>0</v>
      </c>
      <c r="W338">
        <v>0</v>
      </c>
    </row>
    <row r="339" spans="1:23" x14ac:dyDescent="0.35">
      <c r="A339" s="7" t="s">
        <v>430</v>
      </c>
      <c r="B339" t="s">
        <v>431</v>
      </c>
      <c r="C339" s="1">
        <v>45713</v>
      </c>
      <c r="D339">
        <v>80</v>
      </c>
      <c r="E339" t="str">
        <f t="shared" si="20"/>
        <v>55+</v>
      </c>
      <c r="F339" t="s">
        <v>96</v>
      </c>
      <c r="G339" t="s">
        <v>27</v>
      </c>
      <c r="H339" t="s">
        <v>28</v>
      </c>
      <c r="I339">
        <v>1</v>
      </c>
      <c r="J339" t="s">
        <v>34</v>
      </c>
      <c r="K339">
        <v>28</v>
      </c>
      <c r="L339" t="str">
        <f t="shared" si="21"/>
        <v>2+years</v>
      </c>
      <c r="M339" t="s">
        <v>48</v>
      </c>
      <c r="N339">
        <v>9000</v>
      </c>
      <c r="O339">
        <v>7</v>
      </c>
      <c r="P339">
        <v>63000</v>
      </c>
      <c r="Q339">
        <f t="shared" si="22"/>
        <v>9000</v>
      </c>
      <c r="R339" s="13">
        <v>16.260000000000002</v>
      </c>
      <c r="S339" t="s">
        <v>36</v>
      </c>
      <c r="T339">
        <f t="shared" si="23"/>
        <v>0</v>
      </c>
      <c r="U339">
        <v>0</v>
      </c>
      <c r="V339">
        <v>0</v>
      </c>
      <c r="W339">
        <v>0</v>
      </c>
    </row>
    <row r="340" spans="1:23" x14ac:dyDescent="0.35">
      <c r="A340" s="7" t="s">
        <v>430</v>
      </c>
      <c r="B340" t="s">
        <v>431</v>
      </c>
      <c r="C340" s="1">
        <v>45713</v>
      </c>
      <c r="D340">
        <v>80</v>
      </c>
      <c r="E340" t="str">
        <f t="shared" si="20"/>
        <v>55+</v>
      </c>
      <c r="F340" t="s">
        <v>96</v>
      </c>
      <c r="G340" t="s">
        <v>27</v>
      </c>
      <c r="H340" t="s">
        <v>28</v>
      </c>
      <c r="I340">
        <v>1</v>
      </c>
      <c r="J340" t="s">
        <v>34</v>
      </c>
      <c r="K340">
        <v>28</v>
      </c>
      <c r="L340" t="str">
        <f t="shared" si="21"/>
        <v>2+years</v>
      </c>
      <c r="M340" t="s">
        <v>159</v>
      </c>
      <c r="N340">
        <v>600</v>
      </c>
      <c r="O340">
        <v>13</v>
      </c>
      <c r="P340">
        <v>7800</v>
      </c>
      <c r="Q340">
        <f t="shared" si="22"/>
        <v>600</v>
      </c>
      <c r="R340" s="13">
        <v>107.51</v>
      </c>
      <c r="S340" t="s">
        <v>36</v>
      </c>
      <c r="T340">
        <f t="shared" si="23"/>
        <v>0</v>
      </c>
      <c r="U340">
        <v>0</v>
      </c>
      <c r="V340">
        <v>0</v>
      </c>
      <c r="W340">
        <v>0</v>
      </c>
    </row>
    <row r="341" spans="1:23" x14ac:dyDescent="0.35">
      <c r="A341" s="7" t="s">
        <v>430</v>
      </c>
      <c r="B341" t="s">
        <v>431</v>
      </c>
      <c r="C341" s="1">
        <v>45713</v>
      </c>
      <c r="D341">
        <v>80</v>
      </c>
      <c r="E341" t="str">
        <f t="shared" si="20"/>
        <v>55+</v>
      </c>
      <c r="F341" t="s">
        <v>96</v>
      </c>
      <c r="G341" t="s">
        <v>38</v>
      </c>
      <c r="H341" t="s">
        <v>28</v>
      </c>
      <c r="I341">
        <v>1</v>
      </c>
      <c r="J341" t="s">
        <v>34</v>
      </c>
      <c r="K341">
        <v>28</v>
      </c>
      <c r="L341" t="str">
        <f t="shared" si="21"/>
        <v>2+years</v>
      </c>
      <c r="M341" t="s">
        <v>59</v>
      </c>
      <c r="N341">
        <v>24000</v>
      </c>
      <c r="O341">
        <v>3</v>
      </c>
      <c r="P341">
        <v>72000</v>
      </c>
      <c r="Q341">
        <f t="shared" si="22"/>
        <v>24000</v>
      </c>
      <c r="R341" s="13">
        <v>127.04</v>
      </c>
      <c r="S341" t="s">
        <v>36</v>
      </c>
      <c r="T341">
        <f t="shared" si="23"/>
        <v>0</v>
      </c>
      <c r="U341">
        <v>0</v>
      </c>
      <c r="V341">
        <v>0</v>
      </c>
      <c r="W341">
        <v>0</v>
      </c>
    </row>
    <row r="342" spans="1:23" x14ac:dyDescent="0.35">
      <c r="A342" s="7" t="s">
        <v>432</v>
      </c>
      <c r="B342" t="s">
        <v>433</v>
      </c>
      <c r="C342" s="1">
        <v>45682</v>
      </c>
      <c r="D342">
        <v>71</v>
      </c>
      <c r="E342" t="str">
        <f t="shared" si="20"/>
        <v>55+</v>
      </c>
      <c r="F342" t="s">
        <v>67</v>
      </c>
      <c r="G342" t="s">
        <v>38</v>
      </c>
      <c r="H342" t="s">
        <v>20</v>
      </c>
      <c r="I342">
        <v>4</v>
      </c>
      <c r="J342" t="s">
        <v>109</v>
      </c>
      <c r="K342">
        <v>16</v>
      </c>
      <c r="L342" t="str">
        <f t="shared" si="21"/>
        <v>1-2 years</v>
      </c>
      <c r="M342" t="s">
        <v>39</v>
      </c>
      <c r="N342">
        <v>9000</v>
      </c>
      <c r="O342">
        <v>5</v>
      </c>
      <c r="P342">
        <v>45000</v>
      </c>
      <c r="Q342">
        <f t="shared" si="22"/>
        <v>9000</v>
      </c>
      <c r="R342" s="13">
        <v>3.03</v>
      </c>
      <c r="S342" t="s">
        <v>23</v>
      </c>
      <c r="T342">
        <f t="shared" si="23"/>
        <v>1</v>
      </c>
      <c r="U342">
        <v>0</v>
      </c>
      <c r="V342">
        <v>0</v>
      </c>
      <c r="W342">
        <v>0</v>
      </c>
    </row>
    <row r="343" spans="1:23" x14ac:dyDescent="0.35">
      <c r="A343" s="7" t="s">
        <v>432</v>
      </c>
      <c r="B343" t="s">
        <v>433</v>
      </c>
      <c r="C343" s="1">
        <v>45682</v>
      </c>
      <c r="D343">
        <v>71</v>
      </c>
      <c r="E343" t="str">
        <f t="shared" si="20"/>
        <v>55+</v>
      </c>
      <c r="F343" t="s">
        <v>67</v>
      </c>
      <c r="G343" t="s">
        <v>19</v>
      </c>
      <c r="H343" t="s">
        <v>20</v>
      </c>
      <c r="I343">
        <v>4</v>
      </c>
      <c r="J343" t="s">
        <v>109</v>
      </c>
      <c r="K343">
        <v>16</v>
      </c>
      <c r="L343" t="str">
        <f t="shared" si="21"/>
        <v>1-2 years</v>
      </c>
      <c r="M343" t="s">
        <v>55</v>
      </c>
      <c r="N343">
        <v>16000</v>
      </c>
      <c r="O343">
        <v>12</v>
      </c>
      <c r="P343">
        <v>192000</v>
      </c>
      <c r="Q343">
        <f t="shared" si="22"/>
        <v>16000</v>
      </c>
      <c r="R343" s="13">
        <v>33.18</v>
      </c>
      <c r="S343" t="s">
        <v>23</v>
      </c>
      <c r="T343">
        <f t="shared" si="23"/>
        <v>1</v>
      </c>
      <c r="U343">
        <v>0</v>
      </c>
      <c r="V343">
        <v>0</v>
      </c>
      <c r="W343">
        <v>0</v>
      </c>
    </row>
    <row r="344" spans="1:23" x14ac:dyDescent="0.35">
      <c r="A344" s="7" t="s">
        <v>432</v>
      </c>
      <c r="B344" t="s">
        <v>433</v>
      </c>
      <c r="C344" s="1">
        <v>45682</v>
      </c>
      <c r="D344">
        <v>71</v>
      </c>
      <c r="E344" t="str">
        <f t="shared" si="20"/>
        <v>55+</v>
      </c>
      <c r="F344" t="s">
        <v>67</v>
      </c>
      <c r="G344" t="s">
        <v>27</v>
      </c>
      <c r="H344" t="s">
        <v>20</v>
      </c>
      <c r="I344">
        <v>4</v>
      </c>
      <c r="J344" t="s">
        <v>109</v>
      </c>
      <c r="K344">
        <v>16</v>
      </c>
      <c r="L344" t="str">
        <f t="shared" si="21"/>
        <v>1-2 years</v>
      </c>
      <c r="M344" t="s">
        <v>187</v>
      </c>
      <c r="N344">
        <v>6500</v>
      </c>
      <c r="O344">
        <v>9</v>
      </c>
      <c r="P344">
        <v>58500</v>
      </c>
      <c r="Q344">
        <f t="shared" si="22"/>
        <v>6500</v>
      </c>
      <c r="R344" s="13">
        <v>103.69</v>
      </c>
      <c r="S344" t="s">
        <v>23</v>
      </c>
      <c r="T344">
        <f t="shared" si="23"/>
        <v>1</v>
      </c>
      <c r="U344">
        <v>0</v>
      </c>
      <c r="V344">
        <v>0</v>
      </c>
      <c r="W344">
        <v>0</v>
      </c>
    </row>
    <row r="345" spans="1:23" x14ac:dyDescent="0.35">
      <c r="A345" s="7" t="s">
        <v>434</v>
      </c>
      <c r="B345" t="s">
        <v>435</v>
      </c>
      <c r="C345" s="1">
        <v>45682</v>
      </c>
      <c r="D345">
        <v>63</v>
      </c>
      <c r="E345" t="str">
        <f t="shared" si="20"/>
        <v>55+</v>
      </c>
      <c r="F345" t="s">
        <v>135</v>
      </c>
      <c r="G345" t="s">
        <v>33</v>
      </c>
      <c r="H345" t="s">
        <v>28</v>
      </c>
      <c r="I345">
        <v>1</v>
      </c>
      <c r="J345" t="s">
        <v>34</v>
      </c>
      <c r="K345">
        <v>47</v>
      </c>
      <c r="L345" t="str">
        <f t="shared" si="21"/>
        <v>2+years</v>
      </c>
      <c r="M345" t="s">
        <v>35</v>
      </c>
      <c r="N345">
        <v>20000</v>
      </c>
      <c r="O345">
        <v>19</v>
      </c>
      <c r="P345">
        <v>380000</v>
      </c>
      <c r="Q345">
        <f t="shared" si="22"/>
        <v>20000</v>
      </c>
      <c r="R345" s="13">
        <v>52.96</v>
      </c>
      <c r="S345" t="s">
        <v>36</v>
      </c>
      <c r="T345">
        <f t="shared" si="23"/>
        <v>0</v>
      </c>
      <c r="U345">
        <v>0</v>
      </c>
      <c r="V345">
        <v>0</v>
      </c>
      <c r="W345">
        <v>0</v>
      </c>
    </row>
    <row r="346" spans="1:23" x14ac:dyDescent="0.35">
      <c r="A346" s="7" t="s">
        <v>434</v>
      </c>
      <c r="B346" t="s">
        <v>435</v>
      </c>
      <c r="C346" s="1">
        <v>45682</v>
      </c>
      <c r="D346">
        <v>63</v>
      </c>
      <c r="E346" t="str">
        <f t="shared" si="20"/>
        <v>55+</v>
      </c>
      <c r="F346" t="s">
        <v>135</v>
      </c>
      <c r="G346" t="s">
        <v>27</v>
      </c>
      <c r="H346" t="s">
        <v>28</v>
      </c>
      <c r="I346">
        <v>1</v>
      </c>
      <c r="J346" t="s">
        <v>34</v>
      </c>
      <c r="K346">
        <v>47</v>
      </c>
      <c r="L346" t="str">
        <f t="shared" si="21"/>
        <v>2+years</v>
      </c>
      <c r="M346" t="s">
        <v>79</v>
      </c>
      <c r="N346">
        <v>1000</v>
      </c>
      <c r="O346">
        <v>17</v>
      </c>
      <c r="P346">
        <v>17000</v>
      </c>
      <c r="Q346">
        <f t="shared" si="22"/>
        <v>1000</v>
      </c>
      <c r="R346" s="13">
        <v>99.48</v>
      </c>
      <c r="S346" t="s">
        <v>36</v>
      </c>
      <c r="T346">
        <f t="shared" si="23"/>
        <v>0</v>
      </c>
      <c r="U346">
        <v>0</v>
      </c>
      <c r="V346">
        <v>0</v>
      </c>
      <c r="W346">
        <v>0</v>
      </c>
    </row>
    <row r="347" spans="1:23" x14ac:dyDescent="0.35">
      <c r="A347" s="7" t="s">
        <v>436</v>
      </c>
      <c r="B347" t="s">
        <v>437</v>
      </c>
      <c r="C347" s="1">
        <v>45713</v>
      </c>
      <c r="D347">
        <v>23</v>
      </c>
      <c r="E347" t="str">
        <f t="shared" si="20"/>
        <v>Under25</v>
      </c>
      <c r="F347" t="s">
        <v>86</v>
      </c>
      <c r="G347" t="s">
        <v>38</v>
      </c>
      <c r="H347" t="s">
        <v>20</v>
      </c>
      <c r="I347">
        <v>3</v>
      </c>
      <c r="J347" t="s">
        <v>47</v>
      </c>
      <c r="K347">
        <v>24</v>
      </c>
      <c r="L347" t="str">
        <f t="shared" si="21"/>
        <v>1-2 years</v>
      </c>
      <c r="M347" t="s">
        <v>39</v>
      </c>
      <c r="N347">
        <v>9000</v>
      </c>
      <c r="O347">
        <v>1</v>
      </c>
      <c r="P347">
        <v>9000</v>
      </c>
      <c r="Q347">
        <f t="shared" si="22"/>
        <v>9000</v>
      </c>
      <c r="R347" s="13">
        <v>171.81</v>
      </c>
      <c r="S347" t="s">
        <v>36</v>
      </c>
      <c r="T347">
        <f t="shared" si="23"/>
        <v>0</v>
      </c>
      <c r="U347">
        <v>0</v>
      </c>
      <c r="V347">
        <v>0</v>
      </c>
      <c r="W347">
        <v>0</v>
      </c>
    </row>
    <row r="348" spans="1:23" x14ac:dyDescent="0.35">
      <c r="A348" s="7" t="s">
        <v>436</v>
      </c>
      <c r="B348" t="s">
        <v>437</v>
      </c>
      <c r="C348" s="1">
        <v>45713</v>
      </c>
      <c r="D348">
        <v>23</v>
      </c>
      <c r="E348" t="str">
        <f t="shared" si="20"/>
        <v>Under25</v>
      </c>
      <c r="F348" t="s">
        <v>86</v>
      </c>
      <c r="G348" t="s">
        <v>27</v>
      </c>
      <c r="H348" t="s">
        <v>20</v>
      </c>
      <c r="I348">
        <v>3</v>
      </c>
      <c r="J348" t="s">
        <v>47</v>
      </c>
      <c r="K348">
        <v>24</v>
      </c>
      <c r="L348" t="str">
        <f t="shared" si="21"/>
        <v>1-2 years</v>
      </c>
      <c r="M348" t="s">
        <v>69</v>
      </c>
      <c r="N348">
        <v>350</v>
      </c>
      <c r="O348">
        <v>12</v>
      </c>
      <c r="P348">
        <v>4200</v>
      </c>
      <c r="Q348">
        <f t="shared" si="22"/>
        <v>350</v>
      </c>
      <c r="R348" s="13">
        <v>9.67</v>
      </c>
      <c r="S348" t="s">
        <v>36</v>
      </c>
      <c r="T348">
        <f t="shared" si="23"/>
        <v>0</v>
      </c>
      <c r="U348">
        <v>0</v>
      </c>
      <c r="V348">
        <v>0</v>
      </c>
      <c r="W348">
        <v>0</v>
      </c>
    </row>
    <row r="349" spans="1:23" x14ac:dyDescent="0.35">
      <c r="A349" s="7" t="s">
        <v>436</v>
      </c>
      <c r="B349" t="s">
        <v>437</v>
      </c>
      <c r="C349" s="1">
        <v>45713</v>
      </c>
      <c r="D349">
        <v>23</v>
      </c>
      <c r="E349" t="str">
        <f t="shared" si="20"/>
        <v>Under25</v>
      </c>
      <c r="F349" t="s">
        <v>86</v>
      </c>
      <c r="G349" t="s">
        <v>33</v>
      </c>
      <c r="H349" t="s">
        <v>20</v>
      </c>
      <c r="I349">
        <v>3</v>
      </c>
      <c r="J349" t="s">
        <v>47</v>
      </c>
      <c r="K349">
        <v>24</v>
      </c>
      <c r="L349" t="str">
        <f t="shared" si="21"/>
        <v>1-2 years</v>
      </c>
      <c r="M349" t="s">
        <v>100</v>
      </c>
      <c r="N349">
        <v>75000</v>
      </c>
      <c r="O349">
        <v>6</v>
      </c>
      <c r="P349">
        <v>450000</v>
      </c>
      <c r="Q349">
        <f t="shared" si="22"/>
        <v>75000</v>
      </c>
      <c r="R349" s="13">
        <v>184.09</v>
      </c>
      <c r="S349" t="s">
        <v>36</v>
      </c>
      <c r="T349">
        <f t="shared" si="23"/>
        <v>0</v>
      </c>
      <c r="U349">
        <v>0</v>
      </c>
      <c r="V349">
        <v>0</v>
      </c>
      <c r="W349">
        <v>0</v>
      </c>
    </row>
    <row r="350" spans="1:23" x14ac:dyDescent="0.35">
      <c r="A350" s="7" t="s">
        <v>438</v>
      </c>
      <c r="B350" t="s">
        <v>439</v>
      </c>
      <c r="C350" s="1">
        <v>45713</v>
      </c>
      <c r="D350">
        <v>69</v>
      </c>
      <c r="E350" t="str">
        <f t="shared" si="20"/>
        <v>55+</v>
      </c>
      <c r="F350" t="s">
        <v>108</v>
      </c>
      <c r="G350" t="s">
        <v>33</v>
      </c>
      <c r="H350" t="s">
        <v>28</v>
      </c>
      <c r="I350">
        <v>3</v>
      </c>
      <c r="J350" t="s">
        <v>47</v>
      </c>
      <c r="K350">
        <v>16</v>
      </c>
      <c r="L350" t="str">
        <f t="shared" si="21"/>
        <v>1-2 years</v>
      </c>
      <c r="M350" t="s">
        <v>62</v>
      </c>
      <c r="N350">
        <v>30000</v>
      </c>
      <c r="O350">
        <v>17</v>
      </c>
      <c r="P350">
        <v>510000</v>
      </c>
      <c r="Q350">
        <f t="shared" si="22"/>
        <v>30000</v>
      </c>
      <c r="R350" s="13">
        <v>45.03</v>
      </c>
      <c r="S350" t="s">
        <v>23</v>
      </c>
      <c r="T350">
        <f t="shared" si="23"/>
        <v>1</v>
      </c>
      <c r="U350">
        <v>0</v>
      </c>
      <c r="V350">
        <v>0</v>
      </c>
      <c r="W350">
        <v>0</v>
      </c>
    </row>
    <row r="351" spans="1:23" x14ac:dyDescent="0.35">
      <c r="A351" s="7" t="s">
        <v>438</v>
      </c>
      <c r="B351" t="s">
        <v>439</v>
      </c>
      <c r="C351" s="1">
        <v>45713</v>
      </c>
      <c r="D351">
        <v>69</v>
      </c>
      <c r="E351" t="str">
        <f t="shared" si="20"/>
        <v>55+</v>
      </c>
      <c r="F351" t="s">
        <v>108</v>
      </c>
      <c r="G351" t="s">
        <v>38</v>
      </c>
      <c r="H351" t="s">
        <v>28</v>
      </c>
      <c r="I351">
        <v>3</v>
      </c>
      <c r="J351" t="s">
        <v>47</v>
      </c>
      <c r="K351">
        <v>16</v>
      </c>
      <c r="L351" t="str">
        <f t="shared" si="21"/>
        <v>1-2 years</v>
      </c>
      <c r="M351" t="s">
        <v>39</v>
      </c>
      <c r="N351">
        <v>9000</v>
      </c>
      <c r="O351">
        <v>3</v>
      </c>
      <c r="P351">
        <v>27000</v>
      </c>
      <c r="Q351">
        <f t="shared" si="22"/>
        <v>9000</v>
      </c>
      <c r="R351" s="13">
        <v>190.84</v>
      </c>
      <c r="S351" t="s">
        <v>23</v>
      </c>
      <c r="T351">
        <f t="shared" si="23"/>
        <v>1</v>
      </c>
      <c r="U351">
        <v>0</v>
      </c>
      <c r="V351">
        <v>0</v>
      </c>
      <c r="W351">
        <v>0</v>
      </c>
    </row>
    <row r="352" spans="1:23" x14ac:dyDescent="0.35">
      <c r="A352" s="7" t="s">
        <v>438</v>
      </c>
      <c r="B352" t="s">
        <v>439</v>
      </c>
      <c r="C352" s="1">
        <v>45713</v>
      </c>
      <c r="D352">
        <v>69</v>
      </c>
      <c r="E352" t="str">
        <f t="shared" si="20"/>
        <v>55+</v>
      </c>
      <c r="F352" t="s">
        <v>108</v>
      </c>
      <c r="G352" t="s">
        <v>27</v>
      </c>
      <c r="H352" t="s">
        <v>28</v>
      </c>
      <c r="I352">
        <v>3</v>
      </c>
      <c r="J352" t="s">
        <v>47</v>
      </c>
      <c r="K352">
        <v>16</v>
      </c>
      <c r="L352" t="str">
        <f t="shared" si="21"/>
        <v>1-2 years</v>
      </c>
      <c r="M352" t="s">
        <v>29</v>
      </c>
      <c r="N352">
        <v>5500</v>
      </c>
      <c r="O352">
        <v>10</v>
      </c>
      <c r="P352">
        <v>55000</v>
      </c>
      <c r="Q352">
        <f t="shared" si="22"/>
        <v>5500</v>
      </c>
      <c r="R352" s="13">
        <v>173.27</v>
      </c>
      <c r="S352" t="s">
        <v>23</v>
      </c>
      <c r="T352">
        <f t="shared" si="23"/>
        <v>1</v>
      </c>
      <c r="U352">
        <v>0</v>
      </c>
      <c r="V352">
        <v>0</v>
      </c>
      <c r="W352">
        <v>0</v>
      </c>
    </row>
    <row r="353" spans="1:23" x14ac:dyDescent="0.35">
      <c r="A353" s="7" t="s">
        <v>440</v>
      </c>
      <c r="B353" t="s">
        <v>441</v>
      </c>
      <c r="C353" s="1">
        <v>45713</v>
      </c>
      <c r="D353">
        <v>27</v>
      </c>
      <c r="E353" t="str">
        <f t="shared" si="20"/>
        <v>25-34</v>
      </c>
      <c r="F353" t="s">
        <v>32</v>
      </c>
      <c r="G353" t="s">
        <v>27</v>
      </c>
      <c r="H353" t="s">
        <v>20</v>
      </c>
      <c r="I353">
        <v>3</v>
      </c>
      <c r="J353" t="s">
        <v>47</v>
      </c>
      <c r="K353">
        <v>24</v>
      </c>
      <c r="L353" t="str">
        <f t="shared" si="21"/>
        <v>1-2 years</v>
      </c>
      <c r="M353" t="s">
        <v>48</v>
      </c>
      <c r="N353">
        <v>9000</v>
      </c>
      <c r="O353">
        <v>16</v>
      </c>
      <c r="P353">
        <v>144000</v>
      </c>
      <c r="Q353">
        <f t="shared" si="22"/>
        <v>9000</v>
      </c>
      <c r="R353" s="13">
        <v>118.54</v>
      </c>
      <c r="S353" t="s">
        <v>36</v>
      </c>
      <c r="T353">
        <f t="shared" si="23"/>
        <v>0</v>
      </c>
      <c r="U353">
        <v>0</v>
      </c>
      <c r="V353">
        <v>0</v>
      </c>
      <c r="W353">
        <v>0</v>
      </c>
    </row>
    <row r="354" spans="1:23" x14ac:dyDescent="0.35">
      <c r="A354" s="7" t="s">
        <v>440</v>
      </c>
      <c r="B354" t="s">
        <v>441</v>
      </c>
      <c r="C354" s="1">
        <v>45713</v>
      </c>
      <c r="D354">
        <v>27</v>
      </c>
      <c r="E354" t="str">
        <f t="shared" si="20"/>
        <v>25-34</v>
      </c>
      <c r="F354" t="s">
        <v>32</v>
      </c>
      <c r="G354" t="s">
        <v>27</v>
      </c>
      <c r="H354" t="s">
        <v>20</v>
      </c>
      <c r="I354">
        <v>3</v>
      </c>
      <c r="J354" t="s">
        <v>47</v>
      </c>
      <c r="K354">
        <v>24</v>
      </c>
      <c r="L354" t="str">
        <f t="shared" si="21"/>
        <v>1-2 years</v>
      </c>
      <c r="M354" t="s">
        <v>69</v>
      </c>
      <c r="N354">
        <v>350</v>
      </c>
      <c r="O354">
        <v>18</v>
      </c>
      <c r="P354">
        <v>6300</v>
      </c>
      <c r="Q354">
        <f t="shared" si="22"/>
        <v>350</v>
      </c>
      <c r="R354" s="13">
        <v>146.63</v>
      </c>
      <c r="S354" t="s">
        <v>36</v>
      </c>
      <c r="T354">
        <f t="shared" si="23"/>
        <v>0</v>
      </c>
      <c r="U354">
        <v>0</v>
      </c>
      <c r="V354">
        <v>0</v>
      </c>
      <c r="W354">
        <v>0</v>
      </c>
    </row>
    <row r="355" spans="1:23" x14ac:dyDescent="0.35">
      <c r="A355" s="7" t="s">
        <v>442</v>
      </c>
      <c r="B355" t="s">
        <v>443</v>
      </c>
      <c r="C355" s="1">
        <v>45713</v>
      </c>
      <c r="D355">
        <v>35</v>
      </c>
      <c r="E355" t="str">
        <f t="shared" si="20"/>
        <v>35-44</v>
      </c>
      <c r="F355" t="s">
        <v>444</v>
      </c>
      <c r="G355" t="s">
        <v>38</v>
      </c>
      <c r="H355" t="s">
        <v>28</v>
      </c>
      <c r="I355">
        <v>5</v>
      </c>
      <c r="J355" t="s">
        <v>52</v>
      </c>
      <c r="K355">
        <v>2</v>
      </c>
      <c r="L355" t="str">
        <f t="shared" si="21"/>
        <v>0-5 months</v>
      </c>
      <c r="M355" t="s">
        <v>68</v>
      </c>
      <c r="N355">
        <v>14500</v>
      </c>
      <c r="O355">
        <v>10</v>
      </c>
      <c r="P355">
        <v>145000</v>
      </c>
      <c r="Q355">
        <f t="shared" si="22"/>
        <v>14500</v>
      </c>
      <c r="R355" s="13">
        <v>169.88</v>
      </c>
      <c r="S355" t="s">
        <v>36</v>
      </c>
      <c r="T355">
        <f t="shared" si="23"/>
        <v>0</v>
      </c>
      <c r="U355">
        <v>0</v>
      </c>
      <c r="V355">
        <v>0</v>
      </c>
      <c r="W355">
        <v>0</v>
      </c>
    </row>
    <row r="356" spans="1:23" x14ac:dyDescent="0.35">
      <c r="A356" s="7" t="s">
        <v>442</v>
      </c>
      <c r="B356" t="s">
        <v>443</v>
      </c>
      <c r="C356" s="1">
        <v>45713</v>
      </c>
      <c r="D356">
        <v>35</v>
      </c>
      <c r="E356" t="str">
        <f t="shared" si="20"/>
        <v>35-44</v>
      </c>
      <c r="F356" t="s">
        <v>444</v>
      </c>
      <c r="G356" t="s">
        <v>19</v>
      </c>
      <c r="H356" t="s">
        <v>28</v>
      </c>
      <c r="I356">
        <v>5</v>
      </c>
      <c r="J356" t="s">
        <v>52</v>
      </c>
      <c r="K356">
        <v>2</v>
      </c>
      <c r="L356" t="str">
        <f t="shared" si="21"/>
        <v>0-5 months</v>
      </c>
      <c r="M356" t="s">
        <v>55</v>
      </c>
      <c r="N356">
        <v>16000</v>
      </c>
      <c r="O356">
        <v>8</v>
      </c>
      <c r="P356">
        <v>128000</v>
      </c>
      <c r="Q356">
        <f t="shared" si="22"/>
        <v>16000</v>
      </c>
      <c r="R356" s="13">
        <v>41.44</v>
      </c>
      <c r="S356" t="s">
        <v>36</v>
      </c>
      <c r="T356">
        <f t="shared" si="23"/>
        <v>0</v>
      </c>
      <c r="U356">
        <v>0</v>
      </c>
      <c r="V356">
        <v>0</v>
      </c>
      <c r="W356">
        <v>0</v>
      </c>
    </row>
    <row r="357" spans="1:23" x14ac:dyDescent="0.35">
      <c r="A357" s="7" t="s">
        <v>442</v>
      </c>
      <c r="B357" t="s">
        <v>443</v>
      </c>
      <c r="C357" s="1">
        <v>45713</v>
      </c>
      <c r="D357">
        <v>35</v>
      </c>
      <c r="E357" t="str">
        <f t="shared" si="20"/>
        <v>35-44</v>
      </c>
      <c r="F357" t="s">
        <v>444</v>
      </c>
      <c r="G357" t="s">
        <v>27</v>
      </c>
      <c r="H357" t="s">
        <v>28</v>
      </c>
      <c r="I357">
        <v>5</v>
      </c>
      <c r="J357" t="s">
        <v>52</v>
      </c>
      <c r="K357">
        <v>2</v>
      </c>
      <c r="L357" t="str">
        <f t="shared" si="21"/>
        <v>0-5 months</v>
      </c>
      <c r="M357" t="s">
        <v>83</v>
      </c>
      <c r="N357">
        <v>7500</v>
      </c>
      <c r="O357">
        <v>2</v>
      </c>
      <c r="P357">
        <v>15000</v>
      </c>
      <c r="Q357">
        <f t="shared" si="22"/>
        <v>7500</v>
      </c>
      <c r="R357" s="13">
        <v>98.66</v>
      </c>
      <c r="S357" t="s">
        <v>36</v>
      </c>
      <c r="T357">
        <f t="shared" si="23"/>
        <v>0</v>
      </c>
      <c r="U357">
        <v>0</v>
      </c>
      <c r="V357">
        <v>0</v>
      </c>
      <c r="W357">
        <v>0</v>
      </c>
    </row>
    <row r="358" spans="1:23" x14ac:dyDescent="0.35">
      <c r="A358" s="7" t="s">
        <v>445</v>
      </c>
      <c r="B358" t="s">
        <v>446</v>
      </c>
      <c r="C358" s="1">
        <v>45713</v>
      </c>
      <c r="D358">
        <v>51</v>
      </c>
      <c r="E358" t="str">
        <f t="shared" si="20"/>
        <v>45-54</v>
      </c>
      <c r="F358" t="s">
        <v>291</v>
      </c>
      <c r="G358" t="s">
        <v>27</v>
      </c>
      <c r="H358" t="s">
        <v>20</v>
      </c>
      <c r="I358">
        <v>5</v>
      </c>
      <c r="J358" t="s">
        <v>52</v>
      </c>
      <c r="K358">
        <v>59</v>
      </c>
      <c r="L358" t="str">
        <f t="shared" si="21"/>
        <v>2+years</v>
      </c>
      <c r="M358" t="s">
        <v>79</v>
      </c>
      <c r="N358">
        <v>1000</v>
      </c>
      <c r="O358">
        <v>17</v>
      </c>
      <c r="P358">
        <v>17000</v>
      </c>
      <c r="Q358">
        <f t="shared" si="22"/>
        <v>1000</v>
      </c>
      <c r="R358" s="13">
        <v>116.36</v>
      </c>
      <c r="S358" t="s">
        <v>36</v>
      </c>
      <c r="T358">
        <f t="shared" si="23"/>
        <v>0</v>
      </c>
      <c r="U358">
        <v>0</v>
      </c>
      <c r="V358">
        <v>0</v>
      </c>
      <c r="W358">
        <v>0</v>
      </c>
    </row>
    <row r="359" spans="1:23" x14ac:dyDescent="0.35">
      <c r="A359" s="7" t="s">
        <v>445</v>
      </c>
      <c r="B359" t="s">
        <v>446</v>
      </c>
      <c r="C359" s="1">
        <v>45713</v>
      </c>
      <c r="D359">
        <v>51</v>
      </c>
      <c r="E359" t="str">
        <f t="shared" si="20"/>
        <v>45-54</v>
      </c>
      <c r="F359" t="s">
        <v>291</v>
      </c>
      <c r="G359" t="s">
        <v>33</v>
      </c>
      <c r="H359" t="s">
        <v>20</v>
      </c>
      <c r="I359">
        <v>5</v>
      </c>
      <c r="J359" t="s">
        <v>52</v>
      </c>
      <c r="K359">
        <v>59</v>
      </c>
      <c r="L359" t="str">
        <f t="shared" si="21"/>
        <v>2+years</v>
      </c>
      <c r="M359" t="s">
        <v>62</v>
      </c>
      <c r="N359">
        <v>30000</v>
      </c>
      <c r="O359">
        <v>13</v>
      </c>
      <c r="P359">
        <v>390000</v>
      </c>
      <c r="Q359">
        <f t="shared" si="22"/>
        <v>30000</v>
      </c>
      <c r="R359" s="13">
        <v>127.62</v>
      </c>
      <c r="S359" t="s">
        <v>36</v>
      </c>
      <c r="T359">
        <f t="shared" si="23"/>
        <v>0</v>
      </c>
      <c r="U359">
        <v>0</v>
      </c>
      <c r="V359">
        <v>0</v>
      </c>
      <c r="W359">
        <v>0</v>
      </c>
    </row>
    <row r="360" spans="1:23" x14ac:dyDescent="0.35">
      <c r="A360" s="7" t="s">
        <v>447</v>
      </c>
      <c r="B360" t="s">
        <v>211</v>
      </c>
      <c r="C360" s="1">
        <v>45741</v>
      </c>
      <c r="D360">
        <v>23</v>
      </c>
      <c r="E360" t="str">
        <f t="shared" si="20"/>
        <v>Under25</v>
      </c>
      <c r="F360" t="s">
        <v>18</v>
      </c>
      <c r="G360" t="s">
        <v>33</v>
      </c>
      <c r="H360" t="s">
        <v>20</v>
      </c>
      <c r="I360">
        <v>3</v>
      </c>
      <c r="J360" t="s">
        <v>47</v>
      </c>
      <c r="K360">
        <v>16</v>
      </c>
      <c r="L360" t="str">
        <f t="shared" si="21"/>
        <v>1-2 years</v>
      </c>
      <c r="M360" t="s">
        <v>54</v>
      </c>
      <c r="N360">
        <v>150000</v>
      </c>
      <c r="O360">
        <v>3</v>
      </c>
      <c r="P360">
        <v>450000</v>
      </c>
      <c r="Q360">
        <f t="shared" si="22"/>
        <v>150000</v>
      </c>
      <c r="R360" s="13">
        <v>54.76</v>
      </c>
      <c r="S360" t="s">
        <v>36</v>
      </c>
      <c r="T360">
        <f t="shared" si="23"/>
        <v>0</v>
      </c>
      <c r="U360">
        <v>0</v>
      </c>
      <c r="V360">
        <v>0</v>
      </c>
      <c r="W360">
        <v>0</v>
      </c>
    </row>
    <row r="361" spans="1:23" x14ac:dyDescent="0.35">
      <c r="A361" s="7" t="s">
        <v>447</v>
      </c>
      <c r="B361" t="s">
        <v>211</v>
      </c>
      <c r="C361" s="1">
        <v>45741</v>
      </c>
      <c r="D361">
        <v>23</v>
      </c>
      <c r="E361" t="str">
        <f t="shared" si="20"/>
        <v>Under25</v>
      </c>
      <c r="F361" t="s">
        <v>18</v>
      </c>
      <c r="G361" t="s">
        <v>19</v>
      </c>
      <c r="H361" t="s">
        <v>20</v>
      </c>
      <c r="I361">
        <v>3</v>
      </c>
      <c r="J361" t="s">
        <v>47</v>
      </c>
      <c r="K361">
        <v>16</v>
      </c>
      <c r="L361" t="str">
        <f t="shared" si="21"/>
        <v>1-2 years</v>
      </c>
      <c r="M361" t="s">
        <v>43</v>
      </c>
      <c r="N361">
        <v>4500</v>
      </c>
      <c r="O361">
        <v>19</v>
      </c>
      <c r="P361">
        <v>85500</v>
      </c>
      <c r="Q361">
        <f t="shared" si="22"/>
        <v>4500</v>
      </c>
      <c r="R361" s="13">
        <v>27.65</v>
      </c>
      <c r="S361" t="s">
        <v>36</v>
      </c>
      <c r="T361">
        <f t="shared" si="23"/>
        <v>0</v>
      </c>
      <c r="U361">
        <v>0</v>
      </c>
      <c r="V361">
        <v>0</v>
      </c>
      <c r="W361">
        <v>0</v>
      </c>
    </row>
    <row r="362" spans="1:23" x14ac:dyDescent="0.35">
      <c r="A362" s="7" t="s">
        <v>448</v>
      </c>
      <c r="B362" t="s">
        <v>449</v>
      </c>
      <c r="C362" s="1">
        <v>45713</v>
      </c>
      <c r="D362">
        <v>35</v>
      </c>
      <c r="E362" t="str">
        <f t="shared" si="20"/>
        <v>35-44</v>
      </c>
      <c r="F362" t="s">
        <v>91</v>
      </c>
      <c r="G362" t="s">
        <v>33</v>
      </c>
      <c r="H362" t="s">
        <v>20</v>
      </c>
      <c r="I362">
        <v>3</v>
      </c>
      <c r="J362" t="s">
        <v>47</v>
      </c>
      <c r="K362">
        <v>29</v>
      </c>
      <c r="L362" t="str">
        <f t="shared" si="21"/>
        <v>2+years</v>
      </c>
      <c r="M362" t="s">
        <v>59</v>
      </c>
      <c r="N362">
        <v>24000</v>
      </c>
      <c r="O362">
        <v>4</v>
      </c>
      <c r="P362">
        <v>96000</v>
      </c>
      <c r="Q362">
        <f t="shared" si="22"/>
        <v>24000</v>
      </c>
      <c r="R362" s="13">
        <v>92.94</v>
      </c>
      <c r="S362" t="s">
        <v>36</v>
      </c>
      <c r="T362">
        <f t="shared" si="23"/>
        <v>0</v>
      </c>
      <c r="U362">
        <v>0</v>
      </c>
      <c r="V362">
        <v>0</v>
      </c>
      <c r="W362">
        <v>0</v>
      </c>
    </row>
    <row r="363" spans="1:23" x14ac:dyDescent="0.35">
      <c r="A363" s="7" t="s">
        <v>448</v>
      </c>
      <c r="B363" t="s">
        <v>449</v>
      </c>
      <c r="C363" s="1">
        <v>45713</v>
      </c>
      <c r="D363">
        <v>35</v>
      </c>
      <c r="E363" t="str">
        <f t="shared" si="20"/>
        <v>35-44</v>
      </c>
      <c r="F363" t="s">
        <v>91</v>
      </c>
      <c r="G363" t="s">
        <v>38</v>
      </c>
      <c r="H363" t="s">
        <v>20</v>
      </c>
      <c r="I363">
        <v>3</v>
      </c>
      <c r="J363" t="s">
        <v>47</v>
      </c>
      <c r="K363">
        <v>29</v>
      </c>
      <c r="L363" t="str">
        <f t="shared" si="21"/>
        <v>2+years</v>
      </c>
      <c r="M363" t="s">
        <v>39</v>
      </c>
      <c r="N363">
        <v>9000</v>
      </c>
      <c r="O363">
        <v>10</v>
      </c>
      <c r="P363">
        <v>90000</v>
      </c>
      <c r="Q363">
        <f t="shared" si="22"/>
        <v>9000</v>
      </c>
      <c r="R363" s="13">
        <v>31.94</v>
      </c>
      <c r="S363" t="s">
        <v>36</v>
      </c>
      <c r="T363">
        <f t="shared" si="23"/>
        <v>0</v>
      </c>
      <c r="U363">
        <v>0</v>
      </c>
      <c r="V363">
        <v>0</v>
      </c>
      <c r="W363">
        <v>0</v>
      </c>
    </row>
    <row r="364" spans="1:23" x14ac:dyDescent="0.35">
      <c r="A364" s="7" t="s">
        <v>448</v>
      </c>
      <c r="B364" t="s">
        <v>449</v>
      </c>
      <c r="C364" s="1">
        <v>45713</v>
      </c>
      <c r="D364">
        <v>35</v>
      </c>
      <c r="E364" t="str">
        <f t="shared" si="20"/>
        <v>35-44</v>
      </c>
      <c r="F364" t="s">
        <v>91</v>
      </c>
      <c r="G364" t="s">
        <v>27</v>
      </c>
      <c r="H364" t="s">
        <v>20</v>
      </c>
      <c r="I364">
        <v>3</v>
      </c>
      <c r="J364" t="s">
        <v>47</v>
      </c>
      <c r="K364">
        <v>29</v>
      </c>
      <c r="L364" t="str">
        <f t="shared" si="21"/>
        <v>2+years</v>
      </c>
      <c r="M364" t="s">
        <v>55</v>
      </c>
      <c r="N364">
        <v>16000</v>
      </c>
      <c r="O364">
        <v>11</v>
      </c>
      <c r="P364">
        <v>176000</v>
      </c>
      <c r="Q364">
        <f t="shared" si="22"/>
        <v>16000</v>
      </c>
      <c r="R364" s="13">
        <v>43.4</v>
      </c>
      <c r="S364" t="s">
        <v>36</v>
      </c>
      <c r="T364">
        <f t="shared" si="23"/>
        <v>0</v>
      </c>
      <c r="U364">
        <v>0</v>
      </c>
      <c r="V364">
        <v>0</v>
      </c>
      <c r="W364">
        <v>0</v>
      </c>
    </row>
    <row r="365" spans="1:23" x14ac:dyDescent="0.35">
      <c r="A365" s="7" t="s">
        <v>450</v>
      </c>
      <c r="B365" t="s">
        <v>451</v>
      </c>
      <c r="C365" s="1">
        <v>45682</v>
      </c>
      <c r="D365">
        <v>27</v>
      </c>
      <c r="E365" t="str">
        <f t="shared" si="20"/>
        <v>25-34</v>
      </c>
      <c r="F365" t="s">
        <v>67</v>
      </c>
      <c r="G365" t="s">
        <v>27</v>
      </c>
      <c r="H365" t="s">
        <v>28</v>
      </c>
      <c r="I365">
        <v>3</v>
      </c>
      <c r="J365" t="s">
        <v>47</v>
      </c>
      <c r="K365">
        <v>26</v>
      </c>
      <c r="L365" t="str">
        <f t="shared" si="21"/>
        <v>2+years</v>
      </c>
      <c r="M365" t="s">
        <v>29</v>
      </c>
      <c r="N365">
        <v>5500</v>
      </c>
      <c r="O365">
        <v>18</v>
      </c>
      <c r="P365">
        <v>99000</v>
      </c>
      <c r="Q365">
        <f t="shared" si="22"/>
        <v>5500</v>
      </c>
      <c r="R365" s="13">
        <v>111.41</v>
      </c>
      <c r="S365" t="s">
        <v>23</v>
      </c>
      <c r="T365">
        <f t="shared" si="23"/>
        <v>1</v>
      </c>
      <c r="U365">
        <v>0</v>
      </c>
      <c r="V365">
        <v>0</v>
      </c>
      <c r="W365">
        <v>0</v>
      </c>
    </row>
    <row r="366" spans="1:23" x14ac:dyDescent="0.35">
      <c r="A366" s="7" t="s">
        <v>452</v>
      </c>
      <c r="B366" t="s">
        <v>453</v>
      </c>
      <c r="C366" s="1">
        <v>45713</v>
      </c>
      <c r="D366">
        <v>28</v>
      </c>
      <c r="E366" t="str">
        <f t="shared" si="20"/>
        <v>25-34</v>
      </c>
      <c r="F366" t="s">
        <v>32</v>
      </c>
      <c r="G366" t="s">
        <v>19</v>
      </c>
      <c r="H366" t="s">
        <v>20</v>
      </c>
      <c r="I366">
        <v>1</v>
      </c>
      <c r="J366" t="s">
        <v>34</v>
      </c>
      <c r="K366">
        <v>52</v>
      </c>
      <c r="L366" t="str">
        <f t="shared" si="21"/>
        <v>2+years</v>
      </c>
      <c r="M366" t="s">
        <v>43</v>
      </c>
      <c r="N366">
        <v>4500</v>
      </c>
      <c r="O366">
        <v>12</v>
      </c>
      <c r="P366">
        <v>54000</v>
      </c>
      <c r="Q366">
        <f t="shared" si="22"/>
        <v>4500</v>
      </c>
      <c r="R366" s="13">
        <v>164.82</v>
      </c>
      <c r="S366" t="s">
        <v>23</v>
      </c>
      <c r="T366">
        <f t="shared" si="23"/>
        <v>1</v>
      </c>
      <c r="U366">
        <v>0</v>
      </c>
      <c r="V366">
        <v>0</v>
      </c>
      <c r="W366">
        <v>0</v>
      </c>
    </row>
    <row r="367" spans="1:23" x14ac:dyDescent="0.35">
      <c r="A367" s="7" t="s">
        <v>454</v>
      </c>
      <c r="B367" t="s">
        <v>455</v>
      </c>
      <c r="C367" s="1">
        <v>45713</v>
      </c>
      <c r="D367">
        <v>49</v>
      </c>
      <c r="E367" t="str">
        <f t="shared" si="20"/>
        <v>45-54</v>
      </c>
      <c r="F367" t="s">
        <v>141</v>
      </c>
      <c r="G367" t="s">
        <v>33</v>
      </c>
      <c r="H367" t="s">
        <v>20</v>
      </c>
      <c r="I367">
        <v>4</v>
      </c>
      <c r="J367" t="s">
        <v>109</v>
      </c>
      <c r="K367">
        <v>5</v>
      </c>
      <c r="L367" t="str">
        <f t="shared" si="21"/>
        <v>0-5 months</v>
      </c>
      <c r="M367" t="s">
        <v>35</v>
      </c>
      <c r="N367">
        <v>20000</v>
      </c>
      <c r="O367">
        <v>15</v>
      </c>
      <c r="P367">
        <v>300000</v>
      </c>
      <c r="Q367">
        <f t="shared" si="22"/>
        <v>20000</v>
      </c>
      <c r="R367" s="13">
        <v>9.02</v>
      </c>
      <c r="S367" t="s">
        <v>36</v>
      </c>
      <c r="T367">
        <f t="shared" si="23"/>
        <v>0</v>
      </c>
      <c r="U367">
        <v>0</v>
      </c>
      <c r="V367">
        <v>0</v>
      </c>
      <c r="W367">
        <v>0</v>
      </c>
    </row>
    <row r="368" spans="1:23" x14ac:dyDescent="0.35">
      <c r="A368" s="7" t="s">
        <v>456</v>
      </c>
      <c r="B368" t="s">
        <v>457</v>
      </c>
      <c r="C368" s="1">
        <v>45682</v>
      </c>
      <c r="D368">
        <v>37</v>
      </c>
      <c r="E368" t="str">
        <f t="shared" si="20"/>
        <v>35-44</v>
      </c>
      <c r="F368" t="s">
        <v>18</v>
      </c>
      <c r="G368" t="s">
        <v>33</v>
      </c>
      <c r="H368" t="s">
        <v>28</v>
      </c>
      <c r="I368">
        <v>4</v>
      </c>
      <c r="J368" t="s">
        <v>109</v>
      </c>
      <c r="K368">
        <v>32</v>
      </c>
      <c r="L368" t="str">
        <f t="shared" si="21"/>
        <v>2+years</v>
      </c>
      <c r="M368" t="s">
        <v>68</v>
      </c>
      <c r="N368">
        <v>14500</v>
      </c>
      <c r="O368">
        <v>9</v>
      </c>
      <c r="P368">
        <v>130500</v>
      </c>
      <c r="Q368">
        <f t="shared" si="22"/>
        <v>14500</v>
      </c>
      <c r="R368" s="13">
        <v>181.71</v>
      </c>
      <c r="S368" t="s">
        <v>36</v>
      </c>
      <c r="T368">
        <f t="shared" si="23"/>
        <v>0</v>
      </c>
      <c r="U368">
        <v>0</v>
      </c>
      <c r="V368">
        <v>0</v>
      </c>
      <c r="W368">
        <v>0</v>
      </c>
    </row>
    <row r="369" spans="1:23" x14ac:dyDescent="0.35">
      <c r="A369" s="7" t="s">
        <v>458</v>
      </c>
      <c r="B369" t="s">
        <v>459</v>
      </c>
      <c r="C369" s="1">
        <v>45713</v>
      </c>
      <c r="D369">
        <v>73</v>
      </c>
      <c r="E369" t="str">
        <f t="shared" si="20"/>
        <v>55+</v>
      </c>
      <c r="F369" t="s">
        <v>51</v>
      </c>
      <c r="G369" t="s">
        <v>27</v>
      </c>
      <c r="H369" t="s">
        <v>20</v>
      </c>
      <c r="I369">
        <v>3</v>
      </c>
      <c r="J369" t="s">
        <v>47</v>
      </c>
      <c r="K369">
        <v>40</v>
      </c>
      <c r="L369" t="str">
        <f t="shared" si="21"/>
        <v>2+years</v>
      </c>
      <c r="M369" t="s">
        <v>37</v>
      </c>
      <c r="N369">
        <v>500</v>
      </c>
      <c r="O369">
        <v>14</v>
      </c>
      <c r="P369">
        <v>7000</v>
      </c>
      <c r="Q369">
        <f t="shared" si="22"/>
        <v>500</v>
      </c>
      <c r="R369" s="13">
        <v>76.91</v>
      </c>
      <c r="S369" t="s">
        <v>36</v>
      </c>
      <c r="T369">
        <f t="shared" si="23"/>
        <v>0</v>
      </c>
      <c r="U369">
        <v>0</v>
      </c>
      <c r="V369">
        <v>0</v>
      </c>
      <c r="W369">
        <v>0</v>
      </c>
    </row>
    <row r="370" spans="1:23" x14ac:dyDescent="0.35">
      <c r="A370" s="7" t="s">
        <v>458</v>
      </c>
      <c r="B370" t="s">
        <v>459</v>
      </c>
      <c r="C370" s="1">
        <v>45713</v>
      </c>
      <c r="D370">
        <v>73</v>
      </c>
      <c r="E370" t="str">
        <f t="shared" si="20"/>
        <v>55+</v>
      </c>
      <c r="F370" t="s">
        <v>51</v>
      </c>
      <c r="G370" t="s">
        <v>38</v>
      </c>
      <c r="H370" t="s">
        <v>20</v>
      </c>
      <c r="I370">
        <v>3</v>
      </c>
      <c r="J370" t="s">
        <v>47</v>
      </c>
      <c r="K370">
        <v>40</v>
      </c>
      <c r="L370" t="str">
        <f t="shared" si="21"/>
        <v>2+years</v>
      </c>
      <c r="M370" t="s">
        <v>35</v>
      </c>
      <c r="N370">
        <v>20000</v>
      </c>
      <c r="O370">
        <v>17</v>
      </c>
      <c r="P370">
        <v>340000</v>
      </c>
      <c r="Q370">
        <f t="shared" si="22"/>
        <v>20000</v>
      </c>
      <c r="R370" s="13">
        <v>128.71</v>
      </c>
      <c r="S370" t="s">
        <v>36</v>
      </c>
      <c r="T370">
        <f t="shared" si="23"/>
        <v>0</v>
      </c>
      <c r="U370">
        <v>0</v>
      </c>
      <c r="V370">
        <v>0</v>
      </c>
      <c r="W370">
        <v>0</v>
      </c>
    </row>
    <row r="371" spans="1:23" x14ac:dyDescent="0.35">
      <c r="A371" s="7" t="s">
        <v>458</v>
      </c>
      <c r="B371" t="s">
        <v>459</v>
      </c>
      <c r="C371" s="1">
        <v>45713</v>
      </c>
      <c r="D371">
        <v>73</v>
      </c>
      <c r="E371" t="str">
        <f t="shared" si="20"/>
        <v>55+</v>
      </c>
      <c r="F371" t="s">
        <v>51</v>
      </c>
      <c r="G371" t="s">
        <v>33</v>
      </c>
      <c r="H371" t="s">
        <v>20</v>
      </c>
      <c r="I371">
        <v>3</v>
      </c>
      <c r="J371" t="s">
        <v>47</v>
      </c>
      <c r="K371">
        <v>40</v>
      </c>
      <c r="L371" t="str">
        <f t="shared" si="21"/>
        <v>2+years</v>
      </c>
      <c r="M371" t="s">
        <v>68</v>
      </c>
      <c r="N371">
        <v>14500</v>
      </c>
      <c r="O371">
        <v>18</v>
      </c>
      <c r="P371">
        <v>261000</v>
      </c>
      <c r="Q371">
        <f t="shared" si="22"/>
        <v>14500</v>
      </c>
      <c r="R371" s="13">
        <v>126.34</v>
      </c>
      <c r="S371" t="s">
        <v>36</v>
      </c>
      <c r="T371">
        <f t="shared" si="23"/>
        <v>0</v>
      </c>
      <c r="U371">
        <v>0</v>
      </c>
      <c r="V371">
        <v>0</v>
      </c>
      <c r="W371">
        <v>0</v>
      </c>
    </row>
    <row r="372" spans="1:23" x14ac:dyDescent="0.35">
      <c r="A372" s="7" t="s">
        <v>460</v>
      </c>
      <c r="B372" t="s">
        <v>461</v>
      </c>
      <c r="C372" s="1">
        <v>45713</v>
      </c>
      <c r="D372">
        <v>64</v>
      </c>
      <c r="E372" t="str">
        <f t="shared" si="20"/>
        <v>55+</v>
      </c>
      <c r="F372" t="s">
        <v>147</v>
      </c>
      <c r="G372" t="s">
        <v>33</v>
      </c>
      <c r="H372" t="s">
        <v>28</v>
      </c>
      <c r="I372">
        <v>3</v>
      </c>
      <c r="J372" t="s">
        <v>47</v>
      </c>
      <c r="K372">
        <v>35</v>
      </c>
      <c r="L372" t="str">
        <f t="shared" si="21"/>
        <v>2+years</v>
      </c>
      <c r="M372" t="s">
        <v>62</v>
      </c>
      <c r="N372">
        <v>30000</v>
      </c>
      <c r="O372">
        <v>20</v>
      </c>
      <c r="P372">
        <v>600000</v>
      </c>
      <c r="Q372">
        <f t="shared" si="22"/>
        <v>30000</v>
      </c>
      <c r="R372" s="13">
        <v>5.7</v>
      </c>
      <c r="S372" t="s">
        <v>36</v>
      </c>
      <c r="T372">
        <f t="shared" si="23"/>
        <v>0</v>
      </c>
      <c r="U372">
        <v>0</v>
      </c>
      <c r="V372">
        <v>0</v>
      </c>
      <c r="W372">
        <v>0</v>
      </c>
    </row>
    <row r="373" spans="1:23" x14ac:dyDescent="0.35">
      <c r="A373" s="7" t="s">
        <v>460</v>
      </c>
      <c r="B373" t="s">
        <v>461</v>
      </c>
      <c r="C373" s="1">
        <v>45713</v>
      </c>
      <c r="D373">
        <v>64</v>
      </c>
      <c r="E373" t="str">
        <f t="shared" si="20"/>
        <v>55+</v>
      </c>
      <c r="F373" t="s">
        <v>147</v>
      </c>
      <c r="G373" t="s">
        <v>19</v>
      </c>
      <c r="H373" t="s">
        <v>28</v>
      </c>
      <c r="I373">
        <v>3</v>
      </c>
      <c r="J373" t="s">
        <v>47</v>
      </c>
      <c r="K373">
        <v>35</v>
      </c>
      <c r="L373" t="str">
        <f t="shared" si="21"/>
        <v>2+years</v>
      </c>
      <c r="M373" t="s">
        <v>43</v>
      </c>
      <c r="N373">
        <v>4500</v>
      </c>
      <c r="O373">
        <v>9</v>
      </c>
      <c r="P373">
        <v>40500</v>
      </c>
      <c r="Q373">
        <f t="shared" si="22"/>
        <v>4500</v>
      </c>
      <c r="R373" s="13">
        <v>6.35</v>
      </c>
      <c r="S373" t="s">
        <v>36</v>
      </c>
      <c r="T373">
        <f t="shared" si="23"/>
        <v>0</v>
      </c>
      <c r="U373">
        <v>0</v>
      </c>
      <c r="V373">
        <v>0</v>
      </c>
      <c r="W373">
        <v>0</v>
      </c>
    </row>
    <row r="374" spans="1:23" x14ac:dyDescent="0.35">
      <c r="A374" s="7" t="s">
        <v>460</v>
      </c>
      <c r="B374" t="s">
        <v>461</v>
      </c>
      <c r="C374" s="1">
        <v>45713</v>
      </c>
      <c r="D374">
        <v>64</v>
      </c>
      <c r="E374" t="str">
        <f t="shared" si="20"/>
        <v>55+</v>
      </c>
      <c r="F374" t="s">
        <v>147</v>
      </c>
      <c r="G374" t="s">
        <v>27</v>
      </c>
      <c r="H374" t="s">
        <v>28</v>
      </c>
      <c r="I374">
        <v>3</v>
      </c>
      <c r="J374" t="s">
        <v>47</v>
      </c>
      <c r="K374">
        <v>35</v>
      </c>
      <c r="L374" t="str">
        <f t="shared" si="21"/>
        <v>2+years</v>
      </c>
      <c r="M374" t="s">
        <v>97</v>
      </c>
      <c r="N374">
        <v>900</v>
      </c>
      <c r="O374">
        <v>16</v>
      </c>
      <c r="P374">
        <v>14400</v>
      </c>
      <c r="Q374">
        <f t="shared" si="22"/>
        <v>900</v>
      </c>
      <c r="R374" s="13">
        <v>161.83000000000001</v>
      </c>
      <c r="S374" t="s">
        <v>36</v>
      </c>
      <c r="T374">
        <f t="shared" si="23"/>
        <v>0</v>
      </c>
      <c r="U374">
        <v>0</v>
      </c>
      <c r="V374">
        <v>0</v>
      </c>
      <c r="W374">
        <v>0</v>
      </c>
    </row>
    <row r="375" spans="1:23" x14ac:dyDescent="0.35">
      <c r="A375" s="7" t="s">
        <v>462</v>
      </c>
      <c r="B375" t="s">
        <v>463</v>
      </c>
      <c r="C375" s="1">
        <v>45713</v>
      </c>
      <c r="D375">
        <v>61</v>
      </c>
      <c r="E375" t="str">
        <f t="shared" si="20"/>
        <v>55+</v>
      </c>
      <c r="F375" t="s">
        <v>108</v>
      </c>
      <c r="G375" t="s">
        <v>38</v>
      </c>
      <c r="H375" t="s">
        <v>20</v>
      </c>
      <c r="I375">
        <v>2</v>
      </c>
      <c r="J375" t="s">
        <v>21</v>
      </c>
      <c r="K375">
        <v>7</v>
      </c>
      <c r="L375" t="str">
        <f t="shared" si="21"/>
        <v>6-12 months</v>
      </c>
      <c r="M375" t="s">
        <v>62</v>
      </c>
      <c r="N375">
        <v>30000</v>
      </c>
      <c r="O375">
        <v>6</v>
      </c>
      <c r="P375">
        <v>180000</v>
      </c>
      <c r="Q375">
        <f t="shared" si="22"/>
        <v>30000</v>
      </c>
      <c r="R375" s="13">
        <v>187.07</v>
      </c>
      <c r="S375" t="s">
        <v>23</v>
      </c>
      <c r="T375">
        <f t="shared" si="23"/>
        <v>1</v>
      </c>
      <c r="U375">
        <v>0</v>
      </c>
      <c r="V375">
        <v>0</v>
      </c>
      <c r="W375">
        <v>0</v>
      </c>
    </row>
    <row r="376" spans="1:23" x14ac:dyDescent="0.35">
      <c r="A376" s="7" t="s">
        <v>462</v>
      </c>
      <c r="B376" t="s">
        <v>463</v>
      </c>
      <c r="C376" s="1">
        <v>45713</v>
      </c>
      <c r="D376">
        <v>61</v>
      </c>
      <c r="E376" t="str">
        <f t="shared" si="20"/>
        <v>55+</v>
      </c>
      <c r="F376" t="s">
        <v>108</v>
      </c>
      <c r="G376" t="s">
        <v>27</v>
      </c>
      <c r="H376" t="s">
        <v>20</v>
      </c>
      <c r="I376">
        <v>2</v>
      </c>
      <c r="J376" t="s">
        <v>21</v>
      </c>
      <c r="K376">
        <v>7</v>
      </c>
      <c r="L376" t="str">
        <f t="shared" si="21"/>
        <v>6-12 months</v>
      </c>
      <c r="M376" t="s">
        <v>159</v>
      </c>
      <c r="N376">
        <v>600</v>
      </c>
      <c r="O376">
        <v>11</v>
      </c>
      <c r="P376">
        <v>6600</v>
      </c>
      <c r="Q376">
        <f t="shared" si="22"/>
        <v>600</v>
      </c>
      <c r="R376" s="13">
        <v>47.69</v>
      </c>
      <c r="S376" t="s">
        <v>23</v>
      </c>
      <c r="T376">
        <f t="shared" si="23"/>
        <v>1</v>
      </c>
      <c r="U376">
        <v>0</v>
      </c>
      <c r="V376">
        <v>0</v>
      </c>
      <c r="W376">
        <v>0</v>
      </c>
    </row>
    <row r="377" spans="1:23" x14ac:dyDescent="0.35">
      <c r="A377" s="7" t="s">
        <v>462</v>
      </c>
      <c r="B377" t="s">
        <v>463</v>
      </c>
      <c r="C377" s="1">
        <v>45713</v>
      </c>
      <c r="D377">
        <v>61</v>
      </c>
      <c r="E377" t="str">
        <f t="shared" si="20"/>
        <v>55+</v>
      </c>
      <c r="F377" t="s">
        <v>108</v>
      </c>
      <c r="G377" t="s">
        <v>19</v>
      </c>
      <c r="H377" t="s">
        <v>20</v>
      </c>
      <c r="I377">
        <v>2</v>
      </c>
      <c r="J377" t="s">
        <v>21</v>
      </c>
      <c r="K377">
        <v>7</v>
      </c>
      <c r="L377" t="str">
        <f t="shared" si="21"/>
        <v>6-12 months</v>
      </c>
      <c r="M377" t="s">
        <v>48</v>
      </c>
      <c r="N377">
        <v>9000</v>
      </c>
      <c r="O377">
        <v>1</v>
      </c>
      <c r="P377">
        <v>9000</v>
      </c>
      <c r="Q377">
        <f t="shared" si="22"/>
        <v>9000</v>
      </c>
      <c r="R377" s="13">
        <v>182.84</v>
      </c>
      <c r="S377" t="s">
        <v>23</v>
      </c>
      <c r="T377">
        <f t="shared" si="23"/>
        <v>1</v>
      </c>
      <c r="U377">
        <v>0</v>
      </c>
      <c r="V377">
        <v>0</v>
      </c>
      <c r="W377">
        <v>0</v>
      </c>
    </row>
    <row r="378" spans="1:23" x14ac:dyDescent="0.35">
      <c r="A378" s="7" t="s">
        <v>464</v>
      </c>
      <c r="B378" t="s">
        <v>465</v>
      </c>
      <c r="C378" s="1">
        <v>45741</v>
      </c>
      <c r="D378">
        <v>34</v>
      </c>
      <c r="E378" t="str">
        <f t="shared" si="20"/>
        <v>25-34</v>
      </c>
      <c r="F378" t="s">
        <v>116</v>
      </c>
      <c r="G378" t="s">
        <v>38</v>
      </c>
      <c r="H378" t="s">
        <v>28</v>
      </c>
      <c r="I378">
        <v>2</v>
      </c>
      <c r="J378" t="s">
        <v>21</v>
      </c>
      <c r="K378">
        <v>35</v>
      </c>
      <c r="L378" t="str">
        <f t="shared" si="21"/>
        <v>2+years</v>
      </c>
      <c r="M378" t="s">
        <v>35</v>
      </c>
      <c r="N378">
        <v>20000</v>
      </c>
      <c r="O378">
        <v>1</v>
      </c>
      <c r="P378">
        <v>20000</v>
      </c>
      <c r="Q378">
        <f t="shared" si="22"/>
        <v>20000</v>
      </c>
      <c r="R378" s="13">
        <v>120.53</v>
      </c>
      <c r="S378" t="s">
        <v>36</v>
      </c>
      <c r="T378">
        <f t="shared" si="23"/>
        <v>0</v>
      </c>
      <c r="U378">
        <v>0</v>
      </c>
      <c r="V378">
        <v>0</v>
      </c>
      <c r="W378">
        <v>0</v>
      </c>
    </row>
    <row r="379" spans="1:23" x14ac:dyDescent="0.35">
      <c r="A379" s="7" t="s">
        <v>466</v>
      </c>
      <c r="B379" t="s">
        <v>467</v>
      </c>
      <c r="C379" s="1">
        <v>45713</v>
      </c>
      <c r="D379">
        <v>77</v>
      </c>
      <c r="E379" t="str">
        <f t="shared" si="20"/>
        <v>55+</v>
      </c>
      <c r="F379" t="s">
        <v>444</v>
      </c>
      <c r="G379" t="s">
        <v>33</v>
      </c>
      <c r="H379" t="s">
        <v>28</v>
      </c>
      <c r="I379">
        <v>2</v>
      </c>
      <c r="J379" t="s">
        <v>21</v>
      </c>
      <c r="K379">
        <v>59</v>
      </c>
      <c r="L379" t="str">
        <f t="shared" si="21"/>
        <v>2+years</v>
      </c>
      <c r="M379" t="s">
        <v>39</v>
      </c>
      <c r="N379">
        <v>9000</v>
      </c>
      <c r="O379">
        <v>19</v>
      </c>
      <c r="P379">
        <v>171000</v>
      </c>
      <c r="Q379">
        <f t="shared" si="22"/>
        <v>9000</v>
      </c>
      <c r="R379" s="13">
        <v>4.87</v>
      </c>
      <c r="S379" t="s">
        <v>36</v>
      </c>
      <c r="T379">
        <f t="shared" si="23"/>
        <v>0</v>
      </c>
      <c r="U379">
        <v>0</v>
      </c>
      <c r="V379">
        <v>0</v>
      </c>
      <c r="W379">
        <v>0</v>
      </c>
    </row>
    <row r="380" spans="1:23" x14ac:dyDescent="0.35">
      <c r="A380" s="7" t="s">
        <v>468</v>
      </c>
      <c r="B380" t="s">
        <v>469</v>
      </c>
      <c r="C380" s="1">
        <v>45741</v>
      </c>
      <c r="D380">
        <v>30</v>
      </c>
      <c r="E380" t="str">
        <f t="shared" si="20"/>
        <v>25-34</v>
      </c>
      <c r="F380" t="s">
        <v>72</v>
      </c>
      <c r="G380" t="s">
        <v>33</v>
      </c>
      <c r="H380" t="s">
        <v>28</v>
      </c>
      <c r="I380">
        <v>4</v>
      </c>
      <c r="J380" t="s">
        <v>109</v>
      </c>
      <c r="K380">
        <v>5</v>
      </c>
      <c r="L380" t="str">
        <f t="shared" si="21"/>
        <v>0-5 months</v>
      </c>
      <c r="M380" t="s">
        <v>62</v>
      </c>
      <c r="N380">
        <v>30000</v>
      </c>
      <c r="O380">
        <v>14</v>
      </c>
      <c r="P380">
        <v>420000</v>
      </c>
      <c r="Q380">
        <f t="shared" si="22"/>
        <v>30000</v>
      </c>
      <c r="R380" s="13">
        <v>195.18</v>
      </c>
      <c r="S380" t="s">
        <v>36</v>
      </c>
      <c r="T380">
        <f t="shared" si="23"/>
        <v>0</v>
      </c>
      <c r="U380">
        <v>0</v>
      </c>
      <c r="V380">
        <v>0</v>
      </c>
      <c r="W380">
        <v>0</v>
      </c>
    </row>
    <row r="381" spans="1:23" x14ac:dyDescent="0.35">
      <c r="A381" s="7" t="s">
        <v>468</v>
      </c>
      <c r="B381" t="s">
        <v>469</v>
      </c>
      <c r="C381" s="1">
        <v>45741</v>
      </c>
      <c r="D381">
        <v>30</v>
      </c>
      <c r="E381" t="str">
        <f t="shared" si="20"/>
        <v>25-34</v>
      </c>
      <c r="F381" t="s">
        <v>72</v>
      </c>
      <c r="G381" t="s">
        <v>19</v>
      </c>
      <c r="H381" t="s">
        <v>28</v>
      </c>
      <c r="I381">
        <v>4</v>
      </c>
      <c r="J381" t="s">
        <v>109</v>
      </c>
      <c r="K381">
        <v>5</v>
      </c>
      <c r="L381" t="str">
        <f t="shared" si="21"/>
        <v>0-5 months</v>
      </c>
      <c r="M381" t="s">
        <v>22</v>
      </c>
      <c r="N381">
        <v>35000</v>
      </c>
      <c r="O381">
        <v>6</v>
      </c>
      <c r="P381">
        <v>210000</v>
      </c>
      <c r="Q381">
        <f t="shared" si="22"/>
        <v>35000</v>
      </c>
      <c r="R381" s="13">
        <v>130.01</v>
      </c>
      <c r="S381" t="s">
        <v>36</v>
      </c>
      <c r="T381">
        <f t="shared" si="23"/>
        <v>0</v>
      </c>
      <c r="U381">
        <v>0</v>
      </c>
      <c r="V381">
        <v>0</v>
      </c>
      <c r="W381">
        <v>0</v>
      </c>
    </row>
    <row r="382" spans="1:23" x14ac:dyDescent="0.35">
      <c r="A382" s="7" t="s">
        <v>470</v>
      </c>
      <c r="B382" t="s">
        <v>471</v>
      </c>
      <c r="C382" s="1">
        <v>45741</v>
      </c>
      <c r="D382">
        <v>44</v>
      </c>
      <c r="E382" t="str">
        <f t="shared" si="20"/>
        <v>35-44</v>
      </c>
      <c r="F382" t="s">
        <v>126</v>
      </c>
      <c r="G382" t="s">
        <v>27</v>
      </c>
      <c r="H382" t="s">
        <v>28</v>
      </c>
      <c r="I382">
        <v>2</v>
      </c>
      <c r="J382" t="s">
        <v>21</v>
      </c>
      <c r="K382">
        <v>20</v>
      </c>
      <c r="L382" t="str">
        <f t="shared" si="21"/>
        <v>1-2 years</v>
      </c>
      <c r="M382" t="s">
        <v>159</v>
      </c>
      <c r="N382">
        <v>600</v>
      </c>
      <c r="O382">
        <v>20</v>
      </c>
      <c r="P382">
        <v>12000</v>
      </c>
      <c r="Q382">
        <f t="shared" si="22"/>
        <v>600</v>
      </c>
      <c r="R382" s="13">
        <v>120.68</v>
      </c>
      <c r="S382" t="s">
        <v>23</v>
      </c>
      <c r="T382">
        <f t="shared" si="23"/>
        <v>1</v>
      </c>
      <c r="U382">
        <v>0</v>
      </c>
      <c r="V382">
        <v>0</v>
      </c>
      <c r="W382">
        <v>0</v>
      </c>
    </row>
    <row r="383" spans="1:23" x14ac:dyDescent="0.35">
      <c r="A383" s="7" t="s">
        <v>470</v>
      </c>
      <c r="B383" t="s">
        <v>471</v>
      </c>
      <c r="C383" s="1">
        <v>45741</v>
      </c>
      <c r="D383">
        <v>44</v>
      </c>
      <c r="E383" t="str">
        <f t="shared" si="20"/>
        <v>35-44</v>
      </c>
      <c r="F383" t="s">
        <v>126</v>
      </c>
      <c r="G383" t="s">
        <v>33</v>
      </c>
      <c r="H383" t="s">
        <v>28</v>
      </c>
      <c r="I383">
        <v>2</v>
      </c>
      <c r="J383" t="s">
        <v>21</v>
      </c>
      <c r="K383">
        <v>20</v>
      </c>
      <c r="L383" t="str">
        <f t="shared" si="21"/>
        <v>1-2 years</v>
      </c>
      <c r="M383" t="s">
        <v>68</v>
      </c>
      <c r="N383">
        <v>14500</v>
      </c>
      <c r="O383">
        <v>4</v>
      </c>
      <c r="P383">
        <v>58000</v>
      </c>
      <c r="Q383">
        <f t="shared" si="22"/>
        <v>14500</v>
      </c>
      <c r="R383" s="13">
        <v>128.11000000000001</v>
      </c>
      <c r="S383" t="s">
        <v>23</v>
      </c>
      <c r="T383">
        <f t="shared" si="23"/>
        <v>1</v>
      </c>
      <c r="U383">
        <v>0</v>
      </c>
      <c r="V383">
        <v>0</v>
      </c>
      <c r="W383">
        <v>0</v>
      </c>
    </row>
    <row r="384" spans="1:23" x14ac:dyDescent="0.35">
      <c r="A384" s="7" t="s">
        <v>470</v>
      </c>
      <c r="B384" t="s">
        <v>471</v>
      </c>
      <c r="C384" s="1">
        <v>45741</v>
      </c>
      <c r="D384">
        <v>44</v>
      </c>
      <c r="E384" t="str">
        <f t="shared" si="20"/>
        <v>35-44</v>
      </c>
      <c r="F384" t="s">
        <v>126</v>
      </c>
      <c r="G384" t="s">
        <v>38</v>
      </c>
      <c r="H384" t="s">
        <v>28</v>
      </c>
      <c r="I384">
        <v>2</v>
      </c>
      <c r="J384" t="s">
        <v>21</v>
      </c>
      <c r="K384">
        <v>20</v>
      </c>
      <c r="L384" t="str">
        <f t="shared" si="21"/>
        <v>1-2 years</v>
      </c>
      <c r="M384" t="s">
        <v>68</v>
      </c>
      <c r="N384">
        <v>14500</v>
      </c>
      <c r="O384">
        <v>3</v>
      </c>
      <c r="P384">
        <v>43500</v>
      </c>
      <c r="Q384">
        <f t="shared" si="22"/>
        <v>14500</v>
      </c>
      <c r="R384" s="13">
        <v>28.56</v>
      </c>
      <c r="S384" t="s">
        <v>23</v>
      </c>
      <c r="T384">
        <f t="shared" si="23"/>
        <v>1</v>
      </c>
      <c r="U384">
        <v>0</v>
      </c>
      <c r="V384">
        <v>0</v>
      </c>
      <c r="W384">
        <v>0</v>
      </c>
    </row>
    <row r="385" spans="1:23" x14ac:dyDescent="0.35">
      <c r="A385" s="7" t="s">
        <v>472</v>
      </c>
      <c r="B385" t="s">
        <v>473</v>
      </c>
      <c r="C385" s="1">
        <v>45682</v>
      </c>
      <c r="D385">
        <v>60</v>
      </c>
      <c r="E385" t="str">
        <f t="shared" si="20"/>
        <v>55+</v>
      </c>
      <c r="F385" t="s">
        <v>252</v>
      </c>
      <c r="G385" t="s">
        <v>19</v>
      </c>
      <c r="H385" t="s">
        <v>20</v>
      </c>
      <c r="I385">
        <v>3</v>
      </c>
      <c r="J385" t="s">
        <v>47</v>
      </c>
      <c r="K385">
        <v>41</v>
      </c>
      <c r="L385" t="str">
        <f t="shared" si="21"/>
        <v>2+years</v>
      </c>
      <c r="M385" t="s">
        <v>55</v>
      </c>
      <c r="N385">
        <v>16000</v>
      </c>
      <c r="O385">
        <v>4</v>
      </c>
      <c r="P385">
        <v>64000</v>
      </c>
      <c r="Q385">
        <f t="shared" si="22"/>
        <v>16000</v>
      </c>
      <c r="R385" s="13">
        <v>70.42</v>
      </c>
      <c r="S385" t="s">
        <v>36</v>
      </c>
      <c r="T385">
        <f t="shared" si="23"/>
        <v>0</v>
      </c>
      <c r="U385">
        <v>0</v>
      </c>
      <c r="V385">
        <v>0</v>
      </c>
      <c r="W385">
        <v>0</v>
      </c>
    </row>
    <row r="386" spans="1:23" x14ac:dyDescent="0.35">
      <c r="A386" s="7" t="s">
        <v>472</v>
      </c>
      <c r="B386" t="s">
        <v>473</v>
      </c>
      <c r="C386" s="1">
        <v>45682</v>
      </c>
      <c r="D386">
        <v>60</v>
      </c>
      <c r="E386" t="str">
        <f t="shared" si="20"/>
        <v>55+</v>
      </c>
      <c r="F386" t="s">
        <v>252</v>
      </c>
      <c r="G386" t="s">
        <v>38</v>
      </c>
      <c r="H386" t="s">
        <v>20</v>
      </c>
      <c r="I386">
        <v>3</v>
      </c>
      <c r="J386" t="s">
        <v>47</v>
      </c>
      <c r="K386">
        <v>41</v>
      </c>
      <c r="L386" t="str">
        <f t="shared" si="21"/>
        <v>2+years</v>
      </c>
      <c r="M386" t="s">
        <v>39</v>
      </c>
      <c r="N386">
        <v>9000</v>
      </c>
      <c r="O386">
        <v>15</v>
      </c>
      <c r="P386">
        <v>135000</v>
      </c>
      <c r="Q386">
        <f t="shared" si="22"/>
        <v>9000</v>
      </c>
      <c r="R386" s="13">
        <v>10.11</v>
      </c>
      <c r="S386" t="s">
        <v>36</v>
      </c>
      <c r="T386">
        <f t="shared" si="23"/>
        <v>0</v>
      </c>
      <c r="U386">
        <v>0</v>
      </c>
      <c r="V386">
        <v>0</v>
      </c>
      <c r="W386">
        <v>0</v>
      </c>
    </row>
    <row r="387" spans="1:23" x14ac:dyDescent="0.35">
      <c r="A387" s="7" t="s">
        <v>474</v>
      </c>
      <c r="B387" t="s">
        <v>475</v>
      </c>
      <c r="C387" s="1">
        <v>45713</v>
      </c>
      <c r="D387">
        <v>37</v>
      </c>
      <c r="E387" t="str">
        <f t="shared" ref="E387:E450" si="24">IF(D387&lt;25,"Under25",IF(D387&lt;35,"25-34",IF(D387&lt;45,"35-44",IF(D387&lt;55,"45-54","55+"))) )</f>
        <v>35-44</v>
      </c>
      <c r="F387" t="s">
        <v>105</v>
      </c>
      <c r="G387" t="s">
        <v>27</v>
      </c>
      <c r="H387" t="s">
        <v>28</v>
      </c>
      <c r="I387">
        <v>3</v>
      </c>
      <c r="J387" t="s">
        <v>47</v>
      </c>
      <c r="K387">
        <v>57</v>
      </c>
      <c r="L387" t="str">
        <f t="shared" ref="L387:L450" si="25">IF(K387&lt;6,"0-5 months",IF(K387&lt;13,"6-12 months",IF(K387&lt;25,"1-2 years","2+years")))</f>
        <v>2+years</v>
      </c>
      <c r="M387" t="s">
        <v>69</v>
      </c>
      <c r="N387">
        <v>350</v>
      </c>
      <c r="O387">
        <v>3</v>
      </c>
      <c r="P387">
        <v>1050</v>
      </c>
      <c r="Q387">
        <f t="shared" ref="Q387:Q450" si="26">P387/O387</f>
        <v>350</v>
      </c>
      <c r="R387" s="13">
        <v>32.950000000000003</v>
      </c>
      <c r="S387" t="s">
        <v>36</v>
      </c>
      <c r="T387">
        <f t="shared" ref="T387:T450" si="27">IF(S387="yes",1,0)</f>
        <v>0</v>
      </c>
      <c r="U387">
        <v>0</v>
      </c>
      <c r="V387">
        <v>0</v>
      </c>
      <c r="W387">
        <v>0</v>
      </c>
    </row>
    <row r="388" spans="1:23" x14ac:dyDescent="0.35">
      <c r="A388" s="7" t="s">
        <v>476</v>
      </c>
      <c r="B388" t="s">
        <v>477</v>
      </c>
      <c r="C388" s="1">
        <v>45682</v>
      </c>
      <c r="D388">
        <v>53</v>
      </c>
      <c r="E388" t="str">
        <f t="shared" si="24"/>
        <v>45-54</v>
      </c>
      <c r="F388" t="s">
        <v>113</v>
      </c>
      <c r="G388" t="s">
        <v>19</v>
      </c>
      <c r="H388" t="s">
        <v>28</v>
      </c>
      <c r="I388">
        <v>1</v>
      </c>
      <c r="J388" t="s">
        <v>34</v>
      </c>
      <c r="K388">
        <v>17</v>
      </c>
      <c r="L388" t="str">
        <f t="shared" si="25"/>
        <v>1-2 years</v>
      </c>
      <c r="M388" t="s">
        <v>55</v>
      </c>
      <c r="N388">
        <v>16000</v>
      </c>
      <c r="O388">
        <v>3</v>
      </c>
      <c r="P388">
        <v>48000</v>
      </c>
      <c r="Q388">
        <f t="shared" si="26"/>
        <v>16000</v>
      </c>
      <c r="R388" s="13">
        <v>109.64</v>
      </c>
      <c r="S388" t="s">
        <v>36</v>
      </c>
      <c r="T388">
        <f t="shared" si="27"/>
        <v>0</v>
      </c>
      <c r="U388">
        <v>0</v>
      </c>
      <c r="V388">
        <v>0</v>
      </c>
      <c r="W388">
        <v>0</v>
      </c>
    </row>
    <row r="389" spans="1:23" x14ac:dyDescent="0.35">
      <c r="A389" s="7" t="s">
        <v>476</v>
      </c>
      <c r="B389" t="s">
        <v>477</v>
      </c>
      <c r="C389" s="1">
        <v>45682</v>
      </c>
      <c r="D389">
        <v>53</v>
      </c>
      <c r="E389" t="str">
        <f t="shared" si="24"/>
        <v>45-54</v>
      </c>
      <c r="F389" t="s">
        <v>113</v>
      </c>
      <c r="G389" t="s">
        <v>33</v>
      </c>
      <c r="H389" t="s">
        <v>28</v>
      </c>
      <c r="I389">
        <v>1</v>
      </c>
      <c r="J389" t="s">
        <v>34</v>
      </c>
      <c r="K389">
        <v>17</v>
      </c>
      <c r="L389" t="str">
        <f t="shared" si="25"/>
        <v>1-2 years</v>
      </c>
      <c r="M389" t="s">
        <v>110</v>
      </c>
      <c r="N389">
        <v>25000</v>
      </c>
      <c r="O389">
        <v>20</v>
      </c>
      <c r="P389">
        <v>500000</v>
      </c>
      <c r="Q389">
        <f t="shared" si="26"/>
        <v>25000</v>
      </c>
      <c r="R389" s="13">
        <v>119.01</v>
      </c>
      <c r="S389" t="s">
        <v>36</v>
      </c>
      <c r="T389">
        <f t="shared" si="27"/>
        <v>0</v>
      </c>
      <c r="U389">
        <v>0</v>
      </c>
      <c r="V389">
        <v>0</v>
      </c>
      <c r="W389">
        <v>0</v>
      </c>
    </row>
    <row r="390" spans="1:23" x14ac:dyDescent="0.35">
      <c r="A390" s="7" t="s">
        <v>478</v>
      </c>
      <c r="B390" t="s">
        <v>479</v>
      </c>
      <c r="C390" s="1">
        <v>45713</v>
      </c>
      <c r="D390">
        <v>19</v>
      </c>
      <c r="E390" t="str">
        <f t="shared" si="24"/>
        <v>Under25</v>
      </c>
      <c r="F390" t="s">
        <v>18</v>
      </c>
      <c r="G390" t="s">
        <v>19</v>
      </c>
      <c r="H390" t="s">
        <v>20</v>
      </c>
      <c r="I390">
        <v>2</v>
      </c>
      <c r="J390" t="s">
        <v>21</v>
      </c>
      <c r="K390">
        <v>39</v>
      </c>
      <c r="L390" t="str">
        <f t="shared" si="25"/>
        <v>2+years</v>
      </c>
      <c r="M390" t="s">
        <v>43</v>
      </c>
      <c r="N390">
        <v>4500</v>
      </c>
      <c r="O390">
        <v>18</v>
      </c>
      <c r="P390">
        <v>81000</v>
      </c>
      <c r="Q390">
        <f t="shared" si="26"/>
        <v>4500</v>
      </c>
      <c r="R390" s="13">
        <v>139.59</v>
      </c>
      <c r="S390" t="s">
        <v>23</v>
      </c>
      <c r="T390">
        <f t="shared" si="27"/>
        <v>1</v>
      </c>
      <c r="U390">
        <v>0</v>
      </c>
      <c r="V390">
        <v>0</v>
      </c>
      <c r="W390">
        <v>0</v>
      </c>
    </row>
    <row r="391" spans="1:23" x14ac:dyDescent="0.35">
      <c r="A391" s="7" t="s">
        <v>480</v>
      </c>
      <c r="B391" t="s">
        <v>481</v>
      </c>
      <c r="C391" s="1">
        <v>45682</v>
      </c>
      <c r="D391">
        <v>52</v>
      </c>
      <c r="E391" t="str">
        <f t="shared" si="24"/>
        <v>45-54</v>
      </c>
      <c r="F391" t="s">
        <v>144</v>
      </c>
      <c r="G391" t="s">
        <v>19</v>
      </c>
      <c r="H391" t="s">
        <v>20</v>
      </c>
      <c r="I391">
        <v>4</v>
      </c>
      <c r="J391" t="s">
        <v>109</v>
      </c>
      <c r="K391">
        <v>7</v>
      </c>
      <c r="L391" t="str">
        <f t="shared" si="25"/>
        <v>6-12 months</v>
      </c>
      <c r="M391" t="s">
        <v>48</v>
      </c>
      <c r="N391">
        <v>9000</v>
      </c>
      <c r="O391">
        <v>3</v>
      </c>
      <c r="P391">
        <v>27000</v>
      </c>
      <c r="Q391">
        <f t="shared" si="26"/>
        <v>9000</v>
      </c>
      <c r="R391" s="13">
        <v>1.26</v>
      </c>
      <c r="S391" t="s">
        <v>36</v>
      </c>
      <c r="T391">
        <f t="shared" si="27"/>
        <v>0</v>
      </c>
      <c r="U391">
        <v>0</v>
      </c>
      <c r="V391">
        <v>0</v>
      </c>
      <c r="W391">
        <v>0</v>
      </c>
    </row>
    <row r="392" spans="1:23" x14ac:dyDescent="0.35">
      <c r="A392" s="7" t="s">
        <v>480</v>
      </c>
      <c r="B392" t="s">
        <v>481</v>
      </c>
      <c r="C392" s="1">
        <v>45682</v>
      </c>
      <c r="D392">
        <v>52</v>
      </c>
      <c r="E392" t="str">
        <f t="shared" si="24"/>
        <v>45-54</v>
      </c>
      <c r="F392" t="s">
        <v>144</v>
      </c>
      <c r="G392" t="s">
        <v>38</v>
      </c>
      <c r="H392" t="s">
        <v>20</v>
      </c>
      <c r="I392">
        <v>4</v>
      </c>
      <c r="J392" t="s">
        <v>109</v>
      </c>
      <c r="K392">
        <v>7</v>
      </c>
      <c r="L392" t="str">
        <f t="shared" si="25"/>
        <v>6-12 months</v>
      </c>
      <c r="M392" t="s">
        <v>62</v>
      </c>
      <c r="N392">
        <v>30000</v>
      </c>
      <c r="O392">
        <v>20</v>
      </c>
      <c r="P392">
        <v>600000</v>
      </c>
      <c r="Q392">
        <f t="shared" si="26"/>
        <v>30000</v>
      </c>
      <c r="R392" s="13">
        <v>164.87</v>
      </c>
      <c r="S392" t="s">
        <v>36</v>
      </c>
      <c r="T392">
        <f t="shared" si="27"/>
        <v>0</v>
      </c>
      <c r="U392">
        <v>0</v>
      </c>
      <c r="V392">
        <v>0</v>
      </c>
      <c r="W392">
        <v>0</v>
      </c>
    </row>
    <row r="393" spans="1:23" x14ac:dyDescent="0.35">
      <c r="A393" s="7" t="s">
        <v>482</v>
      </c>
      <c r="B393" t="s">
        <v>483</v>
      </c>
      <c r="C393" s="1">
        <v>45713</v>
      </c>
      <c r="D393">
        <v>41</v>
      </c>
      <c r="E393" t="str">
        <f t="shared" si="24"/>
        <v>35-44</v>
      </c>
      <c r="F393" t="s">
        <v>91</v>
      </c>
      <c r="G393" t="s">
        <v>38</v>
      </c>
      <c r="H393" t="s">
        <v>20</v>
      </c>
      <c r="I393">
        <v>3</v>
      </c>
      <c r="J393" t="s">
        <v>47</v>
      </c>
      <c r="K393">
        <v>14</v>
      </c>
      <c r="L393" t="str">
        <f t="shared" si="25"/>
        <v>1-2 years</v>
      </c>
      <c r="M393" t="s">
        <v>68</v>
      </c>
      <c r="N393">
        <v>14500</v>
      </c>
      <c r="O393">
        <v>9</v>
      </c>
      <c r="P393">
        <v>130500</v>
      </c>
      <c r="Q393">
        <f t="shared" si="26"/>
        <v>14500</v>
      </c>
      <c r="R393" s="13">
        <v>94.45</v>
      </c>
      <c r="S393" t="s">
        <v>36</v>
      </c>
      <c r="T393">
        <f t="shared" si="27"/>
        <v>0</v>
      </c>
      <c r="U393">
        <v>0</v>
      </c>
      <c r="V393">
        <v>0</v>
      </c>
      <c r="W393">
        <v>0</v>
      </c>
    </row>
    <row r="394" spans="1:23" x14ac:dyDescent="0.35">
      <c r="A394" s="7" t="s">
        <v>482</v>
      </c>
      <c r="B394" t="s">
        <v>483</v>
      </c>
      <c r="C394" s="1">
        <v>45713</v>
      </c>
      <c r="D394">
        <v>41</v>
      </c>
      <c r="E394" t="str">
        <f t="shared" si="24"/>
        <v>35-44</v>
      </c>
      <c r="F394" t="s">
        <v>91</v>
      </c>
      <c r="G394" t="s">
        <v>19</v>
      </c>
      <c r="H394" t="s">
        <v>20</v>
      </c>
      <c r="I394">
        <v>3</v>
      </c>
      <c r="J394" t="s">
        <v>47</v>
      </c>
      <c r="K394">
        <v>14</v>
      </c>
      <c r="L394" t="str">
        <f t="shared" si="25"/>
        <v>1-2 years</v>
      </c>
      <c r="M394" t="s">
        <v>55</v>
      </c>
      <c r="N394">
        <v>16000</v>
      </c>
      <c r="O394">
        <v>13</v>
      </c>
      <c r="P394">
        <v>208000</v>
      </c>
      <c r="Q394">
        <f t="shared" si="26"/>
        <v>16000</v>
      </c>
      <c r="R394" s="13">
        <v>128.55000000000001</v>
      </c>
      <c r="S394" t="s">
        <v>36</v>
      </c>
      <c r="T394">
        <f t="shared" si="27"/>
        <v>0</v>
      </c>
      <c r="U394">
        <v>0</v>
      </c>
      <c r="V394">
        <v>0</v>
      </c>
      <c r="W394">
        <v>0</v>
      </c>
    </row>
    <row r="395" spans="1:23" x14ac:dyDescent="0.35">
      <c r="A395" s="7" t="s">
        <v>484</v>
      </c>
      <c r="B395" t="s">
        <v>485</v>
      </c>
      <c r="C395" s="1">
        <v>45713</v>
      </c>
      <c r="D395">
        <v>63</v>
      </c>
      <c r="E395" t="str">
        <f t="shared" si="24"/>
        <v>55+</v>
      </c>
      <c r="F395" t="s">
        <v>58</v>
      </c>
      <c r="G395" t="s">
        <v>19</v>
      </c>
      <c r="H395" t="s">
        <v>28</v>
      </c>
      <c r="I395">
        <v>1</v>
      </c>
      <c r="J395" t="s">
        <v>34</v>
      </c>
      <c r="K395">
        <v>12</v>
      </c>
      <c r="L395" t="str">
        <f t="shared" si="25"/>
        <v>6-12 months</v>
      </c>
      <c r="M395" t="s">
        <v>55</v>
      </c>
      <c r="N395">
        <v>16000</v>
      </c>
      <c r="O395">
        <v>4</v>
      </c>
      <c r="P395">
        <v>64000</v>
      </c>
      <c r="Q395">
        <f t="shared" si="26"/>
        <v>16000</v>
      </c>
      <c r="R395" s="13">
        <v>30.65</v>
      </c>
      <c r="S395" t="s">
        <v>23</v>
      </c>
      <c r="T395">
        <f t="shared" si="27"/>
        <v>1</v>
      </c>
      <c r="U395">
        <v>0</v>
      </c>
      <c r="V395">
        <v>0</v>
      </c>
      <c r="W395">
        <v>0</v>
      </c>
    </row>
    <row r="396" spans="1:23" x14ac:dyDescent="0.35">
      <c r="A396" s="7" t="s">
        <v>484</v>
      </c>
      <c r="B396" t="s">
        <v>485</v>
      </c>
      <c r="C396" s="1">
        <v>45713</v>
      </c>
      <c r="D396">
        <v>63</v>
      </c>
      <c r="E396" t="str">
        <f t="shared" si="24"/>
        <v>55+</v>
      </c>
      <c r="F396" t="s">
        <v>58</v>
      </c>
      <c r="G396" t="s">
        <v>27</v>
      </c>
      <c r="H396" t="s">
        <v>28</v>
      </c>
      <c r="I396">
        <v>1</v>
      </c>
      <c r="J396" t="s">
        <v>34</v>
      </c>
      <c r="K396">
        <v>12</v>
      </c>
      <c r="L396" t="str">
        <f t="shared" si="25"/>
        <v>6-12 months</v>
      </c>
      <c r="M396" t="s">
        <v>79</v>
      </c>
      <c r="N396">
        <v>1000</v>
      </c>
      <c r="O396">
        <v>18</v>
      </c>
      <c r="P396">
        <v>18000</v>
      </c>
      <c r="Q396">
        <f t="shared" si="26"/>
        <v>1000</v>
      </c>
      <c r="R396" s="13">
        <v>133.79</v>
      </c>
      <c r="S396" t="s">
        <v>23</v>
      </c>
      <c r="T396">
        <f t="shared" si="27"/>
        <v>1</v>
      </c>
      <c r="U396">
        <v>0</v>
      </c>
      <c r="V396">
        <v>0</v>
      </c>
      <c r="W396">
        <v>0</v>
      </c>
    </row>
    <row r="397" spans="1:23" x14ac:dyDescent="0.35">
      <c r="A397" s="7" t="s">
        <v>486</v>
      </c>
      <c r="B397" t="s">
        <v>487</v>
      </c>
      <c r="C397" s="1">
        <v>45713</v>
      </c>
      <c r="D397">
        <v>45</v>
      </c>
      <c r="E397" t="str">
        <f t="shared" si="24"/>
        <v>45-54</v>
      </c>
      <c r="F397" t="s">
        <v>46</v>
      </c>
      <c r="G397" t="s">
        <v>19</v>
      </c>
      <c r="H397" t="s">
        <v>28</v>
      </c>
      <c r="I397">
        <v>5</v>
      </c>
      <c r="J397" t="s">
        <v>52</v>
      </c>
      <c r="K397">
        <v>53</v>
      </c>
      <c r="L397" t="str">
        <f t="shared" si="25"/>
        <v>2+years</v>
      </c>
      <c r="M397" t="s">
        <v>48</v>
      </c>
      <c r="N397">
        <v>9000</v>
      </c>
      <c r="O397">
        <v>2</v>
      </c>
      <c r="P397">
        <v>18000</v>
      </c>
      <c r="Q397">
        <f t="shared" si="26"/>
        <v>9000</v>
      </c>
      <c r="R397" s="13">
        <v>16.25</v>
      </c>
      <c r="S397" t="s">
        <v>36</v>
      </c>
      <c r="T397">
        <f t="shared" si="27"/>
        <v>0</v>
      </c>
      <c r="U397">
        <v>0</v>
      </c>
      <c r="V397">
        <v>0</v>
      </c>
      <c r="W397">
        <v>0</v>
      </c>
    </row>
    <row r="398" spans="1:23" x14ac:dyDescent="0.35">
      <c r="A398" s="7" t="s">
        <v>486</v>
      </c>
      <c r="B398" t="s">
        <v>487</v>
      </c>
      <c r="C398" s="1">
        <v>45713</v>
      </c>
      <c r="D398">
        <v>45</v>
      </c>
      <c r="E398" t="str">
        <f t="shared" si="24"/>
        <v>45-54</v>
      </c>
      <c r="F398" t="s">
        <v>46</v>
      </c>
      <c r="G398" t="s">
        <v>27</v>
      </c>
      <c r="H398" t="s">
        <v>28</v>
      </c>
      <c r="I398">
        <v>5</v>
      </c>
      <c r="J398" t="s">
        <v>52</v>
      </c>
      <c r="K398">
        <v>53</v>
      </c>
      <c r="L398" t="str">
        <f t="shared" si="25"/>
        <v>2+years</v>
      </c>
      <c r="M398" t="s">
        <v>187</v>
      </c>
      <c r="N398">
        <v>6500</v>
      </c>
      <c r="O398">
        <v>17</v>
      </c>
      <c r="P398">
        <v>110500</v>
      </c>
      <c r="Q398">
        <f t="shared" si="26"/>
        <v>6500</v>
      </c>
      <c r="R398" s="13">
        <v>114.46</v>
      </c>
      <c r="S398" t="s">
        <v>36</v>
      </c>
      <c r="T398">
        <f t="shared" si="27"/>
        <v>0</v>
      </c>
      <c r="U398">
        <v>0</v>
      </c>
      <c r="V398">
        <v>0</v>
      </c>
      <c r="W398">
        <v>0</v>
      </c>
    </row>
    <row r="399" spans="1:23" x14ac:dyDescent="0.35">
      <c r="A399" s="7" t="s">
        <v>488</v>
      </c>
      <c r="B399" t="s">
        <v>489</v>
      </c>
      <c r="C399" s="1">
        <v>45713</v>
      </c>
      <c r="D399">
        <v>31</v>
      </c>
      <c r="E399" t="str">
        <f t="shared" si="24"/>
        <v>25-34</v>
      </c>
      <c r="F399" t="s">
        <v>192</v>
      </c>
      <c r="G399" t="s">
        <v>27</v>
      </c>
      <c r="H399" t="s">
        <v>20</v>
      </c>
      <c r="I399">
        <v>2</v>
      </c>
      <c r="J399" t="s">
        <v>21</v>
      </c>
      <c r="K399">
        <v>11</v>
      </c>
      <c r="L399" t="str">
        <f t="shared" si="25"/>
        <v>6-12 months</v>
      </c>
      <c r="M399" t="s">
        <v>69</v>
      </c>
      <c r="N399">
        <v>350</v>
      </c>
      <c r="O399">
        <v>5</v>
      </c>
      <c r="P399">
        <v>1750</v>
      </c>
      <c r="Q399">
        <f t="shared" si="26"/>
        <v>350</v>
      </c>
      <c r="R399" s="13">
        <v>199.46</v>
      </c>
      <c r="S399" t="s">
        <v>23</v>
      </c>
      <c r="T399">
        <f t="shared" si="27"/>
        <v>1</v>
      </c>
      <c r="U399">
        <v>0</v>
      </c>
      <c r="V399">
        <v>0</v>
      </c>
      <c r="W399">
        <v>0</v>
      </c>
    </row>
    <row r="400" spans="1:23" x14ac:dyDescent="0.35">
      <c r="A400" s="7" t="s">
        <v>490</v>
      </c>
      <c r="B400" t="s">
        <v>491</v>
      </c>
      <c r="C400" s="1">
        <v>45713</v>
      </c>
      <c r="D400">
        <v>56</v>
      </c>
      <c r="E400" t="str">
        <f t="shared" si="24"/>
        <v>55+</v>
      </c>
      <c r="F400" t="s">
        <v>141</v>
      </c>
      <c r="G400" t="s">
        <v>27</v>
      </c>
      <c r="H400" t="s">
        <v>20</v>
      </c>
      <c r="I400">
        <v>5</v>
      </c>
      <c r="J400" t="s">
        <v>52</v>
      </c>
      <c r="K400">
        <v>25</v>
      </c>
      <c r="L400" t="str">
        <f t="shared" si="25"/>
        <v>2+years</v>
      </c>
      <c r="M400" t="s">
        <v>187</v>
      </c>
      <c r="N400">
        <v>6500</v>
      </c>
      <c r="O400">
        <v>4</v>
      </c>
      <c r="P400">
        <v>26000</v>
      </c>
      <c r="Q400">
        <f t="shared" si="26"/>
        <v>6500</v>
      </c>
      <c r="R400" s="13">
        <v>156.44999999999999</v>
      </c>
      <c r="S400" t="s">
        <v>36</v>
      </c>
      <c r="T400">
        <f t="shared" si="27"/>
        <v>0</v>
      </c>
      <c r="U400">
        <v>0</v>
      </c>
      <c r="V400">
        <v>0</v>
      </c>
      <c r="W400">
        <v>0</v>
      </c>
    </row>
    <row r="401" spans="1:23" x14ac:dyDescent="0.35">
      <c r="A401" s="7" t="s">
        <v>490</v>
      </c>
      <c r="B401" t="s">
        <v>491</v>
      </c>
      <c r="C401" s="1">
        <v>45713</v>
      </c>
      <c r="D401">
        <v>56</v>
      </c>
      <c r="E401" t="str">
        <f t="shared" si="24"/>
        <v>55+</v>
      </c>
      <c r="F401" t="s">
        <v>141</v>
      </c>
      <c r="G401" t="s">
        <v>38</v>
      </c>
      <c r="H401" t="s">
        <v>20</v>
      </c>
      <c r="I401">
        <v>5</v>
      </c>
      <c r="J401" t="s">
        <v>52</v>
      </c>
      <c r="K401">
        <v>25</v>
      </c>
      <c r="L401" t="str">
        <f t="shared" si="25"/>
        <v>2+years</v>
      </c>
      <c r="M401" t="s">
        <v>68</v>
      </c>
      <c r="N401">
        <v>14500</v>
      </c>
      <c r="O401">
        <v>19</v>
      </c>
      <c r="P401">
        <v>275500</v>
      </c>
      <c r="Q401">
        <f t="shared" si="26"/>
        <v>14500</v>
      </c>
      <c r="R401" s="13">
        <v>30.35</v>
      </c>
      <c r="S401" t="s">
        <v>36</v>
      </c>
      <c r="T401">
        <f t="shared" si="27"/>
        <v>0</v>
      </c>
      <c r="U401">
        <v>0</v>
      </c>
      <c r="V401">
        <v>0</v>
      </c>
      <c r="W401">
        <v>0</v>
      </c>
    </row>
    <row r="402" spans="1:23" x14ac:dyDescent="0.35">
      <c r="A402" s="7" t="s">
        <v>492</v>
      </c>
      <c r="B402" t="s">
        <v>493</v>
      </c>
      <c r="C402" s="1">
        <v>45741</v>
      </c>
      <c r="D402">
        <v>29</v>
      </c>
      <c r="E402" t="str">
        <f t="shared" si="24"/>
        <v>25-34</v>
      </c>
      <c r="F402" t="s">
        <v>91</v>
      </c>
      <c r="G402" t="s">
        <v>27</v>
      </c>
      <c r="H402" t="s">
        <v>28</v>
      </c>
      <c r="I402">
        <v>4</v>
      </c>
      <c r="J402" t="s">
        <v>109</v>
      </c>
      <c r="K402">
        <v>56</v>
      </c>
      <c r="L402" t="str">
        <f t="shared" si="25"/>
        <v>2+years</v>
      </c>
      <c r="M402" t="s">
        <v>159</v>
      </c>
      <c r="N402">
        <v>600</v>
      </c>
      <c r="O402">
        <v>5</v>
      </c>
      <c r="P402">
        <v>3000</v>
      </c>
      <c r="Q402">
        <f t="shared" si="26"/>
        <v>600</v>
      </c>
      <c r="R402" s="13">
        <v>55.45</v>
      </c>
      <c r="S402" t="s">
        <v>23</v>
      </c>
      <c r="T402">
        <f t="shared" si="27"/>
        <v>1</v>
      </c>
      <c r="U402">
        <v>0</v>
      </c>
      <c r="V402">
        <v>0</v>
      </c>
      <c r="W402">
        <v>0</v>
      </c>
    </row>
    <row r="403" spans="1:23" x14ac:dyDescent="0.35">
      <c r="A403" s="7" t="s">
        <v>492</v>
      </c>
      <c r="B403" t="s">
        <v>493</v>
      </c>
      <c r="C403" s="1">
        <v>45741</v>
      </c>
      <c r="D403">
        <v>29</v>
      </c>
      <c r="E403" t="str">
        <f t="shared" si="24"/>
        <v>25-34</v>
      </c>
      <c r="F403" t="s">
        <v>91</v>
      </c>
      <c r="G403" t="s">
        <v>38</v>
      </c>
      <c r="H403" t="s">
        <v>28</v>
      </c>
      <c r="I403">
        <v>4</v>
      </c>
      <c r="J403" t="s">
        <v>109</v>
      </c>
      <c r="K403">
        <v>56</v>
      </c>
      <c r="L403" t="str">
        <f t="shared" si="25"/>
        <v>2+years</v>
      </c>
      <c r="M403" t="s">
        <v>59</v>
      </c>
      <c r="N403">
        <v>24000</v>
      </c>
      <c r="O403">
        <v>13</v>
      </c>
      <c r="P403">
        <v>312000</v>
      </c>
      <c r="Q403">
        <f t="shared" si="26"/>
        <v>24000</v>
      </c>
      <c r="R403" s="13">
        <v>121.93</v>
      </c>
      <c r="S403" t="s">
        <v>23</v>
      </c>
      <c r="T403">
        <f t="shared" si="27"/>
        <v>1</v>
      </c>
      <c r="U403">
        <v>0</v>
      </c>
      <c r="V403">
        <v>0</v>
      </c>
      <c r="W403">
        <v>0</v>
      </c>
    </row>
    <row r="404" spans="1:23" x14ac:dyDescent="0.35">
      <c r="A404" s="7" t="s">
        <v>494</v>
      </c>
      <c r="B404" t="s">
        <v>495</v>
      </c>
      <c r="C404" s="1">
        <v>45713</v>
      </c>
      <c r="D404">
        <v>66</v>
      </c>
      <c r="E404" t="str">
        <f t="shared" si="24"/>
        <v>55+</v>
      </c>
      <c r="F404" t="s">
        <v>152</v>
      </c>
      <c r="G404" t="s">
        <v>33</v>
      </c>
      <c r="H404" t="s">
        <v>20</v>
      </c>
      <c r="I404">
        <v>3</v>
      </c>
      <c r="J404" t="s">
        <v>47</v>
      </c>
      <c r="K404">
        <v>4</v>
      </c>
      <c r="L404" t="str">
        <f t="shared" si="25"/>
        <v>0-5 months</v>
      </c>
      <c r="M404" t="s">
        <v>59</v>
      </c>
      <c r="N404">
        <v>24000</v>
      </c>
      <c r="O404">
        <v>16</v>
      </c>
      <c r="P404">
        <v>384000</v>
      </c>
      <c r="Q404">
        <f t="shared" si="26"/>
        <v>24000</v>
      </c>
      <c r="R404" s="13">
        <v>62.53</v>
      </c>
      <c r="S404" t="s">
        <v>36</v>
      </c>
      <c r="T404">
        <f t="shared" si="27"/>
        <v>0</v>
      </c>
      <c r="U404">
        <v>0</v>
      </c>
      <c r="V404">
        <v>0</v>
      </c>
      <c r="W404">
        <v>0</v>
      </c>
    </row>
    <row r="405" spans="1:23" x14ac:dyDescent="0.35">
      <c r="A405" s="7" t="s">
        <v>496</v>
      </c>
      <c r="B405" t="s">
        <v>497</v>
      </c>
      <c r="C405" s="1">
        <v>45713</v>
      </c>
      <c r="D405">
        <v>45</v>
      </c>
      <c r="E405" t="str">
        <f t="shared" si="24"/>
        <v>45-54</v>
      </c>
      <c r="F405" t="s">
        <v>135</v>
      </c>
      <c r="G405" t="s">
        <v>38</v>
      </c>
      <c r="H405" t="s">
        <v>28</v>
      </c>
      <c r="I405">
        <v>3</v>
      </c>
      <c r="J405" t="s">
        <v>47</v>
      </c>
      <c r="K405">
        <v>48</v>
      </c>
      <c r="L405" t="str">
        <f t="shared" si="25"/>
        <v>2+years</v>
      </c>
      <c r="M405" t="s">
        <v>35</v>
      </c>
      <c r="N405">
        <v>20000</v>
      </c>
      <c r="O405">
        <v>14</v>
      </c>
      <c r="P405">
        <v>280000</v>
      </c>
      <c r="Q405">
        <f t="shared" si="26"/>
        <v>20000</v>
      </c>
      <c r="R405" s="13">
        <v>182.73</v>
      </c>
      <c r="S405" t="s">
        <v>23</v>
      </c>
      <c r="T405">
        <f t="shared" si="27"/>
        <v>1</v>
      </c>
      <c r="U405">
        <v>0</v>
      </c>
      <c r="V405">
        <v>0</v>
      </c>
      <c r="W405">
        <v>0</v>
      </c>
    </row>
    <row r="406" spans="1:23" x14ac:dyDescent="0.35">
      <c r="A406" s="7" t="s">
        <v>496</v>
      </c>
      <c r="B406" t="s">
        <v>497</v>
      </c>
      <c r="C406" s="1">
        <v>45713</v>
      </c>
      <c r="D406">
        <v>45</v>
      </c>
      <c r="E406" t="str">
        <f t="shared" si="24"/>
        <v>45-54</v>
      </c>
      <c r="F406" t="s">
        <v>135</v>
      </c>
      <c r="G406" t="s">
        <v>27</v>
      </c>
      <c r="H406" t="s">
        <v>28</v>
      </c>
      <c r="I406">
        <v>3</v>
      </c>
      <c r="J406" t="s">
        <v>47</v>
      </c>
      <c r="K406">
        <v>48</v>
      </c>
      <c r="L406" t="str">
        <f t="shared" si="25"/>
        <v>2+years</v>
      </c>
      <c r="M406" t="s">
        <v>29</v>
      </c>
      <c r="N406">
        <v>5500</v>
      </c>
      <c r="O406">
        <v>12</v>
      </c>
      <c r="P406">
        <v>66000</v>
      </c>
      <c r="Q406">
        <f t="shared" si="26"/>
        <v>5500</v>
      </c>
      <c r="R406" s="13">
        <v>152.02000000000001</v>
      </c>
      <c r="S406" t="s">
        <v>23</v>
      </c>
      <c r="T406">
        <f t="shared" si="27"/>
        <v>1</v>
      </c>
      <c r="U406">
        <v>0</v>
      </c>
      <c r="V406">
        <v>0</v>
      </c>
      <c r="W406">
        <v>0</v>
      </c>
    </row>
    <row r="407" spans="1:23" x14ac:dyDescent="0.35">
      <c r="A407" s="7" t="s">
        <v>496</v>
      </c>
      <c r="B407" t="s">
        <v>497</v>
      </c>
      <c r="C407" s="1">
        <v>45713</v>
      </c>
      <c r="D407">
        <v>45</v>
      </c>
      <c r="E407" t="str">
        <f t="shared" si="24"/>
        <v>45-54</v>
      </c>
      <c r="F407" t="s">
        <v>135</v>
      </c>
      <c r="G407" t="s">
        <v>19</v>
      </c>
      <c r="H407" t="s">
        <v>28</v>
      </c>
      <c r="I407">
        <v>3</v>
      </c>
      <c r="J407" t="s">
        <v>47</v>
      </c>
      <c r="K407">
        <v>48</v>
      </c>
      <c r="L407" t="str">
        <f t="shared" si="25"/>
        <v>2+years</v>
      </c>
      <c r="M407" t="s">
        <v>55</v>
      </c>
      <c r="N407">
        <v>16000</v>
      </c>
      <c r="O407">
        <v>6</v>
      </c>
      <c r="P407">
        <v>96000</v>
      </c>
      <c r="Q407">
        <f t="shared" si="26"/>
        <v>16000</v>
      </c>
      <c r="R407" s="13">
        <v>103.3</v>
      </c>
      <c r="S407" t="s">
        <v>23</v>
      </c>
      <c r="T407">
        <f t="shared" si="27"/>
        <v>1</v>
      </c>
      <c r="U407">
        <v>0</v>
      </c>
      <c r="V407">
        <v>0</v>
      </c>
      <c r="W407">
        <v>0</v>
      </c>
    </row>
    <row r="408" spans="1:23" x14ac:dyDescent="0.35">
      <c r="A408" s="7" t="s">
        <v>498</v>
      </c>
      <c r="B408" t="s">
        <v>499</v>
      </c>
      <c r="C408" s="1">
        <v>45682</v>
      </c>
      <c r="D408">
        <v>55</v>
      </c>
      <c r="E408" t="str">
        <f t="shared" si="24"/>
        <v>55+</v>
      </c>
      <c r="F408" t="s">
        <v>183</v>
      </c>
      <c r="G408" t="s">
        <v>38</v>
      </c>
      <c r="H408" t="s">
        <v>28</v>
      </c>
      <c r="I408">
        <v>2</v>
      </c>
      <c r="J408" t="s">
        <v>21</v>
      </c>
      <c r="K408">
        <v>9</v>
      </c>
      <c r="L408" t="str">
        <f t="shared" si="25"/>
        <v>6-12 months</v>
      </c>
      <c r="M408" t="s">
        <v>35</v>
      </c>
      <c r="N408">
        <v>20000</v>
      </c>
      <c r="O408">
        <v>2</v>
      </c>
      <c r="P408">
        <v>40000</v>
      </c>
      <c r="Q408">
        <f t="shared" si="26"/>
        <v>20000</v>
      </c>
      <c r="R408" s="13">
        <v>7.1</v>
      </c>
      <c r="S408" t="s">
        <v>23</v>
      </c>
      <c r="T408">
        <f t="shared" si="27"/>
        <v>1</v>
      </c>
      <c r="U408">
        <v>0</v>
      </c>
      <c r="V408">
        <v>0</v>
      </c>
      <c r="W408">
        <v>0</v>
      </c>
    </row>
    <row r="409" spans="1:23" x14ac:dyDescent="0.35">
      <c r="A409" s="7" t="s">
        <v>500</v>
      </c>
      <c r="B409" t="s">
        <v>501</v>
      </c>
      <c r="C409" s="1">
        <v>45713</v>
      </c>
      <c r="D409">
        <v>41</v>
      </c>
      <c r="E409" t="str">
        <f t="shared" si="24"/>
        <v>35-44</v>
      </c>
      <c r="F409" t="s">
        <v>186</v>
      </c>
      <c r="G409" t="s">
        <v>38</v>
      </c>
      <c r="H409" t="s">
        <v>28</v>
      </c>
      <c r="I409">
        <v>5</v>
      </c>
      <c r="J409" t="s">
        <v>52</v>
      </c>
      <c r="K409">
        <v>53</v>
      </c>
      <c r="L409" t="str">
        <f t="shared" si="25"/>
        <v>2+years</v>
      </c>
      <c r="M409" t="s">
        <v>35</v>
      </c>
      <c r="N409">
        <v>20000</v>
      </c>
      <c r="O409">
        <v>20</v>
      </c>
      <c r="P409">
        <v>400000</v>
      </c>
      <c r="Q409">
        <f t="shared" si="26"/>
        <v>20000</v>
      </c>
      <c r="R409" s="13">
        <v>74.81</v>
      </c>
      <c r="S409" t="s">
        <v>36</v>
      </c>
      <c r="T409">
        <f t="shared" si="27"/>
        <v>0</v>
      </c>
      <c r="U409">
        <v>0</v>
      </c>
      <c r="V409">
        <v>0</v>
      </c>
      <c r="W409">
        <v>0</v>
      </c>
    </row>
    <row r="410" spans="1:23" x14ac:dyDescent="0.35">
      <c r="A410" s="7" t="s">
        <v>502</v>
      </c>
      <c r="B410" t="s">
        <v>503</v>
      </c>
      <c r="C410" s="1">
        <v>45713</v>
      </c>
      <c r="D410">
        <v>38</v>
      </c>
      <c r="E410" t="str">
        <f t="shared" si="24"/>
        <v>35-44</v>
      </c>
      <c r="F410" t="s">
        <v>207</v>
      </c>
      <c r="G410" t="s">
        <v>38</v>
      </c>
      <c r="H410" t="s">
        <v>28</v>
      </c>
      <c r="I410">
        <v>3</v>
      </c>
      <c r="J410" t="s">
        <v>47</v>
      </c>
      <c r="K410">
        <v>23</v>
      </c>
      <c r="L410" t="str">
        <f t="shared" si="25"/>
        <v>1-2 years</v>
      </c>
      <c r="M410" t="s">
        <v>68</v>
      </c>
      <c r="N410">
        <v>14500</v>
      </c>
      <c r="O410">
        <v>19</v>
      </c>
      <c r="P410">
        <v>275500</v>
      </c>
      <c r="Q410">
        <f t="shared" si="26"/>
        <v>14500</v>
      </c>
      <c r="R410" s="13">
        <v>10.41</v>
      </c>
      <c r="S410" t="s">
        <v>36</v>
      </c>
      <c r="T410">
        <f t="shared" si="27"/>
        <v>0</v>
      </c>
      <c r="U410">
        <v>0</v>
      </c>
      <c r="V410">
        <v>0</v>
      </c>
      <c r="W410">
        <v>0</v>
      </c>
    </row>
    <row r="411" spans="1:23" x14ac:dyDescent="0.35">
      <c r="A411" s="7" t="s">
        <v>502</v>
      </c>
      <c r="B411" t="s">
        <v>503</v>
      </c>
      <c r="C411" s="1">
        <v>45713</v>
      </c>
      <c r="D411">
        <v>38</v>
      </c>
      <c r="E411" t="str">
        <f t="shared" si="24"/>
        <v>35-44</v>
      </c>
      <c r="F411" t="s">
        <v>207</v>
      </c>
      <c r="G411" t="s">
        <v>27</v>
      </c>
      <c r="H411" t="s">
        <v>28</v>
      </c>
      <c r="I411">
        <v>3</v>
      </c>
      <c r="J411" t="s">
        <v>47</v>
      </c>
      <c r="K411">
        <v>23</v>
      </c>
      <c r="L411" t="str">
        <f t="shared" si="25"/>
        <v>1-2 years</v>
      </c>
      <c r="M411" t="s">
        <v>43</v>
      </c>
      <c r="N411">
        <v>4500</v>
      </c>
      <c r="O411">
        <v>8</v>
      </c>
      <c r="P411">
        <v>36000</v>
      </c>
      <c r="Q411">
        <f t="shared" si="26"/>
        <v>4500</v>
      </c>
      <c r="R411" s="13">
        <v>171.49</v>
      </c>
      <c r="S411" t="s">
        <v>36</v>
      </c>
      <c r="T411">
        <f t="shared" si="27"/>
        <v>0</v>
      </c>
      <c r="U411">
        <v>0</v>
      </c>
      <c r="V411">
        <v>0</v>
      </c>
      <c r="W411">
        <v>0</v>
      </c>
    </row>
    <row r="412" spans="1:23" x14ac:dyDescent="0.35">
      <c r="A412" s="7" t="s">
        <v>502</v>
      </c>
      <c r="B412" t="s">
        <v>503</v>
      </c>
      <c r="C412" s="1">
        <v>45713</v>
      </c>
      <c r="D412">
        <v>38</v>
      </c>
      <c r="E412" t="str">
        <f t="shared" si="24"/>
        <v>35-44</v>
      </c>
      <c r="F412" t="s">
        <v>207</v>
      </c>
      <c r="G412" t="s">
        <v>27</v>
      </c>
      <c r="H412" t="s">
        <v>28</v>
      </c>
      <c r="I412">
        <v>3</v>
      </c>
      <c r="J412" t="s">
        <v>47</v>
      </c>
      <c r="K412">
        <v>23</v>
      </c>
      <c r="L412" t="str">
        <f t="shared" si="25"/>
        <v>1-2 years</v>
      </c>
      <c r="M412" t="s">
        <v>69</v>
      </c>
      <c r="N412">
        <v>350</v>
      </c>
      <c r="O412">
        <v>14</v>
      </c>
      <c r="P412">
        <v>4900</v>
      </c>
      <c r="Q412">
        <f t="shared" si="26"/>
        <v>350</v>
      </c>
      <c r="R412" s="13">
        <v>54.18</v>
      </c>
      <c r="S412" t="s">
        <v>36</v>
      </c>
      <c r="T412">
        <f t="shared" si="27"/>
        <v>0</v>
      </c>
      <c r="U412">
        <v>0</v>
      </c>
      <c r="V412">
        <v>0</v>
      </c>
      <c r="W412">
        <v>0</v>
      </c>
    </row>
    <row r="413" spans="1:23" x14ac:dyDescent="0.35">
      <c r="A413" s="7" t="s">
        <v>504</v>
      </c>
      <c r="B413" t="s">
        <v>505</v>
      </c>
      <c r="C413" s="1">
        <v>45713</v>
      </c>
      <c r="D413">
        <v>18</v>
      </c>
      <c r="E413" t="str">
        <f t="shared" si="24"/>
        <v>Under25</v>
      </c>
      <c r="F413" t="s">
        <v>444</v>
      </c>
      <c r="G413" t="s">
        <v>19</v>
      </c>
      <c r="H413" t="s">
        <v>28</v>
      </c>
      <c r="I413">
        <v>2</v>
      </c>
      <c r="J413" t="s">
        <v>21</v>
      </c>
      <c r="K413">
        <v>59</v>
      </c>
      <c r="L413" t="str">
        <f t="shared" si="25"/>
        <v>2+years</v>
      </c>
      <c r="M413" t="s">
        <v>43</v>
      </c>
      <c r="N413">
        <v>4500</v>
      </c>
      <c r="O413">
        <v>10</v>
      </c>
      <c r="P413">
        <v>45000</v>
      </c>
      <c r="Q413">
        <f t="shared" si="26"/>
        <v>4500</v>
      </c>
      <c r="R413" s="13">
        <v>121.86</v>
      </c>
      <c r="S413" t="s">
        <v>36</v>
      </c>
      <c r="T413">
        <f t="shared" si="27"/>
        <v>0</v>
      </c>
      <c r="U413">
        <v>0</v>
      </c>
      <c r="V413">
        <v>0</v>
      </c>
      <c r="W413">
        <v>0</v>
      </c>
    </row>
    <row r="414" spans="1:23" x14ac:dyDescent="0.35">
      <c r="A414" s="7" t="s">
        <v>506</v>
      </c>
      <c r="B414" t="s">
        <v>507</v>
      </c>
      <c r="C414" s="1">
        <v>45741</v>
      </c>
      <c r="D414">
        <v>70</v>
      </c>
      <c r="E414" t="str">
        <f t="shared" si="24"/>
        <v>55+</v>
      </c>
      <c r="F414" t="s">
        <v>58</v>
      </c>
      <c r="G414" t="s">
        <v>27</v>
      </c>
      <c r="H414" t="s">
        <v>28</v>
      </c>
      <c r="I414">
        <v>2</v>
      </c>
      <c r="J414" t="s">
        <v>21</v>
      </c>
      <c r="K414">
        <v>30</v>
      </c>
      <c r="L414" t="str">
        <f t="shared" si="25"/>
        <v>2+years</v>
      </c>
      <c r="M414" t="s">
        <v>97</v>
      </c>
      <c r="N414">
        <v>900</v>
      </c>
      <c r="O414">
        <v>12</v>
      </c>
      <c r="P414">
        <v>10800</v>
      </c>
      <c r="Q414">
        <f t="shared" si="26"/>
        <v>900</v>
      </c>
      <c r="R414" s="13">
        <v>102.55</v>
      </c>
      <c r="S414" t="s">
        <v>36</v>
      </c>
      <c r="T414">
        <f t="shared" si="27"/>
        <v>0</v>
      </c>
      <c r="U414">
        <v>0</v>
      </c>
      <c r="V414">
        <v>0</v>
      </c>
      <c r="W414">
        <v>0</v>
      </c>
    </row>
    <row r="415" spans="1:23" x14ac:dyDescent="0.35">
      <c r="A415" s="7" t="s">
        <v>506</v>
      </c>
      <c r="B415" t="s">
        <v>507</v>
      </c>
      <c r="C415" s="1">
        <v>45741</v>
      </c>
      <c r="D415">
        <v>70</v>
      </c>
      <c r="E415" t="str">
        <f t="shared" si="24"/>
        <v>55+</v>
      </c>
      <c r="F415" t="s">
        <v>58</v>
      </c>
      <c r="G415" t="s">
        <v>33</v>
      </c>
      <c r="H415" t="s">
        <v>28</v>
      </c>
      <c r="I415">
        <v>2</v>
      </c>
      <c r="J415" t="s">
        <v>21</v>
      </c>
      <c r="K415">
        <v>30</v>
      </c>
      <c r="L415" t="str">
        <f t="shared" si="25"/>
        <v>2+years</v>
      </c>
      <c r="M415" t="s">
        <v>59</v>
      </c>
      <c r="N415">
        <v>24000</v>
      </c>
      <c r="O415">
        <v>4</v>
      </c>
      <c r="P415">
        <v>96000</v>
      </c>
      <c r="Q415">
        <f t="shared" si="26"/>
        <v>24000</v>
      </c>
      <c r="R415" s="13">
        <v>60.05</v>
      </c>
      <c r="S415" t="s">
        <v>36</v>
      </c>
      <c r="T415">
        <f t="shared" si="27"/>
        <v>0</v>
      </c>
      <c r="U415">
        <v>0</v>
      </c>
      <c r="V415">
        <v>0</v>
      </c>
      <c r="W415">
        <v>0</v>
      </c>
    </row>
    <row r="416" spans="1:23" x14ac:dyDescent="0.35">
      <c r="A416" s="7" t="s">
        <v>506</v>
      </c>
      <c r="B416" t="s">
        <v>507</v>
      </c>
      <c r="C416" s="1">
        <v>45741</v>
      </c>
      <c r="D416">
        <v>70</v>
      </c>
      <c r="E416" t="str">
        <f t="shared" si="24"/>
        <v>55+</v>
      </c>
      <c r="F416" t="s">
        <v>58</v>
      </c>
      <c r="G416" t="s">
        <v>38</v>
      </c>
      <c r="H416" t="s">
        <v>28</v>
      </c>
      <c r="I416">
        <v>2</v>
      </c>
      <c r="J416" t="s">
        <v>21</v>
      </c>
      <c r="K416">
        <v>30</v>
      </c>
      <c r="L416" t="str">
        <f t="shared" si="25"/>
        <v>2+years</v>
      </c>
      <c r="M416" t="s">
        <v>68</v>
      </c>
      <c r="N416">
        <v>14500</v>
      </c>
      <c r="O416">
        <v>9</v>
      </c>
      <c r="P416">
        <v>130500</v>
      </c>
      <c r="Q416">
        <f t="shared" si="26"/>
        <v>14500</v>
      </c>
      <c r="R416" s="13">
        <v>13.24</v>
      </c>
      <c r="S416" t="s">
        <v>36</v>
      </c>
      <c r="T416">
        <f t="shared" si="27"/>
        <v>0</v>
      </c>
      <c r="U416">
        <v>0</v>
      </c>
      <c r="V416">
        <v>0</v>
      </c>
      <c r="W416">
        <v>0</v>
      </c>
    </row>
    <row r="417" spans="1:23" x14ac:dyDescent="0.35">
      <c r="A417" s="7" t="s">
        <v>508</v>
      </c>
      <c r="B417" t="s">
        <v>509</v>
      </c>
      <c r="C417" s="1">
        <v>45713</v>
      </c>
      <c r="D417">
        <v>51</v>
      </c>
      <c r="E417" t="str">
        <f t="shared" si="24"/>
        <v>45-54</v>
      </c>
      <c r="F417" t="s">
        <v>138</v>
      </c>
      <c r="G417" t="s">
        <v>27</v>
      </c>
      <c r="H417" t="s">
        <v>28</v>
      </c>
      <c r="I417">
        <v>5</v>
      </c>
      <c r="J417" t="s">
        <v>52</v>
      </c>
      <c r="K417">
        <v>13</v>
      </c>
      <c r="L417" t="str">
        <f t="shared" si="25"/>
        <v>1-2 years</v>
      </c>
      <c r="M417" t="s">
        <v>53</v>
      </c>
      <c r="N417">
        <v>3500</v>
      </c>
      <c r="O417">
        <v>1</v>
      </c>
      <c r="P417">
        <v>3500</v>
      </c>
      <c r="Q417">
        <f t="shared" si="26"/>
        <v>3500</v>
      </c>
      <c r="R417" s="13">
        <v>136.31</v>
      </c>
      <c r="S417" t="s">
        <v>36</v>
      </c>
      <c r="T417">
        <f t="shared" si="27"/>
        <v>0</v>
      </c>
      <c r="U417">
        <v>0</v>
      </c>
      <c r="V417">
        <v>0</v>
      </c>
      <c r="W417">
        <v>0</v>
      </c>
    </row>
    <row r="418" spans="1:23" x14ac:dyDescent="0.35">
      <c r="A418" s="7" t="s">
        <v>510</v>
      </c>
      <c r="B418" t="s">
        <v>511</v>
      </c>
      <c r="C418" s="1">
        <v>45713</v>
      </c>
      <c r="D418">
        <v>53</v>
      </c>
      <c r="E418" t="str">
        <f t="shared" si="24"/>
        <v>45-54</v>
      </c>
      <c r="F418" t="s">
        <v>138</v>
      </c>
      <c r="G418" t="s">
        <v>27</v>
      </c>
      <c r="H418" t="s">
        <v>28</v>
      </c>
      <c r="I418">
        <v>1</v>
      </c>
      <c r="J418" t="s">
        <v>34</v>
      </c>
      <c r="K418">
        <v>26</v>
      </c>
      <c r="L418" t="str">
        <f t="shared" si="25"/>
        <v>2+years</v>
      </c>
      <c r="M418" t="s">
        <v>22</v>
      </c>
      <c r="N418">
        <v>35000</v>
      </c>
      <c r="O418">
        <v>12</v>
      </c>
      <c r="P418">
        <v>420000</v>
      </c>
      <c r="Q418">
        <f t="shared" si="26"/>
        <v>35000</v>
      </c>
      <c r="R418" s="13">
        <v>181.35</v>
      </c>
      <c r="S418" t="s">
        <v>36</v>
      </c>
      <c r="T418">
        <f t="shared" si="27"/>
        <v>0</v>
      </c>
      <c r="U418">
        <v>0</v>
      </c>
      <c r="V418">
        <v>0</v>
      </c>
      <c r="W418">
        <v>0</v>
      </c>
    </row>
    <row r="419" spans="1:23" x14ac:dyDescent="0.35">
      <c r="A419" s="7" t="s">
        <v>510</v>
      </c>
      <c r="B419" t="s">
        <v>511</v>
      </c>
      <c r="C419" s="1">
        <v>45713</v>
      </c>
      <c r="D419">
        <v>53</v>
      </c>
      <c r="E419" t="str">
        <f t="shared" si="24"/>
        <v>45-54</v>
      </c>
      <c r="F419" t="s">
        <v>138</v>
      </c>
      <c r="G419" t="s">
        <v>27</v>
      </c>
      <c r="H419" t="s">
        <v>28</v>
      </c>
      <c r="I419">
        <v>1</v>
      </c>
      <c r="J419" t="s">
        <v>34</v>
      </c>
      <c r="K419">
        <v>26</v>
      </c>
      <c r="L419" t="str">
        <f t="shared" si="25"/>
        <v>2+years</v>
      </c>
      <c r="M419" t="s">
        <v>187</v>
      </c>
      <c r="N419">
        <v>6500</v>
      </c>
      <c r="O419">
        <v>6</v>
      </c>
      <c r="P419">
        <v>39000</v>
      </c>
      <c r="Q419">
        <f t="shared" si="26"/>
        <v>6500</v>
      </c>
      <c r="R419" s="13">
        <v>60.39</v>
      </c>
      <c r="S419" t="s">
        <v>36</v>
      </c>
      <c r="T419">
        <f t="shared" si="27"/>
        <v>0</v>
      </c>
      <c r="U419">
        <v>0</v>
      </c>
      <c r="V419">
        <v>0</v>
      </c>
      <c r="W419">
        <v>0</v>
      </c>
    </row>
    <row r="420" spans="1:23" x14ac:dyDescent="0.35">
      <c r="A420" s="7" t="s">
        <v>510</v>
      </c>
      <c r="B420" t="s">
        <v>511</v>
      </c>
      <c r="C420" s="1">
        <v>45713</v>
      </c>
      <c r="D420">
        <v>53</v>
      </c>
      <c r="E420" t="str">
        <f t="shared" si="24"/>
        <v>45-54</v>
      </c>
      <c r="F420" t="s">
        <v>138</v>
      </c>
      <c r="G420" t="s">
        <v>38</v>
      </c>
      <c r="H420" t="s">
        <v>28</v>
      </c>
      <c r="I420">
        <v>1</v>
      </c>
      <c r="J420" t="s">
        <v>34</v>
      </c>
      <c r="K420">
        <v>26</v>
      </c>
      <c r="L420" t="str">
        <f t="shared" si="25"/>
        <v>2+years</v>
      </c>
      <c r="M420" t="s">
        <v>59</v>
      </c>
      <c r="N420">
        <v>24000</v>
      </c>
      <c r="O420">
        <v>4</v>
      </c>
      <c r="P420">
        <v>96000</v>
      </c>
      <c r="Q420">
        <f t="shared" si="26"/>
        <v>24000</v>
      </c>
      <c r="R420" s="13">
        <v>36.64</v>
      </c>
      <c r="S420" t="s">
        <v>36</v>
      </c>
      <c r="T420">
        <f t="shared" si="27"/>
        <v>0</v>
      </c>
      <c r="U420">
        <v>0</v>
      </c>
      <c r="V420">
        <v>0</v>
      </c>
      <c r="W420">
        <v>0</v>
      </c>
    </row>
    <row r="421" spans="1:23" x14ac:dyDescent="0.35">
      <c r="A421" s="7" t="s">
        <v>512</v>
      </c>
      <c r="B421" t="s">
        <v>513</v>
      </c>
      <c r="C421" s="1">
        <v>45741</v>
      </c>
      <c r="D421">
        <v>32</v>
      </c>
      <c r="E421" t="str">
        <f t="shared" si="24"/>
        <v>25-34</v>
      </c>
      <c r="F421" t="s">
        <v>138</v>
      </c>
      <c r="G421" t="s">
        <v>33</v>
      </c>
      <c r="H421" t="s">
        <v>20</v>
      </c>
      <c r="I421">
        <v>1</v>
      </c>
      <c r="J421" t="s">
        <v>34</v>
      </c>
      <c r="K421">
        <v>44</v>
      </c>
      <c r="L421" t="str">
        <f t="shared" si="25"/>
        <v>2+years</v>
      </c>
      <c r="M421" t="s">
        <v>110</v>
      </c>
      <c r="N421">
        <v>25000</v>
      </c>
      <c r="O421">
        <v>10</v>
      </c>
      <c r="P421">
        <v>250000</v>
      </c>
      <c r="Q421">
        <f t="shared" si="26"/>
        <v>25000</v>
      </c>
      <c r="R421" s="13">
        <v>52.48</v>
      </c>
      <c r="S421" t="s">
        <v>23</v>
      </c>
      <c r="T421">
        <f t="shared" si="27"/>
        <v>1</v>
      </c>
      <c r="U421">
        <v>0</v>
      </c>
      <c r="V421">
        <v>0</v>
      </c>
      <c r="W421">
        <v>0</v>
      </c>
    </row>
    <row r="422" spans="1:23" x14ac:dyDescent="0.35">
      <c r="A422" s="7" t="s">
        <v>512</v>
      </c>
      <c r="B422" t="s">
        <v>513</v>
      </c>
      <c r="C422" s="1">
        <v>45741</v>
      </c>
      <c r="D422">
        <v>32</v>
      </c>
      <c r="E422" t="str">
        <f t="shared" si="24"/>
        <v>25-34</v>
      </c>
      <c r="F422" t="s">
        <v>138</v>
      </c>
      <c r="G422" t="s">
        <v>19</v>
      </c>
      <c r="H422" t="s">
        <v>20</v>
      </c>
      <c r="I422">
        <v>1</v>
      </c>
      <c r="J422" t="s">
        <v>34</v>
      </c>
      <c r="K422">
        <v>44</v>
      </c>
      <c r="L422" t="str">
        <f t="shared" si="25"/>
        <v>2+years</v>
      </c>
      <c r="M422" t="s">
        <v>22</v>
      </c>
      <c r="N422">
        <v>35000</v>
      </c>
      <c r="O422">
        <v>16</v>
      </c>
      <c r="P422">
        <v>560000</v>
      </c>
      <c r="Q422">
        <f t="shared" si="26"/>
        <v>35000</v>
      </c>
      <c r="R422" s="13">
        <v>170.32</v>
      </c>
      <c r="S422" t="s">
        <v>23</v>
      </c>
      <c r="T422">
        <f t="shared" si="27"/>
        <v>1</v>
      </c>
      <c r="U422">
        <v>0</v>
      </c>
      <c r="V422">
        <v>0</v>
      </c>
      <c r="W422">
        <v>0</v>
      </c>
    </row>
    <row r="423" spans="1:23" x14ac:dyDescent="0.35">
      <c r="A423" s="7" t="s">
        <v>512</v>
      </c>
      <c r="B423" t="s">
        <v>513</v>
      </c>
      <c r="C423" s="1">
        <v>45741</v>
      </c>
      <c r="D423">
        <v>32</v>
      </c>
      <c r="E423" t="str">
        <f t="shared" si="24"/>
        <v>25-34</v>
      </c>
      <c r="F423" t="s">
        <v>138</v>
      </c>
      <c r="G423" t="s">
        <v>27</v>
      </c>
      <c r="H423" t="s">
        <v>20</v>
      </c>
      <c r="I423">
        <v>1</v>
      </c>
      <c r="J423" t="s">
        <v>34</v>
      </c>
      <c r="K423">
        <v>44</v>
      </c>
      <c r="L423" t="str">
        <f t="shared" si="25"/>
        <v>2+years</v>
      </c>
      <c r="M423" t="s">
        <v>97</v>
      </c>
      <c r="N423">
        <v>900</v>
      </c>
      <c r="O423">
        <v>19</v>
      </c>
      <c r="P423">
        <v>17100</v>
      </c>
      <c r="Q423">
        <f t="shared" si="26"/>
        <v>900</v>
      </c>
      <c r="R423" s="13">
        <v>173.35</v>
      </c>
      <c r="S423" t="s">
        <v>23</v>
      </c>
      <c r="T423">
        <f t="shared" si="27"/>
        <v>1</v>
      </c>
      <c r="U423">
        <v>0</v>
      </c>
      <c r="V423">
        <v>0</v>
      </c>
      <c r="W423">
        <v>0</v>
      </c>
    </row>
    <row r="424" spans="1:23" x14ac:dyDescent="0.35">
      <c r="A424" s="7" t="s">
        <v>514</v>
      </c>
      <c r="B424" t="s">
        <v>515</v>
      </c>
      <c r="C424" s="1">
        <v>45713</v>
      </c>
      <c r="D424">
        <v>76</v>
      </c>
      <c r="E424" t="str">
        <f t="shared" si="24"/>
        <v>55+</v>
      </c>
      <c r="F424" t="s">
        <v>116</v>
      </c>
      <c r="G424" t="s">
        <v>19</v>
      </c>
      <c r="H424" t="s">
        <v>20</v>
      </c>
      <c r="I424">
        <v>5</v>
      </c>
      <c r="J424" t="s">
        <v>52</v>
      </c>
      <c r="K424">
        <v>56</v>
      </c>
      <c r="L424" t="str">
        <f t="shared" si="25"/>
        <v>2+years</v>
      </c>
      <c r="M424" t="s">
        <v>43</v>
      </c>
      <c r="N424">
        <v>4500</v>
      </c>
      <c r="O424">
        <v>19</v>
      </c>
      <c r="P424">
        <v>85500</v>
      </c>
      <c r="Q424">
        <f t="shared" si="26"/>
        <v>4500</v>
      </c>
      <c r="R424" s="13">
        <v>68.86</v>
      </c>
      <c r="S424" t="s">
        <v>23</v>
      </c>
      <c r="T424">
        <f t="shared" si="27"/>
        <v>1</v>
      </c>
      <c r="U424">
        <v>0</v>
      </c>
      <c r="V424">
        <v>0</v>
      </c>
      <c r="W424">
        <v>0</v>
      </c>
    </row>
    <row r="425" spans="1:23" x14ac:dyDescent="0.35">
      <c r="A425" s="7" t="s">
        <v>516</v>
      </c>
      <c r="B425" t="s">
        <v>517</v>
      </c>
      <c r="C425" s="1">
        <v>45682</v>
      </c>
      <c r="D425">
        <v>34</v>
      </c>
      <c r="E425" t="str">
        <f t="shared" si="24"/>
        <v>25-34</v>
      </c>
      <c r="F425" t="s">
        <v>252</v>
      </c>
      <c r="G425" t="s">
        <v>33</v>
      </c>
      <c r="H425" t="s">
        <v>20</v>
      </c>
      <c r="I425">
        <v>4</v>
      </c>
      <c r="J425" t="s">
        <v>109</v>
      </c>
      <c r="K425">
        <v>50</v>
      </c>
      <c r="L425" t="str">
        <f t="shared" si="25"/>
        <v>2+years</v>
      </c>
      <c r="M425" t="s">
        <v>39</v>
      </c>
      <c r="N425">
        <v>9000</v>
      </c>
      <c r="O425">
        <v>9</v>
      </c>
      <c r="P425">
        <v>81000</v>
      </c>
      <c r="Q425">
        <f t="shared" si="26"/>
        <v>9000</v>
      </c>
      <c r="R425" s="13">
        <v>1.44</v>
      </c>
      <c r="S425" t="s">
        <v>36</v>
      </c>
      <c r="T425">
        <f t="shared" si="27"/>
        <v>0</v>
      </c>
      <c r="U425">
        <v>0</v>
      </c>
      <c r="V425">
        <v>0</v>
      </c>
      <c r="W425">
        <v>0</v>
      </c>
    </row>
    <row r="426" spans="1:23" x14ac:dyDescent="0.35">
      <c r="A426" s="7" t="s">
        <v>518</v>
      </c>
      <c r="B426" t="s">
        <v>519</v>
      </c>
      <c r="C426" s="1">
        <v>45682</v>
      </c>
      <c r="D426">
        <v>37</v>
      </c>
      <c r="E426" t="str">
        <f t="shared" si="24"/>
        <v>35-44</v>
      </c>
      <c r="F426" t="s">
        <v>26</v>
      </c>
      <c r="G426" t="s">
        <v>27</v>
      </c>
      <c r="H426" t="s">
        <v>28</v>
      </c>
      <c r="I426">
        <v>2</v>
      </c>
      <c r="J426" t="s">
        <v>21</v>
      </c>
      <c r="K426">
        <v>51</v>
      </c>
      <c r="L426" t="str">
        <f t="shared" si="25"/>
        <v>2+years</v>
      </c>
      <c r="M426" t="s">
        <v>29</v>
      </c>
      <c r="N426">
        <v>5500</v>
      </c>
      <c r="O426">
        <v>2</v>
      </c>
      <c r="P426">
        <v>11000</v>
      </c>
      <c r="Q426">
        <f t="shared" si="26"/>
        <v>5500</v>
      </c>
      <c r="R426" s="13">
        <v>76.97</v>
      </c>
      <c r="S426" t="s">
        <v>36</v>
      </c>
      <c r="T426">
        <f t="shared" si="27"/>
        <v>0</v>
      </c>
      <c r="U426">
        <v>0</v>
      </c>
      <c r="V426">
        <v>0</v>
      </c>
      <c r="W426">
        <v>0</v>
      </c>
    </row>
    <row r="427" spans="1:23" x14ac:dyDescent="0.35">
      <c r="A427" s="7" t="s">
        <v>518</v>
      </c>
      <c r="B427" t="s">
        <v>519</v>
      </c>
      <c r="C427" s="1">
        <v>45682</v>
      </c>
      <c r="D427">
        <v>37</v>
      </c>
      <c r="E427" t="str">
        <f t="shared" si="24"/>
        <v>35-44</v>
      </c>
      <c r="F427" t="s">
        <v>26</v>
      </c>
      <c r="G427" t="s">
        <v>19</v>
      </c>
      <c r="H427" t="s">
        <v>28</v>
      </c>
      <c r="I427">
        <v>2</v>
      </c>
      <c r="J427" t="s">
        <v>21</v>
      </c>
      <c r="K427">
        <v>51</v>
      </c>
      <c r="L427" t="str">
        <f t="shared" si="25"/>
        <v>2+years</v>
      </c>
      <c r="M427" t="s">
        <v>43</v>
      </c>
      <c r="N427">
        <v>4500</v>
      </c>
      <c r="O427">
        <v>1</v>
      </c>
      <c r="P427">
        <v>4500</v>
      </c>
      <c r="Q427">
        <f t="shared" si="26"/>
        <v>4500</v>
      </c>
      <c r="R427" s="13">
        <v>146.27000000000001</v>
      </c>
      <c r="S427" t="s">
        <v>36</v>
      </c>
      <c r="T427">
        <f t="shared" si="27"/>
        <v>0</v>
      </c>
      <c r="U427">
        <v>0</v>
      </c>
      <c r="V427">
        <v>0</v>
      </c>
      <c r="W427">
        <v>0</v>
      </c>
    </row>
    <row r="428" spans="1:23" x14ac:dyDescent="0.35">
      <c r="A428" s="7" t="s">
        <v>518</v>
      </c>
      <c r="B428" t="s">
        <v>519</v>
      </c>
      <c r="C428" s="1">
        <v>45682</v>
      </c>
      <c r="D428">
        <v>37</v>
      </c>
      <c r="E428" t="str">
        <f t="shared" si="24"/>
        <v>35-44</v>
      </c>
      <c r="F428" t="s">
        <v>26</v>
      </c>
      <c r="G428" t="s">
        <v>33</v>
      </c>
      <c r="H428" t="s">
        <v>28</v>
      </c>
      <c r="I428">
        <v>2</v>
      </c>
      <c r="J428" t="s">
        <v>21</v>
      </c>
      <c r="K428">
        <v>51</v>
      </c>
      <c r="L428" t="str">
        <f t="shared" si="25"/>
        <v>2+years</v>
      </c>
      <c r="M428" t="s">
        <v>110</v>
      </c>
      <c r="N428">
        <v>25000</v>
      </c>
      <c r="O428">
        <v>17</v>
      </c>
      <c r="P428">
        <v>425000</v>
      </c>
      <c r="Q428">
        <f t="shared" si="26"/>
        <v>25000</v>
      </c>
      <c r="R428" s="13">
        <v>151.49</v>
      </c>
      <c r="S428" t="s">
        <v>36</v>
      </c>
      <c r="T428">
        <f t="shared" si="27"/>
        <v>0</v>
      </c>
      <c r="U428">
        <v>0</v>
      </c>
      <c r="V428">
        <v>0</v>
      </c>
      <c r="W428">
        <v>0</v>
      </c>
    </row>
    <row r="429" spans="1:23" x14ac:dyDescent="0.35">
      <c r="A429" s="7" t="s">
        <v>520</v>
      </c>
      <c r="B429" t="s">
        <v>307</v>
      </c>
      <c r="C429" s="1">
        <v>45741</v>
      </c>
      <c r="D429">
        <v>18</v>
      </c>
      <c r="E429" t="str">
        <f t="shared" si="24"/>
        <v>Under25</v>
      </c>
      <c r="F429" t="s">
        <v>444</v>
      </c>
      <c r="G429" t="s">
        <v>27</v>
      </c>
      <c r="H429" t="s">
        <v>20</v>
      </c>
      <c r="I429">
        <v>3</v>
      </c>
      <c r="J429" t="s">
        <v>47</v>
      </c>
      <c r="K429">
        <v>15</v>
      </c>
      <c r="L429" t="str">
        <f t="shared" si="25"/>
        <v>1-2 years</v>
      </c>
      <c r="M429" t="s">
        <v>97</v>
      </c>
      <c r="N429">
        <v>900</v>
      </c>
      <c r="O429">
        <v>10</v>
      </c>
      <c r="P429">
        <v>9000</v>
      </c>
      <c r="Q429">
        <f t="shared" si="26"/>
        <v>900</v>
      </c>
      <c r="R429" s="13">
        <v>59.99</v>
      </c>
      <c r="S429" t="s">
        <v>23</v>
      </c>
      <c r="T429">
        <f t="shared" si="27"/>
        <v>1</v>
      </c>
      <c r="U429">
        <v>0</v>
      </c>
      <c r="V429">
        <v>0</v>
      </c>
      <c r="W429">
        <v>0</v>
      </c>
    </row>
    <row r="430" spans="1:23" x14ac:dyDescent="0.35">
      <c r="A430" s="7" t="s">
        <v>521</v>
      </c>
      <c r="B430" t="s">
        <v>522</v>
      </c>
      <c r="C430" s="1">
        <v>45713</v>
      </c>
      <c r="D430">
        <v>59</v>
      </c>
      <c r="E430" t="str">
        <f t="shared" si="24"/>
        <v>55+</v>
      </c>
      <c r="F430" t="s">
        <v>18</v>
      </c>
      <c r="G430" t="s">
        <v>27</v>
      </c>
      <c r="H430" t="s">
        <v>20</v>
      </c>
      <c r="I430">
        <v>3</v>
      </c>
      <c r="J430" t="s">
        <v>47</v>
      </c>
      <c r="K430">
        <v>22</v>
      </c>
      <c r="L430" t="str">
        <f t="shared" si="25"/>
        <v>1-2 years</v>
      </c>
      <c r="M430" t="s">
        <v>97</v>
      </c>
      <c r="N430">
        <v>900</v>
      </c>
      <c r="O430">
        <v>5</v>
      </c>
      <c r="P430">
        <v>4500</v>
      </c>
      <c r="Q430">
        <f t="shared" si="26"/>
        <v>900</v>
      </c>
      <c r="R430" s="13">
        <v>46.07</v>
      </c>
      <c r="S430" t="s">
        <v>36</v>
      </c>
      <c r="T430">
        <f t="shared" si="27"/>
        <v>0</v>
      </c>
      <c r="U430">
        <v>0</v>
      </c>
      <c r="V430">
        <v>0</v>
      </c>
      <c r="W430">
        <v>0</v>
      </c>
    </row>
    <row r="431" spans="1:23" x14ac:dyDescent="0.35">
      <c r="A431" s="7" t="s">
        <v>523</v>
      </c>
      <c r="B431" t="s">
        <v>524</v>
      </c>
      <c r="C431" s="1">
        <v>45741</v>
      </c>
      <c r="D431">
        <v>18</v>
      </c>
      <c r="E431" t="str">
        <f t="shared" si="24"/>
        <v>Under25</v>
      </c>
      <c r="F431" t="s">
        <v>183</v>
      </c>
      <c r="G431" t="s">
        <v>27</v>
      </c>
      <c r="H431" t="s">
        <v>20</v>
      </c>
      <c r="I431">
        <v>1</v>
      </c>
      <c r="J431" t="s">
        <v>34</v>
      </c>
      <c r="K431">
        <v>8</v>
      </c>
      <c r="L431" t="str">
        <f t="shared" si="25"/>
        <v>6-12 months</v>
      </c>
      <c r="M431" t="s">
        <v>97</v>
      </c>
      <c r="N431">
        <v>900</v>
      </c>
      <c r="O431">
        <v>1</v>
      </c>
      <c r="P431">
        <v>900</v>
      </c>
      <c r="Q431">
        <f t="shared" si="26"/>
        <v>900</v>
      </c>
      <c r="R431" s="13">
        <v>132.56</v>
      </c>
      <c r="S431" t="s">
        <v>36</v>
      </c>
      <c r="T431">
        <f t="shared" si="27"/>
        <v>0</v>
      </c>
      <c r="U431">
        <v>0</v>
      </c>
      <c r="V431">
        <v>0</v>
      </c>
      <c r="W431">
        <v>0</v>
      </c>
    </row>
    <row r="432" spans="1:23" x14ac:dyDescent="0.35">
      <c r="A432" s="7" t="s">
        <v>525</v>
      </c>
      <c r="B432" t="s">
        <v>526</v>
      </c>
      <c r="C432" s="1">
        <v>45682</v>
      </c>
      <c r="D432">
        <v>30</v>
      </c>
      <c r="E432" t="str">
        <f t="shared" si="24"/>
        <v>25-34</v>
      </c>
      <c r="F432" t="s">
        <v>105</v>
      </c>
      <c r="G432" t="s">
        <v>27</v>
      </c>
      <c r="H432" t="s">
        <v>28</v>
      </c>
      <c r="I432">
        <v>5</v>
      </c>
      <c r="J432" t="s">
        <v>52</v>
      </c>
      <c r="K432">
        <v>25</v>
      </c>
      <c r="L432" t="str">
        <f t="shared" si="25"/>
        <v>2+years</v>
      </c>
      <c r="M432" t="s">
        <v>55</v>
      </c>
      <c r="N432">
        <v>16000</v>
      </c>
      <c r="O432">
        <v>4</v>
      </c>
      <c r="P432">
        <v>64000</v>
      </c>
      <c r="Q432">
        <f t="shared" si="26"/>
        <v>16000</v>
      </c>
      <c r="R432" s="13">
        <v>60.57</v>
      </c>
      <c r="S432" t="s">
        <v>23</v>
      </c>
      <c r="T432">
        <f t="shared" si="27"/>
        <v>1</v>
      </c>
      <c r="U432">
        <v>0</v>
      </c>
      <c r="V432">
        <v>0</v>
      </c>
      <c r="W432">
        <v>0</v>
      </c>
    </row>
    <row r="433" spans="1:23" x14ac:dyDescent="0.35">
      <c r="A433" s="7" t="s">
        <v>527</v>
      </c>
      <c r="B433" t="s">
        <v>528</v>
      </c>
      <c r="C433" s="1">
        <v>45682</v>
      </c>
      <c r="D433">
        <v>50</v>
      </c>
      <c r="E433" t="str">
        <f t="shared" si="24"/>
        <v>45-54</v>
      </c>
      <c r="F433" t="s">
        <v>135</v>
      </c>
      <c r="G433" t="s">
        <v>33</v>
      </c>
      <c r="H433" t="s">
        <v>28</v>
      </c>
      <c r="I433">
        <v>5</v>
      </c>
      <c r="J433" t="s">
        <v>52</v>
      </c>
      <c r="K433">
        <v>54</v>
      </c>
      <c r="L433" t="str">
        <f t="shared" si="25"/>
        <v>2+years</v>
      </c>
      <c r="M433" t="s">
        <v>35</v>
      </c>
      <c r="N433">
        <v>20000</v>
      </c>
      <c r="O433">
        <v>16</v>
      </c>
      <c r="P433">
        <v>320000</v>
      </c>
      <c r="Q433">
        <f t="shared" si="26"/>
        <v>20000</v>
      </c>
      <c r="R433" s="13">
        <v>157.06</v>
      </c>
      <c r="S433" t="s">
        <v>36</v>
      </c>
      <c r="T433">
        <f t="shared" si="27"/>
        <v>0</v>
      </c>
      <c r="U433">
        <v>0</v>
      </c>
      <c r="V433">
        <v>0</v>
      </c>
      <c r="W433">
        <v>0</v>
      </c>
    </row>
    <row r="434" spans="1:23" x14ac:dyDescent="0.35">
      <c r="A434" s="7" t="s">
        <v>529</v>
      </c>
      <c r="B434" t="s">
        <v>530</v>
      </c>
      <c r="C434" s="1">
        <v>45713</v>
      </c>
      <c r="D434">
        <v>41</v>
      </c>
      <c r="E434" t="str">
        <f t="shared" si="24"/>
        <v>35-44</v>
      </c>
      <c r="F434" t="s">
        <v>138</v>
      </c>
      <c r="G434" t="s">
        <v>27</v>
      </c>
      <c r="H434" t="s">
        <v>20</v>
      </c>
      <c r="I434">
        <v>3</v>
      </c>
      <c r="J434" t="s">
        <v>47</v>
      </c>
      <c r="K434">
        <v>23</v>
      </c>
      <c r="L434" t="str">
        <f t="shared" si="25"/>
        <v>1-2 years</v>
      </c>
      <c r="M434" t="s">
        <v>22</v>
      </c>
      <c r="N434">
        <v>35000</v>
      </c>
      <c r="O434">
        <v>1</v>
      </c>
      <c r="P434">
        <v>35000</v>
      </c>
      <c r="Q434">
        <f t="shared" si="26"/>
        <v>35000</v>
      </c>
      <c r="R434" s="13">
        <v>66.459999999999994</v>
      </c>
      <c r="S434" t="s">
        <v>23</v>
      </c>
      <c r="T434">
        <f t="shared" si="27"/>
        <v>1</v>
      </c>
      <c r="U434">
        <v>0</v>
      </c>
      <c r="V434">
        <v>0</v>
      </c>
      <c r="W434">
        <v>0</v>
      </c>
    </row>
    <row r="435" spans="1:23" x14ac:dyDescent="0.35">
      <c r="A435" s="7" t="s">
        <v>529</v>
      </c>
      <c r="B435" t="s">
        <v>530</v>
      </c>
      <c r="C435" s="1">
        <v>45713</v>
      </c>
      <c r="D435">
        <v>41</v>
      </c>
      <c r="E435" t="str">
        <f t="shared" si="24"/>
        <v>35-44</v>
      </c>
      <c r="F435" t="s">
        <v>138</v>
      </c>
      <c r="G435" t="s">
        <v>33</v>
      </c>
      <c r="H435" t="s">
        <v>20</v>
      </c>
      <c r="I435">
        <v>3</v>
      </c>
      <c r="J435" t="s">
        <v>47</v>
      </c>
      <c r="K435">
        <v>23</v>
      </c>
      <c r="L435" t="str">
        <f t="shared" si="25"/>
        <v>1-2 years</v>
      </c>
      <c r="M435" t="s">
        <v>39</v>
      </c>
      <c r="N435">
        <v>9000</v>
      </c>
      <c r="O435">
        <v>4</v>
      </c>
      <c r="P435">
        <v>36000</v>
      </c>
      <c r="Q435">
        <f t="shared" si="26"/>
        <v>9000</v>
      </c>
      <c r="R435" s="13">
        <v>134.49</v>
      </c>
      <c r="S435" t="s">
        <v>23</v>
      </c>
      <c r="T435">
        <f t="shared" si="27"/>
        <v>1</v>
      </c>
      <c r="U435">
        <v>0</v>
      </c>
      <c r="V435">
        <v>0</v>
      </c>
      <c r="W435">
        <v>0</v>
      </c>
    </row>
    <row r="436" spans="1:23" x14ac:dyDescent="0.35">
      <c r="A436" s="7" t="s">
        <v>531</v>
      </c>
      <c r="B436" t="s">
        <v>532</v>
      </c>
      <c r="C436" s="1">
        <v>45682</v>
      </c>
      <c r="D436">
        <v>35</v>
      </c>
      <c r="E436" t="str">
        <f t="shared" si="24"/>
        <v>35-44</v>
      </c>
      <c r="F436" t="s">
        <v>291</v>
      </c>
      <c r="G436" t="s">
        <v>33</v>
      </c>
      <c r="H436" t="s">
        <v>20</v>
      </c>
      <c r="I436">
        <v>3</v>
      </c>
      <c r="J436" t="s">
        <v>47</v>
      </c>
      <c r="K436">
        <v>47</v>
      </c>
      <c r="L436" t="str">
        <f t="shared" si="25"/>
        <v>2+years</v>
      </c>
      <c r="M436" t="s">
        <v>54</v>
      </c>
      <c r="N436">
        <v>150000</v>
      </c>
      <c r="O436">
        <v>6</v>
      </c>
      <c r="P436">
        <v>900000</v>
      </c>
      <c r="Q436">
        <f t="shared" si="26"/>
        <v>150000</v>
      </c>
      <c r="R436" s="13">
        <v>10.49</v>
      </c>
      <c r="S436" t="s">
        <v>36</v>
      </c>
      <c r="T436">
        <f t="shared" si="27"/>
        <v>0</v>
      </c>
      <c r="U436">
        <v>0</v>
      </c>
      <c r="V436">
        <v>0</v>
      </c>
      <c r="W436">
        <v>0</v>
      </c>
    </row>
    <row r="437" spans="1:23" x14ac:dyDescent="0.35">
      <c r="A437" s="7" t="s">
        <v>531</v>
      </c>
      <c r="B437" t="s">
        <v>532</v>
      </c>
      <c r="C437" s="1">
        <v>45682</v>
      </c>
      <c r="D437">
        <v>35</v>
      </c>
      <c r="E437" t="str">
        <f t="shared" si="24"/>
        <v>35-44</v>
      </c>
      <c r="F437" t="s">
        <v>291</v>
      </c>
      <c r="G437" t="s">
        <v>19</v>
      </c>
      <c r="H437" t="s">
        <v>20</v>
      </c>
      <c r="I437">
        <v>3</v>
      </c>
      <c r="J437" t="s">
        <v>47</v>
      </c>
      <c r="K437">
        <v>47</v>
      </c>
      <c r="L437" t="str">
        <f t="shared" si="25"/>
        <v>2+years</v>
      </c>
      <c r="M437" t="s">
        <v>55</v>
      </c>
      <c r="N437">
        <v>16000</v>
      </c>
      <c r="O437">
        <v>12</v>
      </c>
      <c r="P437">
        <v>192000</v>
      </c>
      <c r="Q437">
        <f t="shared" si="26"/>
        <v>16000</v>
      </c>
      <c r="R437" s="13">
        <v>170.52</v>
      </c>
      <c r="S437" t="s">
        <v>36</v>
      </c>
      <c r="T437">
        <f t="shared" si="27"/>
        <v>0</v>
      </c>
      <c r="U437">
        <v>0</v>
      </c>
      <c r="V437">
        <v>0</v>
      </c>
      <c r="W437">
        <v>0</v>
      </c>
    </row>
    <row r="438" spans="1:23" x14ac:dyDescent="0.35">
      <c r="A438" s="7" t="s">
        <v>533</v>
      </c>
      <c r="B438" t="s">
        <v>534</v>
      </c>
      <c r="C438" s="1">
        <v>45682</v>
      </c>
      <c r="D438">
        <v>70</v>
      </c>
      <c r="E438" t="str">
        <f t="shared" si="24"/>
        <v>55+</v>
      </c>
      <c r="F438" t="s">
        <v>170</v>
      </c>
      <c r="G438" t="s">
        <v>19</v>
      </c>
      <c r="H438" t="s">
        <v>20</v>
      </c>
      <c r="I438">
        <v>1</v>
      </c>
      <c r="J438" t="s">
        <v>34</v>
      </c>
      <c r="K438">
        <v>55</v>
      </c>
      <c r="L438" t="str">
        <f t="shared" si="25"/>
        <v>2+years</v>
      </c>
      <c r="M438" t="s">
        <v>22</v>
      </c>
      <c r="N438">
        <v>35000</v>
      </c>
      <c r="O438">
        <v>9</v>
      </c>
      <c r="P438">
        <v>315000</v>
      </c>
      <c r="Q438">
        <f t="shared" si="26"/>
        <v>35000</v>
      </c>
      <c r="R438" s="13">
        <v>191.04</v>
      </c>
      <c r="S438" t="s">
        <v>36</v>
      </c>
      <c r="T438">
        <f t="shared" si="27"/>
        <v>0</v>
      </c>
      <c r="U438">
        <v>0</v>
      </c>
      <c r="V438">
        <v>0</v>
      </c>
      <c r="W438">
        <v>0</v>
      </c>
    </row>
    <row r="439" spans="1:23" x14ac:dyDescent="0.35">
      <c r="A439" s="7" t="s">
        <v>533</v>
      </c>
      <c r="B439" t="s">
        <v>534</v>
      </c>
      <c r="C439" s="1">
        <v>45682</v>
      </c>
      <c r="D439">
        <v>70</v>
      </c>
      <c r="E439" t="str">
        <f t="shared" si="24"/>
        <v>55+</v>
      </c>
      <c r="F439" t="s">
        <v>170</v>
      </c>
      <c r="G439" t="s">
        <v>27</v>
      </c>
      <c r="H439" t="s">
        <v>20</v>
      </c>
      <c r="I439">
        <v>1</v>
      </c>
      <c r="J439" t="s">
        <v>34</v>
      </c>
      <c r="K439">
        <v>55</v>
      </c>
      <c r="L439" t="str">
        <f t="shared" si="25"/>
        <v>2+years</v>
      </c>
      <c r="M439" t="s">
        <v>79</v>
      </c>
      <c r="N439">
        <v>1000</v>
      </c>
      <c r="O439">
        <v>11</v>
      </c>
      <c r="P439">
        <v>11000</v>
      </c>
      <c r="Q439">
        <f t="shared" si="26"/>
        <v>1000</v>
      </c>
      <c r="R439" s="13">
        <v>74.84</v>
      </c>
      <c r="S439" t="s">
        <v>36</v>
      </c>
      <c r="T439">
        <f t="shared" si="27"/>
        <v>0</v>
      </c>
      <c r="U439">
        <v>0</v>
      </c>
      <c r="V439">
        <v>0</v>
      </c>
      <c r="W439">
        <v>0</v>
      </c>
    </row>
    <row r="440" spans="1:23" x14ac:dyDescent="0.35">
      <c r="A440" s="7" t="s">
        <v>533</v>
      </c>
      <c r="B440" t="s">
        <v>534</v>
      </c>
      <c r="C440" s="1">
        <v>45682</v>
      </c>
      <c r="D440">
        <v>70</v>
      </c>
      <c r="E440" t="str">
        <f t="shared" si="24"/>
        <v>55+</v>
      </c>
      <c r="F440" t="s">
        <v>170</v>
      </c>
      <c r="G440" t="s">
        <v>33</v>
      </c>
      <c r="H440" t="s">
        <v>20</v>
      </c>
      <c r="I440">
        <v>1</v>
      </c>
      <c r="J440" t="s">
        <v>34</v>
      </c>
      <c r="K440">
        <v>55</v>
      </c>
      <c r="L440" t="str">
        <f t="shared" si="25"/>
        <v>2+years</v>
      </c>
      <c r="M440" t="s">
        <v>62</v>
      </c>
      <c r="N440">
        <v>30000</v>
      </c>
      <c r="O440">
        <v>13</v>
      </c>
      <c r="P440">
        <v>390000</v>
      </c>
      <c r="Q440">
        <f t="shared" si="26"/>
        <v>30000</v>
      </c>
      <c r="R440" s="13">
        <v>23.21</v>
      </c>
      <c r="S440" t="s">
        <v>36</v>
      </c>
      <c r="T440">
        <f t="shared" si="27"/>
        <v>0</v>
      </c>
      <c r="U440">
        <v>0</v>
      </c>
      <c r="V440">
        <v>0</v>
      </c>
      <c r="W440">
        <v>0</v>
      </c>
    </row>
    <row r="441" spans="1:23" x14ac:dyDescent="0.35">
      <c r="A441" s="7" t="s">
        <v>535</v>
      </c>
      <c r="B441" t="s">
        <v>536</v>
      </c>
      <c r="C441" s="1">
        <v>45713</v>
      </c>
      <c r="D441">
        <v>50</v>
      </c>
      <c r="E441" t="str">
        <f t="shared" si="24"/>
        <v>45-54</v>
      </c>
      <c r="F441" t="s">
        <v>58</v>
      </c>
      <c r="G441" t="s">
        <v>38</v>
      </c>
      <c r="H441" t="s">
        <v>28</v>
      </c>
      <c r="I441">
        <v>2</v>
      </c>
      <c r="J441" t="s">
        <v>21</v>
      </c>
      <c r="K441">
        <v>52</v>
      </c>
      <c r="L441" t="str">
        <f t="shared" si="25"/>
        <v>2+years</v>
      </c>
      <c r="M441" t="s">
        <v>68</v>
      </c>
      <c r="N441">
        <v>14500</v>
      </c>
      <c r="O441">
        <v>16</v>
      </c>
      <c r="P441">
        <v>232000</v>
      </c>
      <c r="Q441">
        <f t="shared" si="26"/>
        <v>14500</v>
      </c>
      <c r="R441" s="13">
        <v>182.29</v>
      </c>
      <c r="S441" t="s">
        <v>23</v>
      </c>
      <c r="T441">
        <f t="shared" si="27"/>
        <v>1</v>
      </c>
      <c r="U441">
        <v>0</v>
      </c>
      <c r="V441">
        <v>0</v>
      </c>
      <c r="W441">
        <v>0</v>
      </c>
    </row>
    <row r="442" spans="1:23" x14ac:dyDescent="0.35">
      <c r="A442" s="7" t="s">
        <v>535</v>
      </c>
      <c r="B442" t="s">
        <v>536</v>
      </c>
      <c r="C442" s="1">
        <v>45713</v>
      </c>
      <c r="D442">
        <v>50</v>
      </c>
      <c r="E442" t="str">
        <f t="shared" si="24"/>
        <v>45-54</v>
      </c>
      <c r="F442" t="s">
        <v>58</v>
      </c>
      <c r="G442" t="s">
        <v>27</v>
      </c>
      <c r="H442" t="s">
        <v>28</v>
      </c>
      <c r="I442">
        <v>2</v>
      </c>
      <c r="J442" t="s">
        <v>21</v>
      </c>
      <c r="K442">
        <v>52</v>
      </c>
      <c r="L442" t="str">
        <f t="shared" si="25"/>
        <v>2+years</v>
      </c>
      <c r="M442" t="s">
        <v>29</v>
      </c>
      <c r="N442">
        <v>5500</v>
      </c>
      <c r="O442">
        <v>13</v>
      </c>
      <c r="P442">
        <v>71500</v>
      </c>
      <c r="Q442">
        <f t="shared" si="26"/>
        <v>5500</v>
      </c>
      <c r="R442" s="13">
        <v>36.659999999999997</v>
      </c>
      <c r="S442" t="s">
        <v>23</v>
      </c>
      <c r="T442">
        <f t="shared" si="27"/>
        <v>1</v>
      </c>
      <c r="U442">
        <v>0</v>
      </c>
      <c r="V442">
        <v>0</v>
      </c>
      <c r="W442">
        <v>0</v>
      </c>
    </row>
    <row r="443" spans="1:23" x14ac:dyDescent="0.35">
      <c r="A443" s="7" t="s">
        <v>535</v>
      </c>
      <c r="B443" t="s">
        <v>536</v>
      </c>
      <c r="C443" s="1">
        <v>45713</v>
      </c>
      <c r="D443">
        <v>50</v>
      </c>
      <c r="E443" t="str">
        <f t="shared" si="24"/>
        <v>45-54</v>
      </c>
      <c r="F443" t="s">
        <v>58</v>
      </c>
      <c r="G443" t="s">
        <v>33</v>
      </c>
      <c r="H443" t="s">
        <v>28</v>
      </c>
      <c r="I443">
        <v>2</v>
      </c>
      <c r="J443" t="s">
        <v>21</v>
      </c>
      <c r="K443">
        <v>52</v>
      </c>
      <c r="L443" t="str">
        <f t="shared" si="25"/>
        <v>2+years</v>
      </c>
      <c r="M443" t="s">
        <v>110</v>
      </c>
      <c r="N443">
        <v>25000</v>
      </c>
      <c r="O443">
        <v>5</v>
      </c>
      <c r="P443">
        <v>125000</v>
      </c>
      <c r="Q443">
        <f t="shared" si="26"/>
        <v>25000</v>
      </c>
      <c r="R443" s="13">
        <v>122.47</v>
      </c>
      <c r="S443" t="s">
        <v>23</v>
      </c>
      <c r="T443">
        <f t="shared" si="27"/>
        <v>1</v>
      </c>
      <c r="U443">
        <v>0</v>
      </c>
      <c r="V443">
        <v>0</v>
      </c>
      <c r="W443">
        <v>0</v>
      </c>
    </row>
    <row r="444" spans="1:23" x14ac:dyDescent="0.35">
      <c r="A444" s="7" t="s">
        <v>537</v>
      </c>
      <c r="B444" t="s">
        <v>538</v>
      </c>
      <c r="C444" s="1">
        <v>45682</v>
      </c>
      <c r="D444">
        <v>78</v>
      </c>
      <c r="E444" t="str">
        <f t="shared" si="24"/>
        <v>55+</v>
      </c>
      <c r="F444" t="s">
        <v>170</v>
      </c>
      <c r="G444" t="s">
        <v>27</v>
      </c>
      <c r="H444" t="s">
        <v>28</v>
      </c>
      <c r="I444">
        <v>1</v>
      </c>
      <c r="J444" t="s">
        <v>34</v>
      </c>
      <c r="K444">
        <v>29</v>
      </c>
      <c r="L444" t="str">
        <f t="shared" si="25"/>
        <v>2+years</v>
      </c>
      <c r="M444" t="s">
        <v>48</v>
      </c>
      <c r="N444">
        <v>9000</v>
      </c>
      <c r="O444">
        <v>20</v>
      </c>
      <c r="P444">
        <v>180000</v>
      </c>
      <c r="Q444">
        <f t="shared" si="26"/>
        <v>9000</v>
      </c>
      <c r="R444" s="13">
        <v>104.06</v>
      </c>
      <c r="S444" t="s">
        <v>23</v>
      </c>
      <c r="T444">
        <f t="shared" si="27"/>
        <v>1</v>
      </c>
      <c r="U444">
        <v>0</v>
      </c>
      <c r="V444">
        <v>0</v>
      </c>
      <c r="W444">
        <v>0</v>
      </c>
    </row>
    <row r="445" spans="1:23" x14ac:dyDescent="0.35">
      <c r="A445" s="7" t="s">
        <v>539</v>
      </c>
      <c r="B445" t="s">
        <v>540</v>
      </c>
      <c r="C445" s="1">
        <v>45713</v>
      </c>
      <c r="D445">
        <v>71</v>
      </c>
      <c r="E445" t="str">
        <f t="shared" si="24"/>
        <v>55+</v>
      </c>
      <c r="F445" t="s">
        <v>67</v>
      </c>
      <c r="G445" t="s">
        <v>38</v>
      </c>
      <c r="H445" t="s">
        <v>28</v>
      </c>
      <c r="I445">
        <v>2</v>
      </c>
      <c r="J445" t="s">
        <v>21</v>
      </c>
      <c r="K445">
        <v>23</v>
      </c>
      <c r="L445" t="str">
        <f t="shared" si="25"/>
        <v>1-2 years</v>
      </c>
      <c r="M445" t="s">
        <v>59</v>
      </c>
      <c r="N445">
        <v>24000</v>
      </c>
      <c r="O445">
        <v>16</v>
      </c>
      <c r="P445">
        <v>384000</v>
      </c>
      <c r="Q445">
        <f t="shared" si="26"/>
        <v>24000</v>
      </c>
      <c r="R445" s="13">
        <v>169.84</v>
      </c>
      <c r="S445" t="s">
        <v>36</v>
      </c>
      <c r="T445">
        <f t="shared" si="27"/>
        <v>0</v>
      </c>
      <c r="U445">
        <v>0</v>
      </c>
      <c r="V445">
        <v>0</v>
      </c>
      <c r="W445">
        <v>0</v>
      </c>
    </row>
    <row r="446" spans="1:23" x14ac:dyDescent="0.35">
      <c r="A446" s="7" t="s">
        <v>539</v>
      </c>
      <c r="B446" t="s">
        <v>540</v>
      </c>
      <c r="C446" s="1">
        <v>45713</v>
      </c>
      <c r="D446">
        <v>71</v>
      </c>
      <c r="E446" t="str">
        <f t="shared" si="24"/>
        <v>55+</v>
      </c>
      <c r="F446" t="s">
        <v>67</v>
      </c>
      <c r="G446" t="s">
        <v>27</v>
      </c>
      <c r="H446" t="s">
        <v>28</v>
      </c>
      <c r="I446">
        <v>2</v>
      </c>
      <c r="J446" t="s">
        <v>21</v>
      </c>
      <c r="K446">
        <v>23</v>
      </c>
      <c r="L446" t="str">
        <f t="shared" si="25"/>
        <v>1-2 years</v>
      </c>
      <c r="M446" t="s">
        <v>159</v>
      </c>
      <c r="N446">
        <v>600</v>
      </c>
      <c r="O446">
        <v>16</v>
      </c>
      <c r="P446">
        <v>9600</v>
      </c>
      <c r="Q446">
        <f t="shared" si="26"/>
        <v>600</v>
      </c>
      <c r="R446" s="13">
        <v>15.44</v>
      </c>
      <c r="S446" t="s">
        <v>36</v>
      </c>
      <c r="T446">
        <f t="shared" si="27"/>
        <v>0</v>
      </c>
      <c r="U446">
        <v>0</v>
      </c>
      <c r="V446">
        <v>0</v>
      </c>
      <c r="W446">
        <v>0</v>
      </c>
    </row>
    <row r="447" spans="1:23" x14ac:dyDescent="0.35">
      <c r="A447" s="7" t="s">
        <v>539</v>
      </c>
      <c r="B447" t="s">
        <v>540</v>
      </c>
      <c r="C447" s="1">
        <v>45713</v>
      </c>
      <c r="D447">
        <v>71</v>
      </c>
      <c r="E447" t="str">
        <f t="shared" si="24"/>
        <v>55+</v>
      </c>
      <c r="F447" t="s">
        <v>67</v>
      </c>
      <c r="G447" t="s">
        <v>33</v>
      </c>
      <c r="H447" t="s">
        <v>28</v>
      </c>
      <c r="I447">
        <v>2</v>
      </c>
      <c r="J447" t="s">
        <v>21</v>
      </c>
      <c r="K447">
        <v>23</v>
      </c>
      <c r="L447" t="str">
        <f t="shared" si="25"/>
        <v>1-2 years</v>
      </c>
      <c r="M447" t="s">
        <v>110</v>
      </c>
      <c r="N447">
        <v>25000</v>
      </c>
      <c r="O447">
        <v>9</v>
      </c>
      <c r="P447">
        <v>225000</v>
      </c>
      <c r="Q447">
        <f t="shared" si="26"/>
        <v>25000</v>
      </c>
      <c r="R447" s="13">
        <v>48.56</v>
      </c>
      <c r="S447" t="s">
        <v>36</v>
      </c>
      <c r="T447">
        <f t="shared" si="27"/>
        <v>0</v>
      </c>
      <c r="U447">
        <v>0</v>
      </c>
      <c r="V447">
        <v>0</v>
      </c>
      <c r="W447">
        <v>0</v>
      </c>
    </row>
    <row r="448" spans="1:23" x14ac:dyDescent="0.35">
      <c r="A448" s="7" t="s">
        <v>541</v>
      </c>
      <c r="B448" t="s">
        <v>542</v>
      </c>
      <c r="C448" s="1">
        <v>45713</v>
      </c>
      <c r="D448">
        <v>80</v>
      </c>
      <c r="E448" t="str">
        <f t="shared" si="24"/>
        <v>55+</v>
      </c>
      <c r="F448" t="s">
        <v>108</v>
      </c>
      <c r="G448" t="s">
        <v>27</v>
      </c>
      <c r="H448" t="s">
        <v>28</v>
      </c>
      <c r="I448">
        <v>1</v>
      </c>
      <c r="J448" t="s">
        <v>34</v>
      </c>
      <c r="K448">
        <v>26</v>
      </c>
      <c r="L448" t="str">
        <f t="shared" si="25"/>
        <v>2+years</v>
      </c>
      <c r="M448" t="s">
        <v>29</v>
      </c>
      <c r="N448">
        <v>5500</v>
      </c>
      <c r="O448">
        <v>16</v>
      </c>
      <c r="P448">
        <v>88000</v>
      </c>
      <c r="Q448">
        <f t="shared" si="26"/>
        <v>5500</v>
      </c>
      <c r="R448" s="13">
        <v>63.55</v>
      </c>
      <c r="S448" t="s">
        <v>36</v>
      </c>
      <c r="T448">
        <f t="shared" si="27"/>
        <v>0</v>
      </c>
      <c r="U448">
        <v>0</v>
      </c>
      <c r="V448">
        <v>0</v>
      </c>
      <c r="W448">
        <v>0</v>
      </c>
    </row>
    <row r="449" spans="1:23" x14ac:dyDescent="0.35">
      <c r="A449" s="7" t="s">
        <v>541</v>
      </c>
      <c r="B449" t="s">
        <v>542</v>
      </c>
      <c r="C449" s="1">
        <v>45713</v>
      </c>
      <c r="D449">
        <v>80</v>
      </c>
      <c r="E449" t="str">
        <f t="shared" si="24"/>
        <v>55+</v>
      </c>
      <c r="F449" t="s">
        <v>108</v>
      </c>
      <c r="G449" t="s">
        <v>38</v>
      </c>
      <c r="H449" t="s">
        <v>28</v>
      </c>
      <c r="I449">
        <v>1</v>
      </c>
      <c r="J449" t="s">
        <v>34</v>
      </c>
      <c r="K449">
        <v>26</v>
      </c>
      <c r="L449" t="str">
        <f t="shared" si="25"/>
        <v>2+years</v>
      </c>
      <c r="M449" t="s">
        <v>39</v>
      </c>
      <c r="N449">
        <v>9000</v>
      </c>
      <c r="O449">
        <v>14</v>
      </c>
      <c r="P449">
        <v>126000</v>
      </c>
      <c r="Q449">
        <f t="shared" si="26"/>
        <v>9000</v>
      </c>
      <c r="R449" s="13">
        <v>20.98</v>
      </c>
      <c r="S449" t="s">
        <v>36</v>
      </c>
      <c r="T449">
        <f t="shared" si="27"/>
        <v>0</v>
      </c>
      <c r="U449">
        <v>0</v>
      </c>
      <c r="V449">
        <v>0</v>
      </c>
      <c r="W449">
        <v>0</v>
      </c>
    </row>
    <row r="450" spans="1:23" x14ac:dyDescent="0.35">
      <c r="A450" s="7" t="s">
        <v>541</v>
      </c>
      <c r="B450" t="s">
        <v>542</v>
      </c>
      <c r="C450" s="1">
        <v>45713</v>
      </c>
      <c r="D450">
        <v>80</v>
      </c>
      <c r="E450" t="str">
        <f t="shared" si="24"/>
        <v>55+</v>
      </c>
      <c r="F450" t="s">
        <v>108</v>
      </c>
      <c r="G450" t="s">
        <v>27</v>
      </c>
      <c r="H450" t="s">
        <v>28</v>
      </c>
      <c r="I450">
        <v>1</v>
      </c>
      <c r="J450" t="s">
        <v>34</v>
      </c>
      <c r="K450">
        <v>26</v>
      </c>
      <c r="L450" t="str">
        <f t="shared" si="25"/>
        <v>2+years</v>
      </c>
      <c r="M450" t="s">
        <v>55</v>
      </c>
      <c r="N450">
        <v>16000</v>
      </c>
      <c r="O450">
        <v>1</v>
      </c>
      <c r="P450">
        <v>16000</v>
      </c>
      <c r="Q450">
        <f t="shared" si="26"/>
        <v>16000</v>
      </c>
      <c r="R450" s="13">
        <v>111.65</v>
      </c>
      <c r="S450" t="s">
        <v>36</v>
      </c>
      <c r="T450">
        <f t="shared" si="27"/>
        <v>0</v>
      </c>
      <c r="U450">
        <v>0</v>
      </c>
      <c r="V450">
        <v>0</v>
      </c>
      <c r="W450">
        <v>0</v>
      </c>
    </row>
    <row r="451" spans="1:23" x14ac:dyDescent="0.35">
      <c r="A451" s="7" t="s">
        <v>543</v>
      </c>
      <c r="B451" t="s">
        <v>544</v>
      </c>
      <c r="C451" s="1">
        <v>45713</v>
      </c>
      <c r="D451">
        <v>54</v>
      </c>
      <c r="E451" t="str">
        <f t="shared" ref="E451:E514" si="28">IF(D451&lt;25,"Under25",IF(D451&lt;35,"25-34",IF(D451&lt;45,"35-44",IF(D451&lt;55,"45-54","55+"))) )</f>
        <v>45-54</v>
      </c>
      <c r="F451" t="s">
        <v>183</v>
      </c>
      <c r="G451" t="s">
        <v>19</v>
      </c>
      <c r="H451" t="s">
        <v>20</v>
      </c>
      <c r="I451">
        <v>3</v>
      </c>
      <c r="J451" t="s">
        <v>47</v>
      </c>
      <c r="K451">
        <v>42</v>
      </c>
      <c r="L451" t="str">
        <f t="shared" ref="L451:L514" si="29">IF(K451&lt;6,"0-5 months",IF(K451&lt;13,"6-12 months",IF(K451&lt;25,"1-2 years","2+years")))</f>
        <v>2+years</v>
      </c>
      <c r="M451" t="s">
        <v>22</v>
      </c>
      <c r="N451">
        <v>35000</v>
      </c>
      <c r="O451">
        <v>20</v>
      </c>
      <c r="P451">
        <v>700000</v>
      </c>
      <c r="Q451">
        <f t="shared" ref="Q451:Q514" si="30">P451/O451</f>
        <v>35000</v>
      </c>
      <c r="R451" s="13">
        <v>66.73</v>
      </c>
      <c r="S451" t="s">
        <v>36</v>
      </c>
      <c r="T451">
        <f t="shared" ref="T451:T514" si="31">IF(S451="yes",1,0)</f>
        <v>0</v>
      </c>
      <c r="U451">
        <v>0</v>
      </c>
      <c r="V451">
        <v>0</v>
      </c>
      <c r="W451">
        <v>0</v>
      </c>
    </row>
    <row r="452" spans="1:23" x14ac:dyDescent="0.35">
      <c r="A452" s="7" t="s">
        <v>545</v>
      </c>
      <c r="B452" t="s">
        <v>546</v>
      </c>
      <c r="C452" s="1">
        <v>45713</v>
      </c>
      <c r="D452">
        <v>62</v>
      </c>
      <c r="E452" t="str">
        <f t="shared" si="28"/>
        <v>55+</v>
      </c>
      <c r="F452" t="s">
        <v>192</v>
      </c>
      <c r="G452" t="s">
        <v>33</v>
      </c>
      <c r="H452" t="s">
        <v>20</v>
      </c>
      <c r="I452">
        <v>1</v>
      </c>
      <c r="J452" t="s">
        <v>34</v>
      </c>
      <c r="K452">
        <v>7</v>
      </c>
      <c r="L452" t="str">
        <f t="shared" si="29"/>
        <v>6-12 months</v>
      </c>
      <c r="M452" t="s">
        <v>35</v>
      </c>
      <c r="N452">
        <v>20000</v>
      </c>
      <c r="O452">
        <v>6</v>
      </c>
      <c r="P452">
        <v>120000</v>
      </c>
      <c r="Q452">
        <f t="shared" si="30"/>
        <v>20000</v>
      </c>
      <c r="R452" s="13">
        <v>9.6300000000000008</v>
      </c>
      <c r="S452" t="s">
        <v>36</v>
      </c>
      <c r="T452">
        <f t="shared" si="31"/>
        <v>0</v>
      </c>
      <c r="U452">
        <v>0</v>
      </c>
      <c r="V452">
        <v>0</v>
      </c>
      <c r="W452">
        <v>0</v>
      </c>
    </row>
    <row r="453" spans="1:23" x14ac:dyDescent="0.35">
      <c r="A453" s="7" t="s">
        <v>545</v>
      </c>
      <c r="B453" t="s">
        <v>546</v>
      </c>
      <c r="C453" s="1">
        <v>45713</v>
      </c>
      <c r="D453">
        <v>62</v>
      </c>
      <c r="E453" t="str">
        <f t="shared" si="28"/>
        <v>55+</v>
      </c>
      <c r="F453" t="s">
        <v>192</v>
      </c>
      <c r="G453" t="s">
        <v>27</v>
      </c>
      <c r="H453" t="s">
        <v>20</v>
      </c>
      <c r="I453">
        <v>1</v>
      </c>
      <c r="J453" t="s">
        <v>34</v>
      </c>
      <c r="K453">
        <v>7</v>
      </c>
      <c r="L453" t="str">
        <f t="shared" si="29"/>
        <v>6-12 months</v>
      </c>
      <c r="M453" t="s">
        <v>29</v>
      </c>
      <c r="N453">
        <v>5500</v>
      </c>
      <c r="O453">
        <v>14</v>
      </c>
      <c r="P453">
        <v>77000</v>
      </c>
      <c r="Q453">
        <f t="shared" si="30"/>
        <v>5500</v>
      </c>
      <c r="R453" s="13">
        <v>28.52</v>
      </c>
      <c r="S453" t="s">
        <v>36</v>
      </c>
      <c r="T453">
        <f t="shared" si="31"/>
        <v>0</v>
      </c>
      <c r="U453">
        <v>0</v>
      </c>
      <c r="V453">
        <v>0</v>
      </c>
      <c r="W453">
        <v>0</v>
      </c>
    </row>
    <row r="454" spans="1:23" x14ac:dyDescent="0.35">
      <c r="A454" s="7" t="s">
        <v>545</v>
      </c>
      <c r="B454" t="s">
        <v>546</v>
      </c>
      <c r="C454" s="1">
        <v>45713</v>
      </c>
      <c r="D454">
        <v>62</v>
      </c>
      <c r="E454" t="str">
        <f t="shared" si="28"/>
        <v>55+</v>
      </c>
      <c r="F454" t="s">
        <v>192</v>
      </c>
      <c r="G454" t="s">
        <v>19</v>
      </c>
      <c r="H454" t="s">
        <v>20</v>
      </c>
      <c r="I454">
        <v>1</v>
      </c>
      <c r="J454" t="s">
        <v>34</v>
      </c>
      <c r="K454">
        <v>7</v>
      </c>
      <c r="L454" t="str">
        <f t="shared" si="29"/>
        <v>6-12 months</v>
      </c>
      <c r="M454" t="s">
        <v>55</v>
      </c>
      <c r="N454">
        <v>16000</v>
      </c>
      <c r="O454">
        <v>7</v>
      </c>
      <c r="P454">
        <v>112000</v>
      </c>
      <c r="Q454">
        <f t="shared" si="30"/>
        <v>16000</v>
      </c>
      <c r="R454" s="13">
        <v>51.23</v>
      </c>
      <c r="S454" t="s">
        <v>36</v>
      </c>
      <c r="T454">
        <f t="shared" si="31"/>
        <v>0</v>
      </c>
      <c r="U454">
        <v>0</v>
      </c>
      <c r="V454">
        <v>0</v>
      </c>
      <c r="W454">
        <v>0</v>
      </c>
    </row>
    <row r="455" spans="1:23" x14ac:dyDescent="0.35">
      <c r="A455" s="7" t="s">
        <v>547</v>
      </c>
      <c r="B455" t="s">
        <v>548</v>
      </c>
      <c r="C455" s="1">
        <v>45713</v>
      </c>
      <c r="D455">
        <v>31</v>
      </c>
      <c r="E455" t="str">
        <f t="shared" si="28"/>
        <v>25-34</v>
      </c>
      <c r="F455" t="s">
        <v>78</v>
      </c>
      <c r="G455" t="s">
        <v>38</v>
      </c>
      <c r="H455" t="s">
        <v>20</v>
      </c>
      <c r="I455">
        <v>3</v>
      </c>
      <c r="J455" t="s">
        <v>47</v>
      </c>
      <c r="K455">
        <v>30</v>
      </c>
      <c r="L455" t="str">
        <f t="shared" si="29"/>
        <v>2+years</v>
      </c>
      <c r="M455" t="s">
        <v>68</v>
      </c>
      <c r="N455">
        <v>14500</v>
      </c>
      <c r="O455">
        <v>19</v>
      </c>
      <c r="P455">
        <v>275500</v>
      </c>
      <c r="Q455">
        <f t="shared" si="30"/>
        <v>14500</v>
      </c>
      <c r="R455" s="13">
        <v>91.75</v>
      </c>
      <c r="S455" t="s">
        <v>23</v>
      </c>
      <c r="T455">
        <f t="shared" si="31"/>
        <v>1</v>
      </c>
      <c r="U455">
        <v>0</v>
      </c>
      <c r="V455">
        <v>0</v>
      </c>
      <c r="W455">
        <v>0</v>
      </c>
    </row>
    <row r="456" spans="1:23" x14ac:dyDescent="0.35">
      <c r="A456" s="7" t="s">
        <v>549</v>
      </c>
      <c r="B456" t="s">
        <v>550</v>
      </c>
      <c r="C456" s="1">
        <v>45682</v>
      </c>
      <c r="D456">
        <v>33</v>
      </c>
      <c r="E456" t="str">
        <f t="shared" si="28"/>
        <v>25-34</v>
      </c>
      <c r="F456" t="s">
        <v>86</v>
      </c>
      <c r="G456" t="s">
        <v>27</v>
      </c>
      <c r="H456" t="s">
        <v>20</v>
      </c>
      <c r="I456">
        <v>5</v>
      </c>
      <c r="J456" t="s">
        <v>52</v>
      </c>
      <c r="K456">
        <v>34</v>
      </c>
      <c r="L456" t="str">
        <f t="shared" si="29"/>
        <v>2+years</v>
      </c>
      <c r="M456" t="s">
        <v>159</v>
      </c>
      <c r="N456">
        <v>600</v>
      </c>
      <c r="O456">
        <v>5</v>
      </c>
      <c r="P456">
        <v>3000</v>
      </c>
      <c r="Q456">
        <f t="shared" si="30"/>
        <v>600</v>
      </c>
      <c r="R456" s="13">
        <v>146.22999999999999</v>
      </c>
      <c r="S456" t="s">
        <v>36</v>
      </c>
      <c r="T456">
        <f t="shared" si="31"/>
        <v>0</v>
      </c>
      <c r="U456">
        <v>0</v>
      </c>
      <c r="V456">
        <v>0</v>
      </c>
      <c r="W456">
        <v>0</v>
      </c>
    </row>
    <row r="457" spans="1:23" x14ac:dyDescent="0.35">
      <c r="A457" s="7" t="s">
        <v>549</v>
      </c>
      <c r="B457" t="s">
        <v>550</v>
      </c>
      <c r="C457" s="1">
        <v>45682</v>
      </c>
      <c r="D457">
        <v>33</v>
      </c>
      <c r="E457" t="str">
        <f t="shared" si="28"/>
        <v>25-34</v>
      </c>
      <c r="F457" t="s">
        <v>86</v>
      </c>
      <c r="G457" t="s">
        <v>33</v>
      </c>
      <c r="H457" t="s">
        <v>20</v>
      </c>
      <c r="I457">
        <v>5</v>
      </c>
      <c r="J457" t="s">
        <v>52</v>
      </c>
      <c r="K457">
        <v>34</v>
      </c>
      <c r="L457" t="str">
        <f t="shared" si="29"/>
        <v>2+years</v>
      </c>
      <c r="M457" t="s">
        <v>35</v>
      </c>
      <c r="N457">
        <v>20000</v>
      </c>
      <c r="O457">
        <v>20</v>
      </c>
      <c r="P457">
        <v>400000</v>
      </c>
      <c r="Q457">
        <f t="shared" si="30"/>
        <v>20000</v>
      </c>
      <c r="R457" s="13">
        <v>77.790000000000006</v>
      </c>
      <c r="S457" t="s">
        <v>36</v>
      </c>
      <c r="T457">
        <f t="shared" si="31"/>
        <v>0</v>
      </c>
      <c r="U457">
        <v>0</v>
      </c>
      <c r="V457">
        <v>0</v>
      </c>
      <c r="W457">
        <v>0</v>
      </c>
    </row>
    <row r="458" spans="1:23" x14ac:dyDescent="0.35">
      <c r="A458" s="7" t="s">
        <v>549</v>
      </c>
      <c r="B458" t="s">
        <v>550</v>
      </c>
      <c r="C458" s="1">
        <v>45682</v>
      </c>
      <c r="D458">
        <v>33</v>
      </c>
      <c r="E458" t="str">
        <f t="shared" si="28"/>
        <v>25-34</v>
      </c>
      <c r="F458" t="s">
        <v>86</v>
      </c>
      <c r="G458" t="s">
        <v>38</v>
      </c>
      <c r="H458" t="s">
        <v>20</v>
      </c>
      <c r="I458">
        <v>5</v>
      </c>
      <c r="J458" t="s">
        <v>52</v>
      </c>
      <c r="K458">
        <v>34</v>
      </c>
      <c r="L458" t="str">
        <f t="shared" si="29"/>
        <v>2+years</v>
      </c>
      <c r="M458" t="s">
        <v>59</v>
      </c>
      <c r="N458">
        <v>24000</v>
      </c>
      <c r="O458">
        <v>17</v>
      </c>
      <c r="P458">
        <v>408000</v>
      </c>
      <c r="Q458">
        <f t="shared" si="30"/>
        <v>24000</v>
      </c>
      <c r="R458" s="13">
        <v>176.6</v>
      </c>
      <c r="S458" t="s">
        <v>36</v>
      </c>
      <c r="T458">
        <f t="shared" si="31"/>
        <v>0</v>
      </c>
      <c r="U458">
        <v>0</v>
      </c>
      <c r="V458">
        <v>0</v>
      </c>
      <c r="W458">
        <v>0</v>
      </c>
    </row>
    <row r="459" spans="1:23" x14ac:dyDescent="0.35">
      <c r="A459" s="7" t="s">
        <v>551</v>
      </c>
      <c r="B459" t="s">
        <v>552</v>
      </c>
      <c r="C459" s="1">
        <v>45741</v>
      </c>
      <c r="D459">
        <v>69</v>
      </c>
      <c r="E459" t="str">
        <f t="shared" si="28"/>
        <v>55+</v>
      </c>
      <c r="F459" t="s">
        <v>67</v>
      </c>
      <c r="G459" t="s">
        <v>27</v>
      </c>
      <c r="H459" t="s">
        <v>28</v>
      </c>
      <c r="I459">
        <v>3</v>
      </c>
      <c r="J459" t="s">
        <v>47</v>
      </c>
      <c r="K459">
        <v>26</v>
      </c>
      <c r="L459" t="str">
        <f t="shared" si="29"/>
        <v>2+years</v>
      </c>
      <c r="M459" t="s">
        <v>22</v>
      </c>
      <c r="N459">
        <v>35000</v>
      </c>
      <c r="O459">
        <v>17</v>
      </c>
      <c r="P459">
        <v>595000</v>
      </c>
      <c r="Q459">
        <f t="shared" si="30"/>
        <v>35000</v>
      </c>
      <c r="R459" s="13">
        <v>120.7</v>
      </c>
      <c r="S459" t="s">
        <v>36</v>
      </c>
      <c r="T459">
        <f t="shared" si="31"/>
        <v>0</v>
      </c>
      <c r="U459">
        <v>0</v>
      </c>
      <c r="V459">
        <v>0</v>
      </c>
      <c r="W459">
        <v>0</v>
      </c>
    </row>
    <row r="460" spans="1:23" x14ac:dyDescent="0.35">
      <c r="A460" s="7" t="s">
        <v>553</v>
      </c>
      <c r="B460" t="s">
        <v>554</v>
      </c>
      <c r="C460" s="1">
        <v>45741</v>
      </c>
      <c r="D460">
        <v>56</v>
      </c>
      <c r="E460" t="str">
        <f t="shared" si="28"/>
        <v>55+</v>
      </c>
      <c r="F460" t="s">
        <v>75</v>
      </c>
      <c r="G460" t="s">
        <v>19</v>
      </c>
      <c r="H460" t="s">
        <v>20</v>
      </c>
      <c r="I460">
        <v>3</v>
      </c>
      <c r="J460" t="s">
        <v>47</v>
      </c>
      <c r="K460">
        <v>14</v>
      </c>
      <c r="L460" t="str">
        <f t="shared" si="29"/>
        <v>1-2 years</v>
      </c>
      <c r="M460" t="s">
        <v>48</v>
      </c>
      <c r="N460">
        <v>9000</v>
      </c>
      <c r="O460">
        <v>12</v>
      </c>
      <c r="P460">
        <v>108000</v>
      </c>
      <c r="Q460">
        <f t="shared" si="30"/>
        <v>9000</v>
      </c>
      <c r="R460" s="13">
        <v>142.22</v>
      </c>
      <c r="S460" t="s">
        <v>36</v>
      </c>
      <c r="T460">
        <f t="shared" si="31"/>
        <v>0</v>
      </c>
      <c r="U460">
        <v>0</v>
      </c>
      <c r="V460">
        <v>0</v>
      </c>
      <c r="W460">
        <v>0</v>
      </c>
    </row>
    <row r="461" spans="1:23" x14ac:dyDescent="0.35">
      <c r="A461" s="7" t="s">
        <v>555</v>
      </c>
      <c r="B461" t="s">
        <v>556</v>
      </c>
      <c r="C461" s="1">
        <v>45713</v>
      </c>
      <c r="D461">
        <v>69</v>
      </c>
      <c r="E461" t="str">
        <f t="shared" si="28"/>
        <v>55+</v>
      </c>
      <c r="F461" t="s">
        <v>82</v>
      </c>
      <c r="G461" t="s">
        <v>27</v>
      </c>
      <c r="H461" t="s">
        <v>28</v>
      </c>
      <c r="I461">
        <v>1</v>
      </c>
      <c r="J461" t="s">
        <v>34</v>
      </c>
      <c r="K461">
        <v>57</v>
      </c>
      <c r="L461" t="str">
        <f t="shared" si="29"/>
        <v>2+years</v>
      </c>
      <c r="M461" t="s">
        <v>159</v>
      </c>
      <c r="N461">
        <v>600</v>
      </c>
      <c r="O461">
        <v>2</v>
      </c>
      <c r="P461">
        <v>1200</v>
      </c>
      <c r="Q461">
        <f t="shared" si="30"/>
        <v>600</v>
      </c>
      <c r="R461" s="13">
        <v>11.09</v>
      </c>
      <c r="S461" t="s">
        <v>36</v>
      </c>
      <c r="T461">
        <f t="shared" si="31"/>
        <v>0</v>
      </c>
      <c r="U461">
        <v>0</v>
      </c>
      <c r="V461">
        <v>0</v>
      </c>
      <c r="W461">
        <v>0</v>
      </c>
    </row>
    <row r="462" spans="1:23" x14ac:dyDescent="0.35">
      <c r="A462" s="7" t="s">
        <v>557</v>
      </c>
      <c r="B462" t="s">
        <v>558</v>
      </c>
      <c r="C462" s="1">
        <v>45741</v>
      </c>
      <c r="D462">
        <v>50</v>
      </c>
      <c r="E462" t="str">
        <f t="shared" si="28"/>
        <v>45-54</v>
      </c>
      <c r="F462" t="s">
        <v>26</v>
      </c>
      <c r="G462" t="s">
        <v>33</v>
      </c>
      <c r="H462" t="s">
        <v>28</v>
      </c>
      <c r="I462">
        <v>2</v>
      </c>
      <c r="J462" t="s">
        <v>21</v>
      </c>
      <c r="K462">
        <v>44</v>
      </c>
      <c r="L462" t="str">
        <f t="shared" si="29"/>
        <v>2+years</v>
      </c>
      <c r="M462" t="s">
        <v>110</v>
      </c>
      <c r="N462">
        <v>25000</v>
      </c>
      <c r="O462">
        <v>4</v>
      </c>
      <c r="P462">
        <v>100000</v>
      </c>
      <c r="Q462">
        <f t="shared" si="30"/>
        <v>25000</v>
      </c>
      <c r="R462" s="13">
        <v>162.9</v>
      </c>
      <c r="S462" t="s">
        <v>36</v>
      </c>
      <c r="T462">
        <f t="shared" si="31"/>
        <v>0</v>
      </c>
      <c r="U462">
        <v>0</v>
      </c>
      <c r="V462">
        <v>0</v>
      </c>
      <c r="W462">
        <v>0</v>
      </c>
    </row>
    <row r="463" spans="1:23" x14ac:dyDescent="0.35">
      <c r="A463" s="7" t="s">
        <v>557</v>
      </c>
      <c r="B463" t="s">
        <v>558</v>
      </c>
      <c r="C463" s="1">
        <v>45741</v>
      </c>
      <c r="D463">
        <v>50</v>
      </c>
      <c r="E463" t="str">
        <f t="shared" si="28"/>
        <v>45-54</v>
      </c>
      <c r="F463" t="s">
        <v>26</v>
      </c>
      <c r="G463" t="s">
        <v>38</v>
      </c>
      <c r="H463" t="s">
        <v>28</v>
      </c>
      <c r="I463">
        <v>2</v>
      </c>
      <c r="J463" t="s">
        <v>21</v>
      </c>
      <c r="K463">
        <v>44</v>
      </c>
      <c r="L463" t="str">
        <f t="shared" si="29"/>
        <v>2+years</v>
      </c>
      <c r="M463" t="s">
        <v>59</v>
      </c>
      <c r="N463">
        <v>24000</v>
      </c>
      <c r="O463">
        <v>18</v>
      </c>
      <c r="P463">
        <v>432000</v>
      </c>
      <c r="Q463">
        <f t="shared" si="30"/>
        <v>24000</v>
      </c>
      <c r="R463" s="13">
        <v>173.67</v>
      </c>
      <c r="S463" t="s">
        <v>36</v>
      </c>
      <c r="T463">
        <f t="shared" si="31"/>
        <v>0</v>
      </c>
      <c r="U463">
        <v>0</v>
      </c>
      <c r="V463">
        <v>0</v>
      </c>
      <c r="W463">
        <v>0</v>
      </c>
    </row>
    <row r="464" spans="1:23" x14ac:dyDescent="0.35">
      <c r="A464" s="7" t="s">
        <v>557</v>
      </c>
      <c r="B464" t="s">
        <v>558</v>
      </c>
      <c r="C464" s="1">
        <v>45741</v>
      </c>
      <c r="D464">
        <v>50</v>
      </c>
      <c r="E464" t="str">
        <f t="shared" si="28"/>
        <v>45-54</v>
      </c>
      <c r="F464" t="s">
        <v>26</v>
      </c>
      <c r="G464" t="s">
        <v>27</v>
      </c>
      <c r="H464" t="s">
        <v>28</v>
      </c>
      <c r="I464">
        <v>2</v>
      </c>
      <c r="J464" t="s">
        <v>21</v>
      </c>
      <c r="K464">
        <v>44</v>
      </c>
      <c r="L464" t="str">
        <f t="shared" si="29"/>
        <v>2+years</v>
      </c>
      <c r="M464" t="s">
        <v>69</v>
      </c>
      <c r="N464">
        <v>350</v>
      </c>
      <c r="O464">
        <v>18</v>
      </c>
      <c r="P464">
        <v>6300</v>
      </c>
      <c r="Q464">
        <f t="shared" si="30"/>
        <v>350</v>
      </c>
      <c r="R464" s="13">
        <v>148.61000000000001</v>
      </c>
      <c r="S464" t="s">
        <v>36</v>
      </c>
      <c r="T464">
        <f t="shared" si="31"/>
        <v>0</v>
      </c>
      <c r="U464">
        <v>0</v>
      </c>
      <c r="V464">
        <v>0</v>
      </c>
      <c r="W464">
        <v>0</v>
      </c>
    </row>
    <row r="465" spans="1:23" x14ac:dyDescent="0.35">
      <c r="A465" s="7" t="s">
        <v>559</v>
      </c>
      <c r="B465" t="s">
        <v>560</v>
      </c>
      <c r="C465" s="1">
        <v>45682</v>
      </c>
      <c r="D465">
        <v>46</v>
      </c>
      <c r="E465" t="str">
        <f t="shared" si="28"/>
        <v>45-54</v>
      </c>
      <c r="F465" t="s">
        <v>183</v>
      </c>
      <c r="G465" t="s">
        <v>33</v>
      </c>
      <c r="H465" t="s">
        <v>28</v>
      </c>
      <c r="I465">
        <v>4</v>
      </c>
      <c r="J465" t="s">
        <v>109</v>
      </c>
      <c r="K465">
        <v>45</v>
      </c>
      <c r="L465" t="str">
        <f t="shared" si="29"/>
        <v>2+years</v>
      </c>
      <c r="M465" t="s">
        <v>39</v>
      </c>
      <c r="N465">
        <v>9000</v>
      </c>
      <c r="O465">
        <v>7</v>
      </c>
      <c r="P465">
        <v>63000</v>
      </c>
      <c r="Q465">
        <f t="shared" si="30"/>
        <v>9000</v>
      </c>
      <c r="R465" s="13">
        <v>148.86000000000001</v>
      </c>
      <c r="S465" t="s">
        <v>36</v>
      </c>
      <c r="T465">
        <f t="shared" si="31"/>
        <v>0</v>
      </c>
      <c r="U465">
        <v>0</v>
      </c>
      <c r="V465">
        <v>0</v>
      </c>
      <c r="W465">
        <v>0</v>
      </c>
    </row>
    <row r="466" spans="1:23" x14ac:dyDescent="0.35">
      <c r="A466" s="7" t="s">
        <v>559</v>
      </c>
      <c r="B466" t="s">
        <v>560</v>
      </c>
      <c r="C466" s="1">
        <v>45682</v>
      </c>
      <c r="D466">
        <v>46</v>
      </c>
      <c r="E466" t="str">
        <f t="shared" si="28"/>
        <v>45-54</v>
      </c>
      <c r="F466" t="s">
        <v>183</v>
      </c>
      <c r="G466" t="s">
        <v>27</v>
      </c>
      <c r="H466" t="s">
        <v>28</v>
      </c>
      <c r="I466">
        <v>4</v>
      </c>
      <c r="J466" t="s">
        <v>109</v>
      </c>
      <c r="K466">
        <v>45</v>
      </c>
      <c r="L466" t="str">
        <f t="shared" si="29"/>
        <v>2+years</v>
      </c>
      <c r="M466" t="s">
        <v>29</v>
      </c>
      <c r="N466">
        <v>5500</v>
      </c>
      <c r="O466">
        <v>12</v>
      </c>
      <c r="P466">
        <v>66000</v>
      </c>
      <c r="Q466">
        <f t="shared" si="30"/>
        <v>5500</v>
      </c>
      <c r="R466" s="13">
        <v>166.08</v>
      </c>
      <c r="S466" t="s">
        <v>36</v>
      </c>
      <c r="T466">
        <f t="shared" si="31"/>
        <v>0</v>
      </c>
      <c r="U466">
        <v>0</v>
      </c>
      <c r="V466">
        <v>0</v>
      </c>
      <c r="W466">
        <v>0</v>
      </c>
    </row>
    <row r="467" spans="1:23" x14ac:dyDescent="0.35">
      <c r="A467" s="7" t="s">
        <v>559</v>
      </c>
      <c r="B467" t="s">
        <v>560</v>
      </c>
      <c r="C467" s="1">
        <v>45682</v>
      </c>
      <c r="D467">
        <v>46</v>
      </c>
      <c r="E467" t="str">
        <f t="shared" si="28"/>
        <v>45-54</v>
      </c>
      <c r="F467" t="s">
        <v>183</v>
      </c>
      <c r="G467" t="s">
        <v>38</v>
      </c>
      <c r="H467" t="s">
        <v>28</v>
      </c>
      <c r="I467">
        <v>4</v>
      </c>
      <c r="J467" t="s">
        <v>109</v>
      </c>
      <c r="K467">
        <v>45</v>
      </c>
      <c r="L467" t="str">
        <f t="shared" si="29"/>
        <v>2+years</v>
      </c>
      <c r="M467" t="s">
        <v>59</v>
      </c>
      <c r="N467">
        <v>24000</v>
      </c>
      <c r="O467">
        <v>20</v>
      </c>
      <c r="P467">
        <v>480000</v>
      </c>
      <c r="Q467">
        <f t="shared" si="30"/>
        <v>24000</v>
      </c>
      <c r="R467" s="13">
        <v>109.55</v>
      </c>
      <c r="S467" t="s">
        <v>36</v>
      </c>
      <c r="T467">
        <f t="shared" si="31"/>
        <v>0</v>
      </c>
      <c r="U467">
        <v>0</v>
      </c>
      <c r="V467">
        <v>0</v>
      </c>
      <c r="W467">
        <v>0</v>
      </c>
    </row>
    <row r="468" spans="1:23" x14ac:dyDescent="0.35">
      <c r="A468" s="7" t="s">
        <v>561</v>
      </c>
      <c r="B468" t="s">
        <v>562</v>
      </c>
      <c r="C468" s="1">
        <v>45682</v>
      </c>
      <c r="D468">
        <v>40</v>
      </c>
      <c r="E468" t="str">
        <f t="shared" si="28"/>
        <v>35-44</v>
      </c>
      <c r="F468" t="s">
        <v>96</v>
      </c>
      <c r="G468" t="s">
        <v>38</v>
      </c>
      <c r="H468" t="s">
        <v>28</v>
      </c>
      <c r="I468">
        <v>2</v>
      </c>
      <c r="J468" t="s">
        <v>21</v>
      </c>
      <c r="K468">
        <v>12</v>
      </c>
      <c r="L468" t="str">
        <f t="shared" si="29"/>
        <v>6-12 months</v>
      </c>
      <c r="M468" t="s">
        <v>68</v>
      </c>
      <c r="N468">
        <v>14500</v>
      </c>
      <c r="O468">
        <v>9</v>
      </c>
      <c r="P468">
        <v>130500</v>
      </c>
      <c r="Q468">
        <f t="shared" si="30"/>
        <v>14500</v>
      </c>
      <c r="R468" s="13">
        <v>56.18</v>
      </c>
      <c r="S468" t="s">
        <v>36</v>
      </c>
      <c r="T468">
        <f t="shared" si="31"/>
        <v>0</v>
      </c>
      <c r="U468">
        <v>0</v>
      </c>
      <c r="V468">
        <v>0</v>
      </c>
      <c r="W468">
        <v>0</v>
      </c>
    </row>
    <row r="469" spans="1:23" x14ac:dyDescent="0.35">
      <c r="A469" s="7" t="s">
        <v>561</v>
      </c>
      <c r="B469" t="s">
        <v>562</v>
      </c>
      <c r="C469" s="1">
        <v>45682</v>
      </c>
      <c r="D469">
        <v>40</v>
      </c>
      <c r="E469" t="str">
        <f t="shared" si="28"/>
        <v>35-44</v>
      </c>
      <c r="F469" t="s">
        <v>96</v>
      </c>
      <c r="G469" t="s">
        <v>19</v>
      </c>
      <c r="H469" t="s">
        <v>28</v>
      </c>
      <c r="I469">
        <v>2</v>
      </c>
      <c r="J469" t="s">
        <v>21</v>
      </c>
      <c r="K469">
        <v>12</v>
      </c>
      <c r="L469" t="str">
        <f t="shared" si="29"/>
        <v>6-12 months</v>
      </c>
      <c r="M469" t="s">
        <v>43</v>
      </c>
      <c r="N469">
        <v>4500</v>
      </c>
      <c r="O469">
        <v>9</v>
      </c>
      <c r="P469">
        <v>40500</v>
      </c>
      <c r="Q469">
        <f t="shared" si="30"/>
        <v>4500</v>
      </c>
      <c r="R469" s="13">
        <v>32.61</v>
      </c>
      <c r="S469" t="s">
        <v>36</v>
      </c>
      <c r="T469">
        <f t="shared" si="31"/>
        <v>0</v>
      </c>
      <c r="U469">
        <v>0</v>
      </c>
      <c r="V469">
        <v>0</v>
      </c>
      <c r="W469">
        <v>0</v>
      </c>
    </row>
    <row r="470" spans="1:23" x14ac:dyDescent="0.35">
      <c r="A470" s="7" t="s">
        <v>561</v>
      </c>
      <c r="B470" t="s">
        <v>562</v>
      </c>
      <c r="C470" s="1">
        <v>45682</v>
      </c>
      <c r="D470">
        <v>40</v>
      </c>
      <c r="E470" t="str">
        <f t="shared" si="28"/>
        <v>35-44</v>
      </c>
      <c r="F470" t="s">
        <v>96</v>
      </c>
      <c r="G470" t="s">
        <v>27</v>
      </c>
      <c r="H470" t="s">
        <v>28</v>
      </c>
      <c r="I470">
        <v>2</v>
      </c>
      <c r="J470" t="s">
        <v>21</v>
      </c>
      <c r="K470">
        <v>12</v>
      </c>
      <c r="L470" t="str">
        <f t="shared" si="29"/>
        <v>6-12 months</v>
      </c>
      <c r="M470" t="s">
        <v>97</v>
      </c>
      <c r="N470">
        <v>900</v>
      </c>
      <c r="O470">
        <v>5</v>
      </c>
      <c r="P470">
        <v>4500</v>
      </c>
      <c r="Q470">
        <f t="shared" si="30"/>
        <v>900</v>
      </c>
      <c r="R470" s="13">
        <v>66.45</v>
      </c>
      <c r="S470" t="s">
        <v>36</v>
      </c>
      <c r="T470">
        <f t="shared" si="31"/>
        <v>0</v>
      </c>
      <c r="U470">
        <v>0</v>
      </c>
      <c r="V470">
        <v>0</v>
      </c>
      <c r="W470">
        <v>0</v>
      </c>
    </row>
    <row r="471" spans="1:23" x14ac:dyDescent="0.35">
      <c r="A471" s="7" t="s">
        <v>563</v>
      </c>
      <c r="B471" t="s">
        <v>495</v>
      </c>
      <c r="C471" s="1">
        <v>45741</v>
      </c>
      <c r="D471">
        <v>35</v>
      </c>
      <c r="E471" t="str">
        <f t="shared" si="28"/>
        <v>35-44</v>
      </c>
      <c r="F471" t="s">
        <v>252</v>
      </c>
      <c r="G471" t="s">
        <v>33</v>
      </c>
      <c r="H471" t="s">
        <v>20</v>
      </c>
      <c r="I471">
        <v>4</v>
      </c>
      <c r="J471" t="s">
        <v>109</v>
      </c>
      <c r="K471">
        <v>50</v>
      </c>
      <c r="L471" t="str">
        <f t="shared" si="29"/>
        <v>2+years</v>
      </c>
      <c r="M471" t="s">
        <v>68</v>
      </c>
      <c r="N471">
        <v>14500</v>
      </c>
      <c r="O471">
        <v>17</v>
      </c>
      <c r="P471">
        <v>246500</v>
      </c>
      <c r="Q471">
        <f t="shared" si="30"/>
        <v>14500</v>
      </c>
      <c r="R471" s="13">
        <v>191.42</v>
      </c>
      <c r="S471" t="s">
        <v>36</v>
      </c>
      <c r="T471">
        <f t="shared" si="31"/>
        <v>0</v>
      </c>
      <c r="U471">
        <v>0</v>
      </c>
      <c r="V471">
        <v>0</v>
      </c>
      <c r="W471">
        <v>0</v>
      </c>
    </row>
    <row r="472" spans="1:23" x14ac:dyDescent="0.35">
      <c r="A472" s="7" t="s">
        <v>563</v>
      </c>
      <c r="B472" t="s">
        <v>495</v>
      </c>
      <c r="C472" s="1">
        <v>45741</v>
      </c>
      <c r="D472">
        <v>35</v>
      </c>
      <c r="E472" t="str">
        <f t="shared" si="28"/>
        <v>35-44</v>
      </c>
      <c r="F472" t="s">
        <v>252</v>
      </c>
      <c r="G472" t="s">
        <v>38</v>
      </c>
      <c r="H472" t="s">
        <v>20</v>
      </c>
      <c r="I472">
        <v>4</v>
      </c>
      <c r="J472" t="s">
        <v>109</v>
      </c>
      <c r="K472">
        <v>50</v>
      </c>
      <c r="L472" t="str">
        <f t="shared" si="29"/>
        <v>2+years</v>
      </c>
      <c r="M472" t="s">
        <v>39</v>
      </c>
      <c r="N472">
        <v>9000</v>
      </c>
      <c r="O472">
        <v>6</v>
      </c>
      <c r="P472">
        <v>54000</v>
      </c>
      <c r="Q472">
        <f t="shared" si="30"/>
        <v>9000</v>
      </c>
      <c r="R472" s="13">
        <v>157.36000000000001</v>
      </c>
      <c r="S472" t="s">
        <v>36</v>
      </c>
      <c r="T472">
        <f t="shared" si="31"/>
        <v>0</v>
      </c>
      <c r="U472">
        <v>0</v>
      </c>
      <c r="V472">
        <v>0</v>
      </c>
      <c r="W472">
        <v>0</v>
      </c>
    </row>
    <row r="473" spans="1:23" x14ac:dyDescent="0.35">
      <c r="A473" s="7" t="s">
        <v>563</v>
      </c>
      <c r="B473" t="s">
        <v>495</v>
      </c>
      <c r="C473" s="1">
        <v>45741</v>
      </c>
      <c r="D473">
        <v>35</v>
      </c>
      <c r="E473" t="str">
        <f t="shared" si="28"/>
        <v>35-44</v>
      </c>
      <c r="F473" t="s">
        <v>252</v>
      </c>
      <c r="G473" t="s">
        <v>19</v>
      </c>
      <c r="H473" t="s">
        <v>20</v>
      </c>
      <c r="I473">
        <v>4</v>
      </c>
      <c r="J473" t="s">
        <v>109</v>
      </c>
      <c r="K473">
        <v>50</v>
      </c>
      <c r="L473" t="str">
        <f t="shared" si="29"/>
        <v>2+years</v>
      </c>
      <c r="M473" t="s">
        <v>22</v>
      </c>
      <c r="N473">
        <v>35000</v>
      </c>
      <c r="O473">
        <v>13</v>
      </c>
      <c r="P473">
        <v>455000</v>
      </c>
      <c r="Q473">
        <f t="shared" si="30"/>
        <v>35000</v>
      </c>
      <c r="R473" s="13">
        <v>108.84</v>
      </c>
      <c r="S473" t="s">
        <v>36</v>
      </c>
      <c r="T473">
        <f t="shared" si="31"/>
        <v>0</v>
      </c>
      <c r="U473">
        <v>0</v>
      </c>
      <c r="V473">
        <v>0</v>
      </c>
      <c r="W473">
        <v>0</v>
      </c>
    </row>
    <row r="474" spans="1:23" x14ac:dyDescent="0.35">
      <c r="A474" s="7" t="s">
        <v>564</v>
      </c>
      <c r="B474" t="s">
        <v>565</v>
      </c>
      <c r="C474" s="1">
        <v>45741</v>
      </c>
      <c r="D474">
        <v>60</v>
      </c>
      <c r="E474" t="str">
        <f t="shared" si="28"/>
        <v>55+</v>
      </c>
      <c r="F474" t="s">
        <v>108</v>
      </c>
      <c r="G474" t="s">
        <v>27</v>
      </c>
      <c r="H474" t="s">
        <v>20</v>
      </c>
      <c r="I474">
        <v>3</v>
      </c>
      <c r="J474" t="s">
        <v>47</v>
      </c>
      <c r="K474">
        <v>43</v>
      </c>
      <c r="L474" t="str">
        <f t="shared" si="29"/>
        <v>2+years</v>
      </c>
      <c r="M474" t="s">
        <v>187</v>
      </c>
      <c r="N474">
        <v>6500</v>
      </c>
      <c r="O474">
        <v>1</v>
      </c>
      <c r="P474">
        <v>6500</v>
      </c>
      <c r="Q474">
        <f t="shared" si="30"/>
        <v>6500</v>
      </c>
      <c r="R474" s="13">
        <v>164.83</v>
      </c>
      <c r="S474" t="s">
        <v>36</v>
      </c>
      <c r="T474">
        <f t="shared" si="31"/>
        <v>0</v>
      </c>
      <c r="U474">
        <v>0</v>
      </c>
      <c r="V474">
        <v>0</v>
      </c>
      <c r="W474">
        <v>0</v>
      </c>
    </row>
    <row r="475" spans="1:23" x14ac:dyDescent="0.35">
      <c r="A475" s="7" t="s">
        <v>566</v>
      </c>
      <c r="B475" t="s">
        <v>567</v>
      </c>
      <c r="C475" s="1">
        <v>45713</v>
      </c>
      <c r="D475">
        <v>60</v>
      </c>
      <c r="E475" t="str">
        <f t="shared" si="28"/>
        <v>55+</v>
      </c>
      <c r="F475" t="s">
        <v>192</v>
      </c>
      <c r="G475" t="s">
        <v>27</v>
      </c>
      <c r="H475" t="s">
        <v>20</v>
      </c>
      <c r="I475">
        <v>1</v>
      </c>
      <c r="J475" t="s">
        <v>34</v>
      </c>
      <c r="K475">
        <v>58</v>
      </c>
      <c r="L475" t="str">
        <f t="shared" si="29"/>
        <v>2+years</v>
      </c>
      <c r="M475" t="s">
        <v>83</v>
      </c>
      <c r="N475">
        <v>7500</v>
      </c>
      <c r="O475">
        <v>10</v>
      </c>
      <c r="P475">
        <v>75000</v>
      </c>
      <c r="Q475">
        <f t="shared" si="30"/>
        <v>7500</v>
      </c>
      <c r="R475" s="13">
        <v>51.69</v>
      </c>
      <c r="S475" t="s">
        <v>36</v>
      </c>
      <c r="T475">
        <f t="shared" si="31"/>
        <v>0</v>
      </c>
      <c r="U475">
        <v>0</v>
      </c>
      <c r="V475">
        <v>0</v>
      </c>
      <c r="W475">
        <v>0</v>
      </c>
    </row>
    <row r="476" spans="1:23" x14ac:dyDescent="0.35">
      <c r="A476" s="7" t="s">
        <v>566</v>
      </c>
      <c r="B476" t="s">
        <v>567</v>
      </c>
      <c r="C476" s="1">
        <v>45713</v>
      </c>
      <c r="D476">
        <v>60</v>
      </c>
      <c r="E476" t="str">
        <f t="shared" si="28"/>
        <v>55+</v>
      </c>
      <c r="F476" t="s">
        <v>192</v>
      </c>
      <c r="G476" t="s">
        <v>38</v>
      </c>
      <c r="H476" t="s">
        <v>20</v>
      </c>
      <c r="I476">
        <v>1</v>
      </c>
      <c r="J476" t="s">
        <v>34</v>
      </c>
      <c r="K476">
        <v>58</v>
      </c>
      <c r="L476" t="str">
        <f t="shared" si="29"/>
        <v>2+years</v>
      </c>
      <c r="M476" t="s">
        <v>39</v>
      </c>
      <c r="N476">
        <v>9000</v>
      </c>
      <c r="O476">
        <v>12</v>
      </c>
      <c r="P476">
        <v>108000</v>
      </c>
      <c r="Q476">
        <f t="shared" si="30"/>
        <v>9000</v>
      </c>
      <c r="R476" s="13">
        <v>182.31</v>
      </c>
      <c r="S476" t="s">
        <v>36</v>
      </c>
      <c r="T476">
        <f t="shared" si="31"/>
        <v>0</v>
      </c>
      <c r="U476">
        <v>0</v>
      </c>
      <c r="V476">
        <v>0</v>
      </c>
      <c r="W476">
        <v>0</v>
      </c>
    </row>
    <row r="477" spans="1:23" x14ac:dyDescent="0.35">
      <c r="A477" s="7" t="s">
        <v>568</v>
      </c>
      <c r="B477" t="s">
        <v>569</v>
      </c>
      <c r="C477" s="1">
        <v>45713</v>
      </c>
      <c r="D477">
        <v>73</v>
      </c>
      <c r="E477" t="str">
        <f t="shared" si="28"/>
        <v>55+</v>
      </c>
      <c r="F477" t="s">
        <v>86</v>
      </c>
      <c r="G477" t="s">
        <v>19</v>
      </c>
      <c r="H477" t="s">
        <v>20</v>
      </c>
      <c r="I477">
        <v>3</v>
      </c>
      <c r="J477" t="s">
        <v>47</v>
      </c>
      <c r="K477">
        <v>19</v>
      </c>
      <c r="L477" t="str">
        <f t="shared" si="29"/>
        <v>1-2 years</v>
      </c>
      <c r="M477" t="s">
        <v>55</v>
      </c>
      <c r="N477">
        <v>16000</v>
      </c>
      <c r="O477">
        <v>7</v>
      </c>
      <c r="P477">
        <v>112000</v>
      </c>
      <c r="Q477">
        <f t="shared" si="30"/>
        <v>16000</v>
      </c>
      <c r="R477" s="13">
        <v>125.57</v>
      </c>
      <c r="S477" t="s">
        <v>36</v>
      </c>
      <c r="T477">
        <f t="shared" si="31"/>
        <v>0</v>
      </c>
      <c r="U477">
        <v>0</v>
      </c>
      <c r="V477">
        <v>0</v>
      </c>
      <c r="W477">
        <v>0</v>
      </c>
    </row>
    <row r="478" spans="1:23" x14ac:dyDescent="0.35">
      <c r="A478" s="7" t="s">
        <v>570</v>
      </c>
      <c r="B478" t="s">
        <v>571</v>
      </c>
      <c r="C478" s="1">
        <v>45713</v>
      </c>
      <c r="D478">
        <v>70</v>
      </c>
      <c r="E478" t="str">
        <f t="shared" si="28"/>
        <v>55+</v>
      </c>
      <c r="F478" t="s">
        <v>91</v>
      </c>
      <c r="G478" t="s">
        <v>38</v>
      </c>
      <c r="H478" t="s">
        <v>20</v>
      </c>
      <c r="I478">
        <v>1</v>
      </c>
      <c r="J478" t="s">
        <v>34</v>
      </c>
      <c r="K478">
        <v>35</v>
      </c>
      <c r="L478" t="str">
        <f t="shared" si="29"/>
        <v>2+years</v>
      </c>
      <c r="M478" t="s">
        <v>68</v>
      </c>
      <c r="N478">
        <v>14500</v>
      </c>
      <c r="O478">
        <v>2</v>
      </c>
      <c r="P478">
        <v>29000</v>
      </c>
      <c r="Q478">
        <f t="shared" si="30"/>
        <v>14500</v>
      </c>
      <c r="R478" s="13">
        <v>143.52000000000001</v>
      </c>
      <c r="S478" t="s">
        <v>36</v>
      </c>
      <c r="T478">
        <f t="shared" si="31"/>
        <v>0</v>
      </c>
      <c r="U478">
        <v>0</v>
      </c>
      <c r="V478">
        <v>0</v>
      </c>
      <c r="W478">
        <v>0</v>
      </c>
    </row>
    <row r="479" spans="1:23" x14ac:dyDescent="0.35">
      <c r="A479" s="7" t="s">
        <v>572</v>
      </c>
      <c r="B479" t="s">
        <v>573</v>
      </c>
      <c r="C479" s="1">
        <v>45741</v>
      </c>
      <c r="D479">
        <v>25</v>
      </c>
      <c r="E479" t="str">
        <f t="shared" si="28"/>
        <v>25-34</v>
      </c>
      <c r="F479" t="s">
        <v>46</v>
      </c>
      <c r="G479" t="s">
        <v>33</v>
      </c>
      <c r="H479" t="s">
        <v>20</v>
      </c>
      <c r="I479">
        <v>5</v>
      </c>
      <c r="J479" t="s">
        <v>52</v>
      </c>
      <c r="K479">
        <v>51</v>
      </c>
      <c r="L479" t="str">
        <f t="shared" si="29"/>
        <v>2+years</v>
      </c>
      <c r="M479" t="s">
        <v>100</v>
      </c>
      <c r="N479">
        <v>75000</v>
      </c>
      <c r="O479">
        <v>13</v>
      </c>
      <c r="P479">
        <v>975000</v>
      </c>
      <c r="Q479">
        <f t="shared" si="30"/>
        <v>75000</v>
      </c>
      <c r="R479" s="13">
        <v>77.91</v>
      </c>
      <c r="S479" t="s">
        <v>23</v>
      </c>
      <c r="T479">
        <f t="shared" si="31"/>
        <v>1</v>
      </c>
      <c r="U479">
        <v>0</v>
      </c>
      <c r="V479">
        <v>0</v>
      </c>
      <c r="W479">
        <v>0</v>
      </c>
    </row>
    <row r="480" spans="1:23" x14ac:dyDescent="0.35">
      <c r="A480" s="7" t="s">
        <v>574</v>
      </c>
      <c r="B480" t="s">
        <v>575</v>
      </c>
      <c r="C480" s="1">
        <v>45682</v>
      </c>
      <c r="D480">
        <v>56</v>
      </c>
      <c r="E480" t="str">
        <f t="shared" si="28"/>
        <v>55+</v>
      </c>
      <c r="F480" t="s">
        <v>113</v>
      </c>
      <c r="G480" t="s">
        <v>38</v>
      </c>
      <c r="H480" t="s">
        <v>28</v>
      </c>
      <c r="I480">
        <v>5</v>
      </c>
      <c r="J480" t="s">
        <v>52</v>
      </c>
      <c r="K480">
        <v>44</v>
      </c>
      <c r="L480" t="str">
        <f t="shared" si="29"/>
        <v>2+years</v>
      </c>
      <c r="M480" t="s">
        <v>39</v>
      </c>
      <c r="N480">
        <v>9000</v>
      </c>
      <c r="O480">
        <v>17</v>
      </c>
      <c r="P480">
        <v>153000</v>
      </c>
      <c r="Q480">
        <f t="shared" si="30"/>
        <v>9000</v>
      </c>
      <c r="R480" s="13">
        <v>71.86</v>
      </c>
      <c r="S480" t="s">
        <v>23</v>
      </c>
      <c r="T480">
        <f t="shared" si="31"/>
        <v>1</v>
      </c>
      <c r="U480">
        <v>0</v>
      </c>
      <c r="V480">
        <v>0</v>
      </c>
      <c r="W480">
        <v>0</v>
      </c>
    </row>
    <row r="481" spans="1:23" x14ac:dyDescent="0.35">
      <c r="A481" s="7" t="s">
        <v>574</v>
      </c>
      <c r="B481" t="s">
        <v>575</v>
      </c>
      <c r="C481" s="1">
        <v>45682</v>
      </c>
      <c r="D481">
        <v>56</v>
      </c>
      <c r="E481" t="str">
        <f t="shared" si="28"/>
        <v>55+</v>
      </c>
      <c r="F481" t="s">
        <v>113</v>
      </c>
      <c r="G481" t="s">
        <v>33</v>
      </c>
      <c r="H481" t="s">
        <v>28</v>
      </c>
      <c r="I481">
        <v>5</v>
      </c>
      <c r="J481" t="s">
        <v>52</v>
      </c>
      <c r="K481">
        <v>44</v>
      </c>
      <c r="L481" t="str">
        <f t="shared" si="29"/>
        <v>2+years</v>
      </c>
      <c r="M481" t="s">
        <v>35</v>
      </c>
      <c r="N481">
        <v>20000</v>
      </c>
      <c r="O481">
        <v>10</v>
      </c>
      <c r="P481">
        <v>200000</v>
      </c>
      <c r="Q481">
        <f t="shared" si="30"/>
        <v>20000</v>
      </c>
      <c r="R481" s="13">
        <v>58.32</v>
      </c>
      <c r="S481" t="s">
        <v>23</v>
      </c>
      <c r="T481">
        <f t="shared" si="31"/>
        <v>1</v>
      </c>
      <c r="U481">
        <v>0</v>
      </c>
      <c r="V481">
        <v>0</v>
      </c>
      <c r="W481">
        <v>0</v>
      </c>
    </row>
    <row r="482" spans="1:23" x14ac:dyDescent="0.35">
      <c r="A482" s="7" t="s">
        <v>574</v>
      </c>
      <c r="B482" t="s">
        <v>575</v>
      </c>
      <c r="C482" s="1">
        <v>45682</v>
      </c>
      <c r="D482">
        <v>56</v>
      </c>
      <c r="E482" t="str">
        <f t="shared" si="28"/>
        <v>55+</v>
      </c>
      <c r="F482" t="s">
        <v>113</v>
      </c>
      <c r="G482" t="s">
        <v>27</v>
      </c>
      <c r="H482" t="s">
        <v>28</v>
      </c>
      <c r="I482">
        <v>5</v>
      </c>
      <c r="J482" t="s">
        <v>52</v>
      </c>
      <c r="K482">
        <v>44</v>
      </c>
      <c r="L482" t="str">
        <f t="shared" si="29"/>
        <v>2+years</v>
      </c>
      <c r="M482" t="s">
        <v>79</v>
      </c>
      <c r="N482">
        <v>1000</v>
      </c>
      <c r="O482">
        <v>15</v>
      </c>
      <c r="P482">
        <v>15000</v>
      </c>
      <c r="Q482">
        <f t="shared" si="30"/>
        <v>1000</v>
      </c>
      <c r="R482" s="13">
        <v>56.66</v>
      </c>
      <c r="S482" t="s">
        <v>23</v>
      </c>
      <c r="T482">
        <f t="shared" si="31"/>
        <v>1</v>
      </c>
      <c r="U482">
        <v>0</v>
      </c>
      <c r="V482">
        <v>0</v>
      </c>
      <c r="W482">
        <v>0</v>
      </c>
    </row>
    <row r="483" spans="1:23" x14ac:dyDescent="0.35">
      <c r="A483" s="7" t="s">
        <v>576</v>
      </c>
      <c r="B483" t="s">
        <v>577</v>
      </c>
      <c r="C483" s="1">
        <v>45713</v>
      </c>
      <c r="D483">
        <v>66</v>
      </c>
      <c r="E483" t="str">
        <f t="shared" si="28"/>
        <v>55+</v>
      </c>
      <c r="F483" t="s">
        <v>113</v>
      </c>
      <c r="G483" t="s">
        <v>33</v>
      </c>
      <c r="H483" t="s">
        <v>28</v>
      </c>
      <c r="I483">
        <v>2</v>
      </c>
      <c r="J483" t="s">
        <v>21</v>
      </c>
      <c r="K483">
        <v>11</v>
      </c>
      <c r="L483" t="str">
        <f t="shared" si="29"/>
        <v>6-12 months</v>
      </c>
      <c r="M483" t="s">
        <v>59</v>
      </c>
      <c r="N483">
        <v>24000</v>
      </c>
      <c r="O483">
        <v>12</v>
      </c>
      <c r="P483">
        <v>288000</v>
      </c>
      <c r="Q483">
        <f t="shared" si="30"/>
        <v>24000</v>
      </c>
      <c r="R483" s="13">
        <v>135.62</v>
      </c>
      <c r="S483" t="s">
        <v>36</v>
      </c>
      <c r="T483">
        <f t="shared" si="31"/>
        <v>0</v>
      </c>
      <c r="U483">
        <v>0</v>
      </c>
      <c r="V483">
        <v>0</v>
      </c>
      <c r="W483">
        <v>0</v>
      </c>
    </row>
    <row r="484" spans="1:23" x14ac:dyDescent="0.35">
      <c r="A484" s="7" t="s">
        <v>576</v>
      </c>
      <c r="B484" t="s">
        <v>577</v>
      </c>
      <c r="C484" s="1">
        <v>45713</v>
      </c>
      <c r="D484">
        <v>66</v>
      </c>
      <c r="E484" t="str">
        <f t="shared" si="28"/>
        <v>55+</v>
      </c>
      <c r="F484" t="s">
        <v>113</v>
      </c>
      <c r="G484" t="s">
        <v>27</v>
      </c>
      <c r="H484" t="s">
        <v>28</v>
      </c>
      <c r="I484">
        <v>2</v>
      </c>
      <c r="J484" t="s">
        <v>21</v>
      </c>
      <c r="K484">
        <v>11</v>
      </c>
      <c r="L484" t="str">
        <f t="shared" si="29"/>
        <v>6-12 months</v>
      </c>
      <c r="M484" t="s">
        <v>97</v>
      </c>
      <c r="N484">
        <v>900</v>
      </c>
      <c r="O484">
        <v>18</v>
      </c>
      <c r="P484">
        <v>16200</v>
      </c>
      <c r="Q484">
        <f t="shared" si="30"/>
        <v>900</v>
      </c>
      <c r="R484" s="13">
        <v>110.93</v>
      </c>
      <c r="S484" t="s">
        <v>36</v>
      </c>
      <c r="T484">
        <f t="shared" si="31"/>
        <v>0</v>
      </c>
      <c r="U484">
        <v>0</v>
      </c>
      <c r="V484">
        <v>0</v>
      </c>
      <c r="W484">
        <v>0</v>
      </c>
    </row>
    <row r="485" spans="1:23" x14ac:dyDescent="0.35">
      <c r="A485" s="7" t="s">
        <v>576</v>
      </c>
      <c r="B485" t="s">
        <v>577</v>
      </c>
      <c r="C485" s="1">
        <v>45713</v>
      </c>
      <c r="D485">
        <v>66</v>
      </c>
      <c r="E485" t="str">
        <f t="shared" si="28"/>
        <v>55+</v>
      </c>
      <c r="F485" t="s">
        <v>113</v>
      </c>
      <c r="G485" t="s">
        <v>38</v>
      </c>
      <c r="H485" t="s">
        <v>28</v>
      </c>
      <c r="I485">
        <v>2</v>
      </c>
      <c r="J485" t="s">
        <v>21</v>
      </c>
      <c r="K485">
        <v>11</v>
      </c>
      <c r="L485" t="str">
        <f t="shared" si="29"/>
        <v>6-12 months</v>
      </c>
      <c r="M485" t="s">
        <v>35</v>
      </c>
      <c r="N485">
        <v>20000</v>
      </c>
      <c r="O485">
        <v>1</v>
      </c>
      <c r="P485">
        <v>20000</v>
      </c>
      <c r="Q485">
        <f t="shared" si="30"/>
        <v>20000</v>
      </c>
      <c r="R485" s="13">
        <v>25.09</v>
      </c>
      <c r="S485" t="s">
        <v>36</v>
      </c>
      <c r="T485">
        <f t="shared" si="31"/>
        <v>0</v>
      </c>
      <c r="U485">
        <v>0</v>
      </c>
      <c r="V485">
        <v>0</v>
      </c>
      <c r="W485">
        <v>0</v>
      </c>
    </row>
    <row r="486" spans="1:23" x14ac:dyDescent="0.35">
      <c r="A486" s="7" t="s">
        <v>578</v>
      </c>
      <c r="B486" t="s">
        <v>579</v>
      </c>
      <c r="C486" s="1">
        <v>45741</v>
      </c>
      <c r="D486">
        <v>26</v>
      </c>
      <c r="E486" t="str">
        <f t="shared" si="28"/>
        <v>25-34</v>
      </c>
      <c r="F486" t="s">
        <v>144</v>
      </c>
      <c r="G486" t="s">
        <v>19</v>
      </c>
      <c r="H486" t="s">
        <v>20</v>
      </c>
      <c r="I486">
        <v>2</v>
      </c>
      <c r="J486" t="s">
        <v>21</v>
      </c>
      <c r="K486">
        <v>48</v>
      </c>
      <c r="L486" t="str">
        <f t="shared" si="29"/>
        <v>2+years</v>
      </c>
      <c r="M486" t="s">
        <v>43</v>
      </c>
      <c r="N486">
        <v>4500</v>
      </c>
      <c r="O486">
        <v>9</v>
      </c>
      <c r="P486">
        <v>40500</v>
      </c>
      <c r="Q486">
        <f t="shared" si="30"/>
        <v>4500</v>
      </c>
      <c r="R486" s="13">
        <v>123.57</v>
      </c>
      <c r="S486" t="s">
        <v>36</v>
      </c>
      <c r="T486">
        <f t="shared" si="31"/>
        <v>0</v>
      </c>
      <c r="U486">
        <v>0</v>
      </c>
      <c r="V486">
        <v>0</v>
      </c>
      <c r="W486">
        <v>0</v>
      </c>
    </row>
    <row r="487" spans="1:23" x14ac:dyDescent="0.35">
      <c r="A487" s="7" t="s">
        <v>578</v>
      </c>
      <c r="B487" t="s">
        <v>579</v>
      </c>
      <c r="C487" s="1">
        <v>45741</v>
      </c>
      <c r="D487">
        <v>26</v>
      </c>
      <c r="E487" t="str">
        <f t="shared" si="28"/>
        <v>25-34</v>
      </c>
      <c r="F487" t="s">
        <v>144</v>
      </c>
      <c r="G487" t="s">
        <v>38</v>
      </c>
      <c r="H487" t="s">
        <v>20</v>
      </c>
      <c r="I487">
        <v>2</v>
      </c>
      <c r="J487" t="s">
        <v>21</v>
      </c>
      <c r="K487">
        <v>48</v>
      </c>
      <c r="L487" t="str">
        <f t="shared" si="29"/>
        <v>2+years</v>
      </c>
      <c r="M487" t="s">
        <v>35</v>
      </c>
      <c r="N487">
        <v>20000</v>
      </c>
      <c r="O487">
        <v>19</v>
      </c>
      <c r="P487">
        <v>380000</v>
      </c>
      <c r="Q487">
        <f t="shared" si="30"/>
        <v>20000</v>
      </c>
      <c r="R487" s="13">
        <v>23.37</v>
      </c>
      <c r="S487" t="s">
        <v>36</v>
      </c>
      <c r="T487">
        <f t="shared" si="31"/>
        <v>0</v>
      </c>
      <c r="U487">
        <v>0</v>
      </c>
      <c r="V487">
        <v>0</v>
      </c>
      <c r="W487">
        <v>0</v>
      </c>
    </row>
    <row r="488" spans="1:23" x14ac:dyDescent="0.35">
      <c r="A488" s="7" t="s">
        <v>578</v>
      </c>
      <c r="B488" t="s">
        <v>579</v>
      </c>
      <c r="C488" s="1">
        <v>45741</v>
      </c>
      <c r="D488">
        <v>26</v>
      </c>
      <c r="E488" t="str">
        <f t="shared" si="28"/>
        <v>25-34</v>
      </c>
      <c r="F488" t="s">
        <v>144</v>
      </c>
      <c r="G488" t="s">
        <v>33</v>
      </c>
      <c r="H488" t="s">
        <v>20</v>
      </c>
      <c r="I488">
        <v>2</v>
      </c>
      <c r="J488" t="s">
        <v>21</v>
      </c>
      <c r="K488">
        <v>48</v>
      </c>
      <c r="L488" t="str">
        <f t="shared" si="29"/>
        <v>2+years</v>
      </c>
      <c r="M488" t="s">
        <v>39</v>
      </c>
      <c r="N488">
        <v>9000</v>
      </c>
      <c r="O488">
        <v>18</v>
      </c>
      <c r="P488">
        <v>162000</v>
      </c>
      <c r="Q488">
        <f t="shared" si="30"/>
        <v>9000</v>
      </c>
      <c r="R488" s="13">
        <v>170.35</v>
      </c>
      <c r="S488" t="s">
        <v>36</v>
      </c>
      <c r="T488">
        <f t="shared" si="31"/>
        <v>0</v>
      </c>
      <c r="U488">
        <v>0</v>
      </c>
      <c r="V488">
        <v>0</v>
      </c>
      <c r="W488">
        <v>0</v>
      </c>
    </row>
    <row r="489" spans="1:23" x14ac:dyDescent="0.35">
      <c r="A489" s="7" t="s">
        <v>580</v>
      </c>
      <c r="B489" t="s">
        <v>581</v>
      </c>
      <c r="C489" s="1">
        <v>45682</v>
      </c>
      <c r="D489">
        <v>25</v>
      </c>
      <c r="E489" t="str">
        <f t="shared" si="28"/>
        <v>25-34</v>
      </c>
      <c r="F489" t="s">
        <v>96</v>
      </c>
      <c r="G489" t="s">
        <v>33</v>
      </c>
      <c r="H489" t="s">
        <v>20</v>
      </c>
      <c r="I489">
        <v>2</v>
      </c>
      <c r="J489" t="s">
        <v>21</v>
      </c>
      <c r="K489">
        <v>17</v>
      </c>
      <c r="L489" t="str">
        <f t="shared" si="29"/>
        <v>1-2 years</v>
      </c>
      <c r="M489" t="s">
        <v>62</v>
      </c>
      <c r="N489">
        <v>30000</v>
      </c>
      <c r="O489">
        <v>8</v>
      </c>
      <c r="P489">
        <v>240000</v>
      </c>
      <c r="Q489">
        <f t="shared" si="30"/>
        <v>30000</v>
      </c>
      <c r="R489" s="13">
        <v>134.41999999999999</v>
      </c>
      <c r="S489" t="s">
        <v>36</v>
      </c>
      <c r="T489">
        <f t="shared" si="31"/>
        <v>0</v>
      </c>
      <c r="U489">
        <v>0</v>
      </c>
      <c r="V489">
        <v>0</v>
      </c>
      <c r="W489">
        <v>0</v>
      </c>
    </row>
    <row r="490" spans="1:23" x14ac:dyDescent="0.35">
      <c r="A490" s="7" t="s">
        <v>580</v>
      </c>
      <c r="B490" t="s">
        <v>581</v>
      </c>
      <c r="C490" s="1">
        <v>45682</v>
      </c>
      <c r="D490">
        <v>25</v>
      </c>
      <c r="E490" t="str">
        <f t="shared" si="28"/>
        <v>25-34</v>
      </c>
      <c r="F490" t="s">
        <v>96</v>
      </c>
      <c r="G490" t="s">
        <v>19</v>
      </c>
      <c r="H490" t="s">
        <v>20</v>
      </c>
      <c r="I490">
        <v>2</v>
      </c>
      <c r="J490" t="s">
        <v>21</v>
      </c>
      <c r="K490">
        <v>17</v>
      </c>
      <c r="L490" t="str">
        <f t="shared" si="29"/>
        <v>1-2 years</v>
      </c>
      <c r="M490" t="s">
        <v>55</v>
      </c>
      <c r="N490">
        <v>16000</v>
      </c>
      <c r="O490">
        <v>3</v>
      </c>
      <c r="P490">
        <v>48000</v>
      </c>
      <c r="Q490">
        <f t="shared" si="30"/>
        <v>16000</v>
      </c>
      <c r="R490" s="13">
        <v>57.38</v>
      </c>
      <c r="S490" t="s">
        <v>36</v>
      </c>
      <c r="T490">
        <f t="shared" si="31"/>
        <v>0</v>
      </c>
      <c r="U490">
        <v>0</v>
      </c>
      <c r="V490">
        <v>0</v>
      </c>
      <c r="W490">
        <v>0</v>
      </c>
    </row>
    <row r="491" spans="1:23" x14ac:dyDescent="0.35">
      <c r="A491" s="7" t="s">
        <v>582</v>
      </c>
      <c r="B491" t="s">
        <v>583</v>
      </c>
      <c r="C491" s="1">
        <v>45741</v>
      </c>
      <c r="D491">
        <v>56</v>
      </c>
      <c r="E491" t="str">
        <f t="shared" si="28"/>
        <v>55+</v>
      </c>
      <c r="F491" t="s">
        <v>86</v>
      </c>
      <c r="G491" t="s">
        <v>33</v>
      </c>
      <c r="H491" t="s">
        <v>28</v>
      </c>
      <c r="I491">
        <v>5</v>
      </c>
      <c r="J491" t="s">
        <v>52</v>
      </c>
      <c r="K491">
        <v>22</v>
      </c>
      <c r="L491" t="str">
        <f t="shared" si="29"/>
        <v>1-2 years</v>
      </c>
      <c r="M491" t="s">
        <v>62</v>
      </c>
      <c r="N491">
        <v>30000</v>
      </c>
      <c r="O491">
        <v>8</v>
      </c>
      <c r="P491">
        <v>240000</v>
      </c>
      <c r="Q491">
        <f t="shared" si="30"/>
        <v>30000</v>
      </c>
      <c r="R491" s="13">
        <v>1.46</v>
      </c>
      <c r="S491" t="s">
        <v>23</v>
      </c>
      <c r="T491">
        <f t="shared" si="31"/>
        <v>1</v>
      </c>
      <c r="U491">
        <v>0</v>
      </c>
      <c r="V491">
        <v>0</v>
      </c>
      <c r="W491">
        <v>0</v>
      </c>
    </row>
    <row r="492" spans="1:23" x14ac:dyDescent="0.35">
      <c r="A492" s="7" t="s">
        <v>582</v>
      </c>
      <c r="B492" t="s">
        <v>583</v>
      </c>
      <c r="C492" s="1">
        <v>45741</v>
      </c>
      <c r="D492">
        <v>56</v>
      </c>
      <c r="E492" t="str">
        <f t="shared" si="28"/>
        <v>55+</v>
      </c>
      <c r="F492" t="s">
        <v>86</v>
      </c>
      <c r="G492" t="s">
        <v>27</v>
      </c>
      <c r="H492" t="s">
        <v>28</v>
      </c>
      <c r="I492">
        <v>5</v>
      </c>
      <c r="J492" t="s">
        <v>52</v>
      </c>
      <c r="K492">
        <v>22</v>
      </c>
      <c r="L492" t="str">
        <f t="shared" si="29"/>
        <v>1-2 years</v>
      </c>
      <c r="M492" t="s">
        <v>43</v>
      </c>
      <c r="N492">
        <v>4500</v>
      </c>
      <c r="O492">
        <v>14</v>
      </c>
      <c r="P492">
        <v>63000</v>
      </c>
      <c r="Q492">
        <f t="shared" si="30"/>
        <v>4500</v>
      </c>
      <c r="R492" s="13">
        <v>142.58000000000001</v>
      </c>
      <c r="S492" t="s">
        <v>23</v>
      </c>
      <c r="T492">
        <f t="shared" si="31"/>
        <v>1</v>
      </c>
      <c r="U492">
        <v>0</v>
      </c>
      <c r="V492">
        <v>0</v>
      </c>
      <c r="W492">
        <v>0</v>
      </c>
    </row>
    <row r="493" spans="1:23" x14ac:dyDescent="0.35">
      <c r="A493" s="7" t="s">
        <v>584</v>
      </c>
      <c r="B493" t="s">
        <v>585</v>
      </c>
      <c r="C493" s="1">
        <v>45713</v>
      </c>
      <c r="D493">
        <v>62</v>
      </c>
      <c r="E493" t="str">
        <f t="shared" si="28"/>
        <v>55+</v>
      </c>
      <c r="F493" t="s">
        <v>135</v>
      </c>
      <c r="G493" t="s">
        <v>27</v>
      </c>
      <c r="H493" t="s">
        <v>28</v>
      </c>
      <c r="I493">
        <v>4</v>
      </c>
      <c r="J493" t="s">
        <v>109</v>
      </c>
      <c r="K493">
        <v>57</v>
      </c>
      <c r="L493" t="str">
        <f t="shared" si="29"/>
        <v>2+years</v>
      </c>
      <c r="M493" t="s">
        <v>79</v>
      </c>
      <c r="N493">
        <v>1000</v>
      </c>
      <c r="O493">
        <v>20</v>
      </c>
      <c r="P493">
        <v>20000</v>
      </c>
      <c r="Q493">
        <f t="shared" si="30"/>
        <v>1000</v>
      </c>
      <c r="R493" s="13">
        <v>35.57</v>
      </c>
      <c r="S493" t="s">
        <v>36</v>
      </c>
      <c r="T493">
        <f t="shared" si="31"/>
        <v>0</v>
      </c>
      <c r="U493">
        <v>0</v>
      </c>
      <c r="V493">
        <v>0</v>
      </c>
      <c r="W493">
        <v>0</v>
      </c>
    </row>
    <row r="494" spans="1:23" x14ac:dyDescent="0.35">
      <c r="A494" s="7" t="s">
        <v>584</v>
      </c>
      <c r="B494" t="s">
        <v>585</v>
      </c>
      <c r="C494" s="1">
        <v>45713</v>
      </c>
      <c r="D494">
        <v>62</v>
      </c>
      <c r="E494" t="str">
        <f t="shared" si="28"/>
        <v>55+</v>
      </c>
      <c r="F494" t="s">
        <v>135</v>
      </c>
      <c r="G494" t="s">
        <v>33</v>
      </c>
      <c r="H494" t="s">
        <v>28</v>
      </c>
      <c r="I494">
        <v>4</v>
      </c>
      <c r="J494" t="s">
        <v>109</v>
      </c>
      <c r="K494">
        <v>57</v>
      </c>
      <c r="L494" t="str">
        <f t="shared" si="29"/>
        <v>2+years</v>
      </c>
      <c r="M494" t="s">
        <v>35</v>
      </c>
      <c r="N494">
        <v>20000</v>
      </c>
      <c r="O494">
        <v>5</v>
      </c>
      <c r="P494">
        <v>100000</v>
      </c>
      <c r="Q494">
        <f t="shared" si="30"/>
        <v>20000</v>
      </c>
      <c r="R494" s="13">
        <v>168.44</v>
      </c>
      <c r="S494" t="s">
        <v>36</v>
      </c>
      <c r="T494">
        <f t="shared" si="31"/>
        <v>0</v>
      </c>
      <c r="U494">
        <v>0</v>
      </c>
      <c r="V494">
        <v>0</v>
      </c>
      <c r="W494">
        <v>0</v>
      </c>
    </row>
    <row r="495" spans="1:23" x14ac:dyDescent="0.35">
      <c r="A495" s="7" t="s">
        <v>586</v>
      </c>
      <c r="B495" t="s">
        <v>587</v>
      </c>
      <c r="C495" s="1">
        <v>45682</v>
      </c>
      <c r="D495">
        <v>41</v>
      </c>
      <c r="E495" t="str">
        <f t="shared" si="28"/>
        <v>35-44</v>
      </c>
      <c r="F495" t="s">
        <v>138</v>
      </c>
      <c r="G495" t="s">
        <v>38</v>
      </c>
      <c r="H495" t="s">
        <v>20</v>
      </c>
      <c r="I495">
        <v>1</v>
      </c>
      <c r="J495" t="s">
        <v>34</v>
      </c>
      <c r="K495">
        <v>47</v>
      </c>
      <c r="L495" t="str">
        <f t="shared" si="29"/>
        <v>2+years</v>
      </c>
      <c r="M495" t="s">
        <v>59</v>
      </c>
      <c r="N495">
        <v>24000</v>
      </c>
      <c r="O495">
        <v>2</v>
      </c>
      <c r="P495">
        <v>48000</v>
      </c>
      <c r="Q495">
        <f t="shared" si="30"/>
        <v>24000</v>
      </c>
      <c r="R495" s="13">
        <v>42.95</v>
      </c>
      <c r="S495" t="s">
        <v>36</v>
      </c>
      <c r="T495">
        <f t="shared" si="31"/>
        <v>0</v>
      </c>
      <c r="U495">
        <v>0</v>
      </c>
      <c r="V495">
        <v>0</v>
      </c>
      <c r="W495">
        <v>0</v>
      </c>
    </row>
    <row r="496" spans="1:23" x14ac:dyDescent="0.35">
      <c r="A496" s="7" t="s">
        <v>586</v>
      </c>
      <c r="B496" t="s">
        <v>587</v>
      </c>
      <c r="C496" s="1">
        <v>45682</v>
      </c>
      <c r="D496">
        <v>41</v>
      </c>
      <c r="E496" t="str">
        <f t="shared" si="28"/>
        <v>35-44</v>
      </c>
      <c r="F496" t="s">
        <v>138</v>
      </c>
      <c r="G496" t="s">
        <v>33</v>
      </c>
      <c r="H496" t="s">
        <v>20</v>
      </c>
      <c r="I496">
        <v>1</v>
      </c>
      <c r="J496" t="s">
        <v>34</v>
      </c>
      <c r="K496">
        <v>47</v>
      </c>
      <c r="L496" t="str">
        <f t="shared" si="29"/>
        <v>2+years</v>
      </c>
      <c r="M496" t="s">
        <v>59</v>
      </c>
      <c r="N496">
        <v>24000</v>
      </c>
      <c r="O496">
        <v>18</v>
      </c>
      <c r="P496">
        <v>432000</v>
      </c>
      <c r="Q496">
        <f t="shared" si="30"/>
        <v>24000</v>
      </c>
      <c r="R496" s="13">
        <v>108.92</v>
      </c>
      <c r="S496" t="s">
        <v>36</v>
      </c>
      <c r="T496">
        <f t="shared" si="31"/>
        <v>0</v>
      </c>
      <c r="U496">
        <v>0</v>
      </c>
      <c r="V496">
        <v>0</v>
      </c>
      <c r="W496">
        <v>0</v>
      </c>
    </row>
    <row r="497" spans="1:23" x14ac:dyDescent="0.35">
      <c r="A497" s="7" t="s">
        <v>586</v>
      </c>
      <c r="B497" t="s">
        <v>587</v>
      </c>
      <c r="C497" s="1">
        <v>45682</v>
      </c>
      <c r="D497">
        <v>41</v>
      </c>
      <c r="E497" t="str">
        <f t="shared" si="28"/>
        <v>35-44</v>
      </c>
      <c r="F497" t="s">
        <v>138</v>
      </c>
      <c r="G497" t="s">
        <v>19</v>
      </c>
      <c r="H497" t="s">
        <v>20</v>
      </c>
      <c r="I497">
        <v>1</v>
      </c>
      <c r="J497" t="s">
        <v>34</v>
      </c>
      <c r="K497">
        <v>47</v>
      </c>
      <c r="L497" t="str">
        <f t="shared" si="29"/>
        <v>2+years</v>
      </c>
      <c r="M497" t="s">
        <v>22</v>
      </c>
      <c r="N497">
        <v>35000</v>
      </c>
      <c r="O497">
        <v>5</v>
      </c>
      <c r="P497">
        <v>175000</v>
      </c>
      <c r="Q497">
        <f t="shared" si="30"/>
        <v>35000</v>
      </c>
      <c r="R497" s="13">
        <v>130.94999999999999</v>
      </c>
      <c r="S497" t="s">
        <v>36</v>
      </c>
      <c r="T497">
        <f t="shared" si="31"/>
        <v>0</v>
      </c>
      <c r="U497">
        <v>0</v>
      </c>
      <c r="V497">
        <v>0</v>
      </c>
      <c r="W497">
        <v>0</v>
      </c>
    </row>
    <row r="498" spans="1:23" x14ac:dyDescent="0.35">
      <c r="A498" s="7" t="s">
        <v>588</v>
      </c>
      <c r="B498" t="s">
        <v>589</v>
      </c>
      <c r="C498" s="1">
        <v>45713</v>
      </c>
      <c r="D498">
        <v>66</v>
      </c>
      <c r="E498" t="str">
        <f t="shared" si="28"/>
        <v>55+</v>
      </c>
      <c r="F498" t="s">
        <v>108</v>
      </c>
      <c r="G498" t="s">
        <v>33</v>
      </c>
      <c r="H498" t="s">
        <v>28</v>
      </c>
      <c r="I498">
        <v>5</v>
      </c>
      <c r="J498" t="s">
        <v>52</v>
      </c>
      <c r="K498">
        <v>9</v>
      </c>
      <c r="L498" t="str">
        <f t="shared" si="29"/>
        <v>6-12 months</v>
      </c>
      <c r="M498" t="s">
        <v>39</v>
      </c>
      <c r="N498">
        <v>9000</v>
      </c>
      <c r="O498">
        <v>20</v>
      </c>
      <c r="P498">
        <v>180000</v>
      </c>
      <c r="Q498">
        <f t="shared" si="30"/>
        <v>9000</v>
      </c>
      <c r="R498" s="13">
        <v>132.69999999999999</v>
      </c>
      <c r="S498" t="s">
        <v>36</v>
      </c>
      <c r="T498">
        <f t="shared" si="31"/>
        <v>0</v>
      </c>
      <c r="U498">
        <v>0</v>
      </c>
      <c r="V498">
        <v>0</v>
      </c>
      <c r="W498">
        <v>0</v>
      </c>
    </row>
    <row r="499" spans="1:23" x14ac:dyDescent="0.35">
      <c r="A499" s="7" t="s">
        <v>588</v>
      </c>
      <c r="B499" t="s">
        <v>589</v>
      </c>
      <c r="C499" s="1">
        <v>45713</v>
      </c>
      <c r="D499">
        <v>66</v>
      </c>
      <c r="E499" t="str">
        <f t="shared" si="28"/>
        <v>55+</v>
      </c>
      <c r="F499" t="s">
        <v>108</v>
      </c>
      <c r="G499" t="s">
        <v>27</v>
      </c>
      <c r="H499" t="s">
        <v>28</v>
      </c>
      <c r="I499">
        <v>5</v>
      </c>
      <c r="J499" t="s">
        <v>52</v>
      </c>
      <c r="K499">
        <v>9</v>
      </c>
      <c r="L499" t="str">
        <f t="shared" si="29"/>
        <v>6-12 months</v>
      </c>
      <c r="M499" t="s">
        <v>159</v>
      </c>
      <c r="N499">
        <v>600</v>
      </c>
      <c r="O499">
        <v>5</v>
      </c>
      <c r="P499">
        <v>3000</v>
      </c>
      <c r="Q499">
        <f t="shared" si="30"/>
        <v>600</v>
      </c>
      <c r="R499" s="13">
        <v>151.56</v>
      </c>
      <c r="S499" t="s">
        <v>36</v>
      </c>
      <c r="T499">
        <f t="shared" si="31"/>
        <v>0</v>
      </c>
      <c r="U499">
        <v>0</v>
      </c>
      <c r="V499">
        <v>0</v>
      </c>
      <c r="W499">
        <v>0</v>
      </c>
    </row>
    <row r="500" spans="1:23" x14ac:dyDescent="0.35">
      <c r="A500" s="7" t="s">
        <v>590</v>
      </c>
      <c r="B500" t="s">
        <v>591</v>
      </c>
      <c r="C500" s="1">
        <v>45713</v>
      </c>
      <c r="D500">
        <v>36</v>
      </c>
      <c r="E500" t="str">
        <f t="shared" si="28"/>
        <v>35-44</v>
      </c>
      <c r="F500" t="s">
        <v>126</v>
      </c>
      <c r="G500" t="s">
        <v>19</v>
      </c>
      <c r="H500" t="s">
        <v>20</v>
      </c>
      <c r="I500">
        <v>3</v>
      </c>
      <c r="J500" t="s">
        <v>47</v>
      </c>
      <c r="K500">
        <v>48</v>
      </c>
      <c r="L500" t="str">
        <f t="shared" si="29"/>
        <v>2+years</v>
      </c>
      <c r="M500" t="s">
        <v>48</v>
      </c>
      <c r="N500">
        <v>9000</v>
      </c>
      <c r="O500">
        <v>2</v>
      </c>
      <c r="P500">
        <v>18000</v>
      </c>
      <c r="Q500">
        <f t="shared" si="30"/>
        <v>9000</v>
      </c>
      <c r="R500" s="13">
        <v>74.2</v>
      </c>
      <c r="S500" t="s">
        <v>23</v>
      </c>
      <c r="T500">
        <f t="shared" si="31"/>
        <v>1</v>
      </c>
      <c r="U500">
        <v>0</v>
      </c>
      <c r="V500">
        <v>0</v>
      </c>
      <c r="W500">
        <v>0</v>
      </c>
    </row>
    <row r="501" spans="1:23" x14ac:dyDescent="0.35">
      <c r="A501" s="7" t="s">
        <v>590</v>
      </c>
      <c r="B501" t="s">
        <v>591</v>
      </c>
      <c r="C501" s="1">
        <v>45713</v>
      </c>
      <c r="D501">
        <v>36</v>
      </c>
      <c r="E501" t="str">
        <f t="shared" si="28"/>
        <v>35-44</v>
      </c>
      <c r="F501" t="s">
        <v>126</v>
      </c>
      <c r="G501" t="s">
        <v>38</v>
      </c>
      <c r="H501" t="s">
        <v>20</v>
      </c>
      <c r="I501">
        <v>3</v>
      </c>
      <c r="J501" t="s">
        <v>47</v>
      </c>
      <c r="K501">
        <v>48</v>
      </c>
      <c r="L501" t="str">
        <f t="shared" si="29"/>
        <v>2+years</v>
      </c>
      <c r="M501" t="s">
        <v>35</v>
      </c>
      <c r="N501">
        <v>20000</v>
      </c>
      <c r="O501">
        <v>12</v>
      </c>
      <c r="P501">
        <v>240000</v>
      </c>
      <c r="Q501">
        <f t="shared" si="30"/>
        <v>20000</v>
      </c>
      <c r="R501" s="13">
        <v>103.82</v>
      </c>
      <c r="S501" t="s">
        <v>23</v>
      </c>
      <c r="T501">
        <f t="shared" si="31"/>
        <v>1</v>
      </c>
      <c r="U501">
        <v>0</v>
      </c>
      <c r="V501">
        <v>0</v>
      </c>
      <c r="W501">
        <v>0</v>
      </c>
    </row>
    <row r="502" spans="1:23" x14ac:dyDescent="0.35">
      <c r="A502" s="7" t="s">
        <v>592</v>
      </c>
      <c r="B502" t="s">
        <v>593</v>
      </c>
      <c r="C502" s="1">
        <v>45741</v>
      </c>
      <c r="D502">
        <v>76</v>
      </c>
      <c r="E502" t="str">
        <f t="shared" si="28"/>
        <v>55+</v>
      </c>
      <c r="F502" t="s">
        <v>32</v>
      </c>
      <c r="G502" t="s">
        <v>33</v>
      </c>
      <c r="H502" t="s">
        <v>20</v>
      </c>
      <c r="I502">
        <v>1</v>
      </c>
      <c r="J502" t="s">
        <v>34</v>
      </c>
      <c r="K502">
        <v>3</v>
      </c>
      <c r="L502" t="str">
        <f t="shared" si="29"/>
        <v>0-5 months</v>
      </c>
      <c r="M502" t="s">
        <v>62</v>
      </c>
      <c r="N502">
        <v>30000</v>
      </c>
      <c r="O502">
        <v>13</v>
      </c>
      <c r="P502">
        <v>390000</v>
      </c>
      <c r="Q502">
        <f t="shared" si="30"/>
        <v>30000</v>
      </c>
      <c r="R502" s="13">
        <v>75.64</v>
      </c>
      <c r="S502" t="s">
        <v>36</v>
      </c>
      <c r="T502">
        <f t="shared" si="31"/>
        <v>0</v>
      </c>
      <c r="U502">
        <v>0</v>
      </c>
      <c r="V502">
        <v>0</v>
      </c>
      <c r="W502">
        <v>0</v>
      </c>
    </row>
    <row r="503" spans="1:23" x14ac:dyDescent="0.35">
      <c r="A503" s="7" t="s">
        <v>592</v>
      </c>
      <c r="B503" t="s">
        <v>593</v>
      </c>
      <c r="C503" s="1">
        <v>45741</v>
      </c>
      <c r="D503">
        <v>76</v>
      </c>
      <c r="E503" t="str">
        <f t="shared" si="28"/>
        <v>55+</v>
      </c>
      <c r="F503" t="s">
        <v>32</v>
      </c>
      <c r="G503" t="s">
        <v>27</v>
      </c>
      <c r="H503" t="s">
        <v>20</v>
      </c>
      <c r="I503">
        <v>1</v>
      </c>
      <c r="J503" t="s">
        <v>34</v>
      </c>
      <c r="K503">
        <v>3</v>
      </c>
      <c r="L503" t="str">
        <f t="shared" si="29"/>
        <v>0-5 months</v>
      </c>
      <c r="M503" t="s">
        <v>53</v>
      </c>
      <c r="N503">
        <v>3500</v>
      </c>
      <c r="O503">
        <v>3</v>
      </c>
      <c r="P503">
        <v>10500</v>
      </c>
      <c r="Q503">
        <f t="shared" si="30"/>
        <v>3500</v>
      </c>
      <c r="R503" s="13">
        <v>117.74</v>
      </c>
      <c r="S503" t="s">
        <v>36</v>
      </c>
      <c r="T503">
        <f t="shared" si="31"/>
        <v>0</v>
      </c>
      <c r="U503">
        <v>0</v>
      </c>
      <c r="V503">
        <v>0</v>
      </c>
      <c r="W503">
        <v>0</v>
      </c>
    </row>
    <row r="504" spans="1:23" x14ac:dyDescent="0.35">
      <c r="A504" s="7" t="s">
        <v>592</v>
      </c>
      <c r="B504" t="s">
        <v>593</v>
      </c>
      <c r="C504" s="1">
        <v>45741</v>
      </c>
      <c r="D504">
        <v>76</v>
      </c>
      <c r="E504" t="str">
        <f t="shared" si="28"/>
        <v>55+</v>
      </c>
      <c r="F504" t="s">
        <v>32</v>
      </c>
      <c r="G504" t="s">
        <v>19</v>
      </c>
      <c r="H504" t="s">
        <v>20</v>
      </c>
      <c r="I504">
        <v>1</v>
      </c>
      <c r="J504" t="s">
        <v>34</v>
      </c>
      <c r="K504">
        <v>3</v>
      </c>
      <c r="L504" t="str">
        <f t="shared" si="29"/>
        <v>0-5 months</v>
      </c>
      <c r="M504" t="s">
        <v>48</v>
      </c>
      <c r="N504">
        <v>9000</v>
      </c>
      <c r="O504">
        <v>8</v>
      </c>
      <c r="P504">
        <v>72000</v>
      </c>
      <c r="Q504">
        <f t="shared" si="30"/>
        <v>9000</v>
      </c>
      <c r="R504" s="13">
        <v>75.58</v>
      </c>
      <c r="S504" t="s">
        <v>36</v>
      </c>
      <c r="T504">
        <f t="shared" si="31"/>
        <v>0</v>
      </c>
      <c r="U504">
        <v>0</v>
      </c>
      <c r="V504">
        <v>0</v>
      </c>
      <c r="W504">
        <v>0</v>
      </c>
    </row>
    <row r="505" spans="1:23" x14ac:dyDescent="0.35">
      <c r="A505" s="7" t="s">
        <v>594</v>
      </c>
      <c r="B505" t="s">
        <v>595</v>
      </c>
      <c r="C505" s="1">
        <v>45713</v>
      </c>
      <c r="D505">
        <v>67</v>
      </c>
      <c r="E505" t="str">
        <f t="shared" si="28"/>
        <v>55+</v>
      </c>
      <c r="F505" t="s">
        <v>147</v>
      </c>
      <c r="G505" t="s">
        <v>27</v>
      </c>
      <c r="H505" t="s">
        <v>28</v>
      </c>
      <c r="I505">
        <v>5</v>
      </c>
      <c r="J505" t="s">
        <v>52</v>
      </c>
      <c r="K505">
        <v>32</v>
      </c>
      <c r="L505" t="str">
        <f t="shared" si="29"/>
        <v>2+years</v>
      </c>
      <c r="M505" t="s">
        <v>55</v>
      </c>
      <c r="N505">
        <v>16000</v>
      </c>
      <c r="O505">
        <v>9</v>
      </c>
      <c r="P505">
        <v>144000</v>
      </c>
      <c r="Q505">
        <f t="shared" si="30"/>
        <v>16000</v>
      </c>
      <c r="R505" s="13">
        <v>103.15</v>
      </c>
      <c r="S505" t="s">
        <v>23</v>
      </c>
      <c r="T505">
        <f t="shared" si="31"/>
        <v>1</v>
      </c>
      <c r="U505">
        <v>0</v>
      </c>
      <c r="V505">
        <v>0</v>
      </c>
      <c r="W505">
        <v>0</v>
      </c>
    </row>
    <row r="506" spans="1:23" x14ac:dyDescent="0.35">
      <c r="A506" s="7" t="s">
        <v>594</v>
      </c>
      <c r="B506" t="s">
        <v>595</v>
      </c>
      <c r="C506" s="1">
        <v>45713</v>
      </c>
      <c r="D506">
        <v>67</v>
      </c>
      <c r="E506" t="str">
        <f t="shared" si="28"/>
        <v>55+</v>
      </c>
      <c r="F506" t="s">
        <v>147</v>
      </c>
      <c r="G506" t="s">
        <v>38</v>
      </c>
      <c r="H506" t="s">
        <v>28</v>
      </c>
      <c r="I506">
        <v>5</v>
      </c>
      <c r="J506" t="s">
        <v>52</v>
      </c>
      <c r="K506">
        <v>32</v>
      </c>
      <c r="L506" t="str">
        <f t="shared" si="29"/>
        <v>2+years</v>
      </c>
      <c r="M506" t="s">
        <v>35</v>
      </c>
      <c r="N506">
        <v>20000</v>
      </c>
      <c r="O506">
        <v>6</v>
      </c>
      <c r="P506">
        <v>120000</v>
      </c>
      <c r="Q506">
        <f t="shared" si="30"/>
        <v>20000</v>
      </c>
      <c r="R506" s="13">
        <v>30.47</v>
      </c>
      <c r="S506" t="s">
        <v>23</v>
      </c>
      <c r="T506">
        <f t="shared" si="31"/>
        <v>1</v>
      </c>
      <c r="U506">
        <v>0</v>
      </c>
      <c r="V506">
        <v>0</v>
      </c>
      <c r="W506">
        <v>0</v>
      </c>
    </row>
    <row r="507" spans="1:23" x14ac:dyDescent="0.35">
      <c r="A507" s="7" t="s">
        <v>596</v>
      </c>
      <c r="B507" t="s">
        <v>597</v>
      </c>
      <c r="C507" s="1">
        <v>45741</v>
      </c>
      <c r="D507">
        <v>31</v>
      </c>
      <c r="E507" t="str">
        <f t="shared" si="28"/>
        <v>25-34</v>
      </c>
      <c r="F507" t="s">
        <v>108</v>
      </c>
      <c r="G507" t="s">
        <v>27</v>
      </c>
      <c r="H507" t="s">
        <v>28</v>
      </c>
      <c r="I507">
        <v>1</v>
      </c>
      <c r="J507" t="s">
        <v>34</v>
      </c>
      <c r="K507">
        <v>52</v>
      </c>
      <c r="L507" t="str">
        <f t="shared" si="29"/>
        <v>2+years</v>
      </c>
      <c r="M507" t="s">
        <v>159</v>
      </c>
      <c r="N507">
        <v>600</v>
      </c>
      <c r="O507">
        <v>14</v>
      </c>
      <c r="P507">
        <v>8400</v>
      </c>
      <c r="Q507">
        <f t="shared" si="30"/>
        <v>600</v>
      </c>
      <c r="R507" s="13">
        <v>129.63</v>
      </c>
      <c r="S507" t="s">
        <v>36</v>
      </c>
      <c r="T507">
        <f t="shared" si="31"/>
        <v>0</v>
      </c>
      <c r="U507">
        <v>0</v>
      </c>
      <c r="V507">
        <v>0</v>
      </c>
      <c r="W507">
        <v>0</v>
      </c>
    </row>
    <row r="508" spans="1:23" x14ac:dyDescent="0.35">
      <c r="A508" s="7" t="s">
        <v>596</v>
      </c>
      <c r="B508" t="s">
        <v>597</v>
      </c>
      <c r="C508" s="1">
        <v>45741</v>
      </c>
      <c r="D508">
        <v>31</v>
      </c>
      <c r="E508" t="str">
        <f t="shared" si="28"/>
        <v>25-34</v>
      </c>
      <c r="F508" t="s">
        <v>108</v>
      </c>
      <c r="G508" t="s">
        <v>38</v>
      </c>
      <c r="H508" t="s">
        <v>28</v>
      </c>
      <c r="I508">
        <v>1</v>
      </c>
      <c r="J508" t="s">
        <v>34</v>
      </c>
      <c r="K508">
        <v>52</v>
      </c>
      <c r="L508" t="str">
        <f t="shared" si="29"/>
        <v>2+years</v>
      </c>
      <c r="M508" t="s">
        <v>39</v>
      </c>
      <c r="N508">
        <v>9000</v>
      </c>
      <c r="O508">
        <v>5</v>
      </c>
      <c r="P508">
        <v>45000</v>
      </c>
      <c r="Q508">
        <f t="shared" si="30"/>
        <v>9000</v>
      </c>
      <c r="R508" s="13">
        <v>49.11</v>
      </c>
      <c r="S508" t="s">
        <v>36</v>
      </c>
      <c r="T508">
        <f t="shared" si="31"/>
        <v>0</v>
      </c>
      <c r="U508">
        <v>0</v>
      </c>
      <c r="V508">
        <v>0</v>
      </c>
      <c r="W508">
        <v>0</v>
      </c>
    </row>
    <row r="509" spans="1:23" x14ac:dyDescent="0.35">
      <c r="A509" s="7" t="s">
        <v>598</v>
      </c>
      <c r="B509" t="s">
        <v>599</v>
      </c>
      <c r="C509" s="1">
        <v>45713</v>
      </c>
      <c r="D509">
        <v>33</v>
      </c>
      <c r="E509" t="str">
        <f t="shared" si="28"/>
        <v>25-34</v>
      </c>
      <c r="F509" t="s">
        <v>183</v>
      </c>
      <c r="G509" t="s">
        <v>27</v>
      </c>
      <c r="H509" t="s">
        <v>20</v>
      </c>
      <c r="I509">
        <v>1</v>
      </c>
      <c r="J509" t="s">
        <v>34</v>
      </c>
      <c r="K509">
        <v>58</v>
      </c>
      <c r="L509" t="str">
        <f t="shared" si="29"/>
        <v>2+years</v>
      </c>
      <c r="M509" t="s">
        <v>37</v>
      </c>
      <c r="N509">
        <v>500</v>
      </c>
      <c r="O509">
        <v>7</v>
      </c>
      <c r="P509">
        <v>3500</v>
      </c>
      <c r="Q509">
        <f t="shared" si="30"/>
        <v>500</v>
      </c>
      <c r="R509" s="13">
        <v>189.48</v>
      </c>
      <c r="S509" t="s">
        <v>23</v>
      </c>
      <c r="T509">
        <f t="shared" si="31"/>
        <v>1</v>
      </c>
      <c r="U509">
        <v>0</v>
      </c>
      <c r="V509">
        <v>0</v>
      </c>
      <c r="W509">
        <v>0</v>
      </c>
    </row>
    <row r="510" spans="1:23" x14ac:dyDescent="0.35">
      <c r="A510" s="7" t="s">
        <v>598</v>
      </c>
      <c r="B510" t="s">
        <v>599</v>
      </c>
      <c r="C510" s="1">
        <v>45713</v>
      </c>
      <c r="D510">
        <v>33</v>
      </c>
      <c r="E510" t="str">
        <f t="shared" si="28"/>
        <v>25-34</v>
      </c>
      <c r="F510" t="s">
        <v>183</v>
      </c>
      <c r="G510" t="s">
        <v>33</v>
      </c>
      <c r="H510" t="s">
        <v>20</v>
      </c>
      <c r="I510">
        <v>1</v>
      </c>
      <c r="J510" t="s">
        <v>34</v>
      </c>
      <c r="K510">
        <v>58</v>
      </c>
      <c r="L510" t="str">
        <f t="shared" si="29"/>
        <v>2+years</v>
      </c>
      <c r="M510" t="s">
        <v>54</v>
      </c>
      <c r="N510">
        <v>150000</v>
      </c>
      <c r="O510">
        <v>16</v>
      </c>
      <c r="P510">
        <v>2400000</v>
      </c>
      <c r="Q510">
        <f t="shared" si="30"/>
        <v>150000</v>
      </c>
      <c r="R510" s="13">
        <v>121.5</v>
      </c>
      <c r="S510" t="s">
        <v>23</v>
      </c>
      <c r="T510">
        <f t="shared" si="31"/>
        <v>1</v>
      </c>
      <c r="U510">
        <v>0</v>
      </c>
      <c r="V510">
        <v>0</v>
      </c>
      <c r="W510">
        <v>0</v>
      </c>
    </row>
    <row r="511" spans="1:23" x14ac:dyDescent="0.35">
      <c r="A511" s="7" t="s">
        <v>598</v>
      </c>
      <c r="B511" t="s">
        <v>599</v>
      </c>
      <c r="C511" s="1">
        <v>45713</v>
      </c>
      <c r="D511">
        <v>33</v>
      </c>
      <c r="E511" t="str">
        <f t="shared" si="28"/>
        <v>25-34</v>
      </c>
      <c r="F511" t="s">
        <v>183</v>
      </c>
      <c r="G511" t="s">
        <v>38</v>
      </c>
      <c r="H511" t="s">
        <v>20</v>
      </c>
      <c r="I511">
        <v>1</v>
      </c>
      <c r="J511" t="s">
        <v>34</v>
      </c>
      <c r="K511">
        <v>58</v>
      </c>
      <c r="L511" t="str">
        <f t="shared" si="29"/>
        <v>2+years</v>
      </c>
      <c r="M511" t="s">
        <v>68</v>
      </c>
      <c r="N511">
        <v>14500</v>
      </c>
      <c r="O511">
        <v>14</v>
      </c>
      <c r="P511">
        <v>203000</v>
      </c>
      <c r="Q511">
        <f t="shared" si="30"/>
        <v>14500</v>
      </c>
      <c r="R511" s="13">
        <v>34.53</v>
      </c>
      <c r="S511" t="s">
        <v>23</v>
      </c>
      <c r="T511">
        <f t="shared" si="31"/>
        <v>1</v>
      </c>
      <c r="U511">
        <v>0</v>
      </c>
      <c r="V511">
        <v>0</v>
      </c>
      <c r="W511">
        <v>0</v>
      </c>
    </row>
    <row r="512" spans="1:23" x14ac:dyDescent="0.35">
      <c r="A512" s="7" t="s">
        <v>600</v>
      </c>
      <c r="B512" t="s">
        <v>601</v>
      </c>
      <c r="C512" s="1">
        <v>45741</v>
      </c>
      <c r="D512">
        <v>39</v>
      </c>
      <c r="E512" t="str">
        <f t="shared" si="28"/>
        <v>35-44</v>
      </c>
      <c r="F512" t="s">
        <v>183</v>
      </c>
      <c r="G512" t="s">
        <v>19</v>
      </c>
      <c r="H512" t="s">
        <v>28</v>
      </c>
      <c r="I512">
        <v>4</v>
      </c>
      <c r="J512" t="s">
        <v>109</v>
      </c>
      <c r="K512">
        <v>11</v>
      </c>
      <c r="L512" t="str">
        <f t="shared" si="29"/>
        <v>6-12 months</v>
      </c>
      <c r="M512" t="s">
        <v>22</v>
      </c>
      <c r="N512">
        <v>35000</v>
      </c>
      <c r="O512">
        <v>4</v>
      </c>
      <c r="P512">
        <v>140000</v>
      </c>
      <c r="Q512">
        <f t="shared" si="30"/>
        <v>35000</v>
      </c>
      <c r="R512" s="13">
        <v>77.400000000000006</v>
      </c>
      <c r="S512" t="s">
        <v>36</v>
      </c>
      <c r="T512">
        <f t="shared" si="31"/>
        <v>0</v>
      </c>
      <c r="U512">
        <v>0</v>
      </c>
      <c r="V512">
        <v>0</v>
      </c>
      <c r="W512">
        <v>0</v>
      </c>
    </row>
    <row r="513" spans="1:23" x14ac:dyDescent="0.35">
      <c r="A513" s="7" t="s">
        <v>602</v>
      </c>
      <c r="B513" t="s">
        <v>603</v>
      </c>
      <c r="C513" s="1">
        <v>45713</v>
      </c>
      <c r="D513">
        <v>41</v>
      </c>
      <c r="E513" t="str">
        <f t="shared" si="28"/>
        <v>35-44</v>
      </c>
      <c r="F513" t="s">
        <v>72</v>
      </c>
      <c r="G513" t="s">
        <v>38</v>
      </c>
      <c r="H513" t="s">
        <v>28</v>
      </c>
      <c r="I513">
        <v>5</v>
      </c>
      <c r="J513" t="s">
        <v>52</v>
      </c>
      <c r="K513">
        <v>53</v>
      </c>
      <c r="L513" t="str">
        <f t="shared" si="29"/>
        <v>2+years</v>
      </c>
      <c r="M513" t="s">
        <v>39</v>
      </c>
      <c r="N513">
        <v>9000</v>
      </c>
      <c r="O513">
        <v>5</v>
      </c>
      <c r="P513">
        <v>45000</v>
      </c>
      <c r="Q513">
        <f t="shared" si="30"/>
        <v>9000</v>
      </c>
      <c r="R513" s="13">
        <v>96.71</v>
      </c>
      <c r="S513" t="s">
        <v>23</v>
      </c>
      <c r="T513">
        <f t="shared" si="31"/>
        <v>1</v>
      </c>
      <c r="U513">
        <v>0</v>
      </c>
      <c r="V513">
        <v>0</v>
      </c>
      <c r="W513">
        <v>0</v>
      </c>
    </row>
    <row r="514" spans="1:23" x14ac:dyDescent="0.35">
      <c r="A514" s="7" t="s">
        <v>602</v>
      </c>
      <c r="B514" t="s">
        <v>603</v>
      </c>
      <c r="C514" s="1">
        <v>45713</v>
      </c>
      <c r="D514">
        <v>41</v>
      </c>
      <c r="E514" t="str">
        <f t="shared" si="28"/>
        <v>35-44</v>
      </c>
      <c r="F514" t="s">
        <v>72</v>
      </c>
      <c r="G514" t="s">
        <v>33</v>
      </c>
      <c r="H514" t="s">
        <v>28</v>
      </c>
      <c r="I514">
        <v>5</v>
      </c>
      <c r="J514" t="s">
        <v>52</v>
      </c>
      <c r="K514">
        <v>53</v>
      </c>
      <c r="L514" t="str">
        <f t="shared" si="29"/>
        <v>2+years</v>
      </c>
      <c r="M514" t="s">
        <v>39</v>
      </c>
      <c r="N514">
        <v>9000</v>
      </c>
      <c r="O514">
        <v>14</v>
      </c>
      <c r="P514">
        <v>126000</v>
      </c>
      <c r="Q514">
        <f t="shared" si="30"/>
        <v>9000</v>
      </c>
      <c r="R514" s="13">
        <v>179.45</v>
      </c>
      <c r="S514" t="s">
        <v>23</v>
      </c>
      <c r="T514">
        <f t="shared" si="31"/>
        <v>1</v>
      </c>
      <c r="U514">
        <v>0</v>
      </c>
      <c r="V514">
        <v>0</v>
      </c>
      <c r="W514">
        <v>0</v>
      </c>
    </row>
    <row r="515" spans="1:23" x14ac:dyDescent="0.35">
      <c r="A515" s="7" t="s">
        <v>602</v>
      </c>
      <c r="B515" t="s">
        <v>603</v>
      </c>
      <c r="C515" s="1">
        <v>45713</v>
      </c>
      <c r="D515">
        <v>41</v>
      </c>
      <c r="E515" t="str">
        <f t="shared" ref="E515:E578" si="32">IF(D515&lt;25,"Under25",IF(D515&lt;35,"25-34",IF(D515&lt;45,"35-44",IF(D515&lt;55,"45-54","55+"))) )</f>
        <v>35-44</v>
      </c>
      <c r="F515" t="s">
        <v>72</v>
      </c>
      <c r="G515" t="s">
        <v>27</v>
      </c>
      <c r="H515" t="s">
        <v>28</v>
      </c>
      <c r="I515">
        <v>5</v>
      </c>
      <c r="J515" t="s">
        <v>52</v>
      </c>
      <c r="K515">
        <v>53</v>
      </c>
      <c r="L515" t="str">
        <f t="shared" ref="L515:L578" si="33">IF(K515&lt;6,"0-5 months",IF(K515&lt;13,"6-12 months",IF(K515&lt;25,"1-2 years","2+years")))</f>
        <v>2+years</v>
      </c>
      <c r="M515" t="s">
        <v>187</v>
      </c>
      <c r="N515">
        <v>6500</v>
      </c>
      <c r="O515">
        <v>2</v>
      </c>
      <c r="P515">
        <v>13000</v>
      </c>
      <c r="Q515">
        <f t="shared" ref="Q515:Q578" si="34">P515/O515</f>
        <v>6500</v>
      </c>
      <c r="R515" s="13">
        <v>84.43</v>
      </c>
      <c r="S515" t="s">
        <v>23</v>
      </c>
      <c r="T515">
        <f t="shared" ref="T515:T578" si="35">IF(S515="yes",1,0)</f>
        <v>1</v>
      </c>
      <c r="U515">
        <v>0</v>
      </c>
      <c r="V515">
        <v>0</v>
      </c>
      <c r="W515">
        <v>0</v>
      </c>
    </row>
    <row r="516" spans="1:23" x14ac:dyDescent="0.35">
      <c r="A516" s="7" t="s">
        <v>604</v>
      </c>
      <c r="B516" t="s">
        <v>605</v>
      </c>
      <c r="C516" s="1">
        <v>45713</v>
      </c>
      <c r="D516">
        <v>70</v>
      </c>
      <c r="E516" t="str">
        <f t="shared" si="32"/>
        <v>55+</v>
      </c>
      <c r="F516" t="s">
        <v>108</v>
      </c>
      <c r="G516" t="s">
        <v>38</v>
      </c>
      <c r="H516" t="s">
        <v>28</v>
      </c>
      <c r="I516">
        <v>3</v>
      </c>
      <c r="J516" t="s">
        <v>47</v>
      </c>
      <c r="K516">
        <v>51</v>
      </c>
      <c r="L516" t="str">
        <f t="shared" si="33"/>
        <v>2+years</v>
      </c>
      <c r="M516" t="s">
        <v>62</v>
      </c>
      <c r="N516">
        <v>30000</v>
      </c>
      <c r="O516">
        <v>8</v>
      </c>
      <c r="P516">
        <v>240000</v>
      </c>
      <c r="Q516">
        <f t="shared" si="34"/>
        <v>30000</v>
      </c>
      <c r="R516" s="13">
        <v>95.69</v>
      </c>
      <c r="S516" t="s">
        <v>36</v>
      </c>
      <c r="T516">
        <f t="shared" si="35"/>
        <v>0</v>
      </c>
      <c r="U516">
        <v>0</v>
      </c>
      <c r="V516">
        <v>0</v>
      </c>
      <c r="W516">
        <v>0</v>
      </c>
    </row>
    <row r="517" spans="1:23" x14ac:dyDescent="0.35">
      <c r="A517" s="7" t="s">
        <v>604</v>
      </c>
      <c r="B517" t="s">
        <v>605</v>
      </c>
      <c r="C517" s="1">
        <v>45713</v>
      </c>
      <c r="D517">
        <v>70</v>
      </c>
      <c r="E517" t="str">
        <f t="shared" si="32"/>
        <v>55+</v>
      </c>
      <c r="F517" t="s">
        <v>108</v>
      </c>
      <c r="G517" t="s">
        <v>19</v>
      </c>
      <c r="H517" t="s">
        <v>28</v>
      </c>
      <c r="I517">
        <v>3</v>
      </c>
      <c r="J517" t="s">
        <v>47</v>
      </c>
      <c r="K517">
        <v>51</v>
      </c>
      <c r="L517" t="str">
        <f t="shared" si="33"/>
        <v>2+years</v>
      </c>
      <c r="M517" t="s">
        <v>55</v>
      </c>
      <c r="N517">
        <v>16000</v>
      </c>
      <c r="O517">
        <v>18</v>
      </c>
      <c r="P517">
        <v>288000</v>
      </c>
      <c r="Q517">
        <f t="shared" si="34"/>
        <v>16000</v>
      </c>
      <c r="R517" s="13">
        <v>57.01</v>
      </c>
      <c r="S517" t="s">
        <v>36</v>
      </c>
      <c r="T517">
        <f t="shared" si="35"/>
        <v>0</v>
      </c>
      <c r="U517">
        <v>0</v>
      </c>
      <c r="V517">
        <v>0</v>
      </c>
      <c r="W517">
        <v>0</v>
      </c>
    </row>
    <row r="518" spans="1:23" x14ac:dyDescent="0.35">
      <c r="A518" s="7" t="s">
        <v>604</v>
      </c>
      <c r="B518" t="s">
        <v>605</v>
      </c>
      <c r="C518" s="1">
        <v>45713</v>
      </c>
      <c r="D518">
        <v>70</v>
      </c>
      <c r="E518" t="str">
        <f t="shared" si="32"/>
        <v>55+</v>
      </c>
      <c r="F518" t="s">
        <v>108</v>
      </c>
      <c r="G518" t="s">
        <v>27</v>
      </c>
      <c r="H518" t="s">
        <v>28</v>
      </c>
      <c r="I518">
        <v>3</v>
      </c>
      <c r="J518" t="s">
        <v>47</v>
      </c>
      <c r="K518">
        <v>51</v>
      </c>
      <c r="L518" t="str">
        <f t="shared" si="33"/>
        <v>2+years</v>
      </c>
      <c r="M518" t="s">
        <v>83</v>
      </c>
      <c r="N518">
        <v>7500</v>
      </c>
      <c r="O518">
        <v>1</v>
      </c>
      <c r="P518">
        <v>7500</v>
      </c>
      <c r="Q518">
        <f t="shared" si="34"/>
        <v>7500</v>
      </c>
      <c r="R518" s="13">
        <v>51.93</v>
      </c>
      <c r="S518" t="s">
        <v>36</v>
      </c>
      <c r="T518">
        <f t="shared" si="35"/>
        <v>0</v>
      </c>
      <c r="U518">
        <v>0</v>
      </c>
      <c r="V518">
        <v>0</v>
      </c>
      <c r="W518">
        <v>0</v>
      </c>
    </row>
    <row r="519" spans="1:23" x14ac:dyDescent="0.35">
      <c r="A519" s="7" t="s">
        <v>606</v>
      </c>
      <c r="B519" t="s">
        <v>325</v>
      </c>
      <c r="C519" s="1">
        <v>45713</v>
      </c>
      <c r="D519">
        <v>31</v>
      </c>
      <c r="E519" t="str">
        <f t="shared" si="32"/>
        <v>25-34</v>
      </c>
      <c r="F519" t="s">
        <v>72</v>
      </c>
      <c r="G519" t="s">
        <v>27</v>
      </c>
      <c r="H519" t="s">
        <v>20</v>
      </c>
      <c r="I519">
        <v>3</v>
      </c>
      <c r="J519" t="s">
        <v>47</v>
      </c>
      <c r="K519">
        <v>25</v>
      </c>
      <c r="L519" t="str">
        <f t="shared" si="33"/>
        <v>2+years</v>
      </c>
      <c r="M519" t="s">
        <v>22</v>
      </c>
      <c r="N519">
        <v>35000</v>
      </c>
      <c r="O519">
        <v>9</v>
      </c>
      <c r="P519">
        <v>315000</v>
      </c>
      <c r="Q519">
        <f t="shared" si="34"/>
        <v>35000</v>
      </c>
      <c r="R519" s="13">
        <v>130.49</v>
      </c>
      <c r="S519" t="s">
        <v>36</v>
      </c>
      <c r="T519">
        <f t="shared" si="35"/>
        <v>0</v>
      </c>
      <c r="U519">
        <v>0</v>
      </c>
      <c r="V519">
        <v>0</v>
      </c>
      <c r="W519">
        <v>0</v>
      </c>
    </row>
    <row r="520" spans="1:23" x14ac:dyDescent="0.35">
      <c r="A520" s="7" t="s">
        <v>607</v>
      </c>
      <c r="B520" t="s">
        <v>608</v>
      </c>
      <c r="C520" s="1">
        <v>45713</v>
      </c>
      <c r="D520">
        <v>70</v>
      </c>
      <c r="E520" t="str">
        <f t="shared" si="32"/>
        <v>55+</v>
      </c>
      <c r="F520" t="s">
        <v>42</v>
      </c>
      <c r="G520" t="s">
        <v>27</v>
      </c>
      <c r="H520" t="s">
        <v>28</v>
      </c>
      <c r="I520">
        <v>2</v>
      </c>
      <c r="J520" t="s">
        <v>21</v>
      </c>
      <c r="K520">
        <v>44</v>
      </c>
      <c r="L520" t="str">
        <f t="shared" si="33"/>
        <v>2+years</v>
      </c>
      <c r="M520" t="s">
        <v>187</v>
      </c>
      <c r="N520">
        <v>6500</v>
      </c>
      <c r="O520">
        <v>9</v>
      </c>
      <c r="P520">
        <v>58500</v>
      </c>
      <c r="Q520">
        <f t="shared" si="34"/>
        <v>6500</v>
      </c>
      <c r="R520" s="13">
        <v>111.2</v>
      </c>
      <c r="S520" t="s">
        <v>36</v>
      </c>
      <c r="T520">
        <f t="shared" si="35"/>
        <v>0</v>
      </c>
      <c r="U520">
        <v>0</v>
      </c>
      <c r="V520">
        <v>0</v>
      </c>
      <c r="W520">
        <v>0</v>
      </c>
    </row>
    <row r="521" spans="1:23" x14ac:dyDescent="0.35">
      <c r="A521" s="7" t="s">
        <v>607</v>
      </c>
      <c r="B521" t="s">
        <v>608</v>
      </c>
      <c r="C521" s="1">
        <v>45713</v>
      </c>
      <c r="D521">
        <v>70</v>
      </c>
      <c r="E521" t="str">
        <f t="shared" si="32"/>
        <v>55+</v>
      </c>
      <c r="F521" t="s">
        <v>42</v>
      </c>
      <c r="G521" t="s">
        <v>38</v>
      </c>
      <c r="H521" t="s">
        <v>28</v>
      </c>
      <c r="I521">
        <v>2</v>
      </c>
      <c r="J521" t="s">
        <v>21</v>
      </c>
      <c r="K521">
        <v>44</v>
      </c>
      <c r="L521" t="str">
        <f t="shared" si="33"/>
        <v>2+years</v>
      </c>
      <c r="M521" t="s">
        <v>62</v>
      </c>
      <c r="N521">
        <v>30000</v>
      </c>
      <c r="O521">
        <v>13</v>
      </c>
      <c r="P521">
        <v>390000</v>
      </c>
      <c r="Q521">
        <f t="shared" si="34"/>
        <v>30000</v>
      </c>
      <c r="R521" s="13">
        <v>115.74</v>
      </c>
      <c r="S521" t="s">
        <v>36</v>
      </c>
      <c r="T521">
        <f t="shared" si="35"/>
        <v>0</v>
      </c>
      <c r="U521">
        <v>0</v>
      </c>
      <c r="V521">
        <v>0</v>
      </c>
      <c r="W521">
        <v>0</v>
      </c>
    </row>
    <row r="522" spans="1:23" x14ac:dyDescent="0.35">
      <c r="A522" s="7" t="s">
        <v>607</v>
      </c>
      <c r="B522" t="s">
        <v>608</v>
      </c>
      <c r="C522" s="1">
        <v>45713</v>
      </c>
      <c r="D522">
        <v>70</v>
      </c>
      <c r="E522" t="str">
        <f t="shared" si="32"/>
        <v>55+</v>
      </c>
      <c r="F522" t="s">
        <v>42</v>
      </c>
      <c r="G522" t="s">
        <v>19</v>
      </c>
      <c r="H522" t="s">
        <v>28</v>
      </c>
      <c r="I522">
        <v>2</v>
      </c>
      <c r="J522" t="s">
        <v>21</v>
      </c>
      <c r="K522">
        <v>44</v>
      </c>
      <c r="L522" t="str">
        <f t="shared" si="33"/>
        <v>2+years</v>
      </c>
      <c r="M522" t="s">
        <v>43</v>
      </c>
      <c r="N522">
        <v>4500</v>
      </c>
      <c r="O522">
        <v>4</v>
      </c>
      <c r="P522">
        <v>18000</v>
      </c>
      <c r="Q522">
        <f t="shared" si="34"/>
        <v>4500</v>
      </c>
      <c r="R522" s="13">
        <v>171.07</v>
      </c>
      <c r="S522" t="s">
        <v>36</v>
      </c>
      <c r="T522">
        <f t="shared" si="35"/>
        <v>0</v>
      </c>
      <c r="U522">
        <v>0</v>
      </c>
      <c r="V522">
        <v>0</v>
      </c>
      <c r="W522">
        <v>0</v>
      </c>
    </row>
    <row r="523" spans="1:23" x14ac:dyDescent="0.35">
      <c r="A523" s="7" t="s">
        <v>609</v>
      </c>
      <c r="B523" t="s">
        <v>610</v>
      </c>
      <c r="C523" s="1">
        <v>45713</v>
      </c>
      <c r="D523">
        <v>73</v>
      </c>
      <c r="E523" t="str">
        <f t="shared" si="32"/>
        <v>55+</v>
      </c>
      <c r="F523" t="s">
        <v>26</v>
      </c>
      <c r="G523" t="s">
        <v>38</v>
      </c>
      <c r="H523" t="s">
        <v>20</v>
      </c>
      <c r="I523">
        <v>3</v>
      </c>
      <c r="J523" t="s">
        <v>47</v>
      </c>
      <c r="K523">
        <v>14</v>
      </c>
      <c r="L523" t="str">
        <f t="shared" si="33"/>
        <v>1-2 years</v>
      </c>
      <c r="M523" t="s">
        <v>39</v>
      </c>
      <c r="N523">
        <v>9000</v>
      </c>
      <c r="O523">
        <v>5</v>
      </c>
      <c r="P523">
        <v>45000</v>
      </c>
      <c r="Q523">
        <f t="shared" si="34"/>
        <v>9000</v>
      </c>
      <c r="R523" s="13">
        <v>160.97</v>
      </c>
      <c r="S523" t="s">
        <v>36</v>
      </c>
      <c r="T523">
        <f t="shared" si="35"/>
        <v>0</v>
      </c>
      <c r="U523">
        <v>0</v>
      </c>
      <c r="V523">
        <v>0</v>
      </c>
      <c r="W523">
        <v>0</v>
      </c>
    </row>
    <row r="524" spans="1:23" x14ac:dyDescent="0.35">
      <c r="A524" s="7" t="s">
        <v>609</v>
      </c>
      <c r="B524" t="s">
        <v>610</v>
      </c>
      <c r="C524" s="1">
        <v>45713</v>
      </c>
      <c r="D524">
        <v>73</v>
      </c>
      <c r="E524" t="str">
        <f t="shared" si="32"/>
        <v>55+</v>
      </c>
      <c r="F524" t="s">
        <v>26</v>
      </c>
      <c r="G524" t="s">
        <v>27</v>
      </c>
      <c r="H524" t="s">
        <v>20</v>
      </c>
      <c r="I524">
        <v>3</v>
      </c>
      <c r="J524" t="s">
        <v>47</v>
      </c>
      <c r="K524">
        <v>14</v>
      </c>
      <c r="L524" t="str">
        <f t="shared" si="33"/>
        <v>1-2 years</v>
      </c>
      <c r="M524" t="s">
        <v>29</v>
      </c>
      <c r="N524">
        <v>5500</v>
      </c>
      <c r="O524">
        <v>14</v>
      </c>
      <c r="P524">
        <v>77000</v>
      </c>
      <c r="Q524">
        <f t="shared" si="34"/>
        <v>5500</v>
      </c>
      <c r="R524" s="13">
        <v>185.21</v>
      </c>
      <c r="S524" t="s">
        <v>36</v>
      </c>
      <c r="T524">
        <f t="shared" si="35"/>
        <v>0</v>
      </c>
      <c r="U524">
        <v>0</v>
      </c>
      <c r="V524">
        <v>0</v>
      </c>
      <c r="W524">
        <v>0</v>
      </c>
    </row>
    <row r="525" spans="1:23" x14ac:dyDescent="0.35">
      <c r="A525" s="7" t="s">
        <v>609</v>
      </c>
      <c r="B525" t="s">
        <v>610</v>
      </c>
      <c r="C525" s="1">
        <v>45713</v>
      </c>
      <c r="D525">
        <v>73</v>
      </c>
      <c r="E525" t="str">
        <f t="shared" si="32"/>
        <v>55+</v>
      </c>
      <c r="F525" t="s">
        <v>26</v>
      </c>
      <c r="G525" t="s">
        <v>19</v>
      </c>
      <c r="H525" t="s">
        <v>20</v>
      </c>
      <c r="I525">
        <v>3</v>
      </c>
      <c r="J525" t="s">
        <v>47</v>
      </c>
      <c r="K525">
        <v>14</v>
      </c>
      <c r="L525" t="str">
        <f t="shared" si="33"/>
        <v>1-2 years</v>
      </c>
      <c r="M525" t="s">
        <v>55</v>
      </c>
      <c r="N525">
        <v>16000</v>
      </c>
      <c r="O525">
        <v>8</v>
      </c>
      <c r="P525">
        <v>128000</v>
      </c>
      <c r="Q525">
        <f t="shared" si="34"/>
        <v>16000</v>
      </c>
      <c r="R525" s="13">
        <v>13.28</v>
      </c>
      <c r="S525" t="s">
        <v>36</v>
      </c>
      <c r="T525">
        <f t="shared" si="35"/>
        <v>0</v>
      </c>
      <c r="U525">
        <v>0</v>
      </c>
      <c r="V525">
        <v>0</v>
      </c>
      <c r="W525">
        <v>0</v>
      </c>
    </row>
    <row r="526" spans="1:23" x14ac:dyDescent="0.35">
      <c r="A526" s="7" t="s">
        <v>611</v>
      </c>
      <c r="B526" t="s">
        <v>612</v>
      </c>
      <c r="C526" s="1">
        <v>45713</v>
      </c>
      <c r="D526">
        <v>26</v>
      </c>
      <c r="E526" t="str">
        <f t="shared" si="32"/>
        <v>25-34</v>
      </c>
      <c r="F526" t="s">
        <v>123</v>
      </c>
      <c r="G526" t="s">
        <v>38</v>
      </c>
      <c r="H526" t="s">
        <v>28</v>
      </c>
      <c r="I526">
        <v>5</v>
      </c>
      <c r="J526" t="s">
        <v>52</v>
      </c>
      <c r="K526">
        <v>60</v>
      </c>
      <c r="L526" t="str">
        <f t="shared" si="33"/>
        <v>2+years</v>
      </c>
      <c r="M526" t="s">
        <v>68</v>
      </c>
      <c r="N526">
        <v>14500</v>
      </c>
      <c r="O526">
        <v>7</v>
      </c>
      <c r="P526">
        <v>101500</v>
      </c>
      <c r="Q526">
        <f t="shared" si="34"/>
        <v>14500</v>
      </c>
      <c r="R526" s="13">
        <v>88.07</v>
      </c>
      <c r="S526" t="s">
        <v>36</v>
      </c>
      <c r="T526">
        <f t="shared" si="35"/>
        <v>0</v>
      </c>
      <c r="U526">
        <v>0</v>
      </c>
      <c r="V526">
        <v>0</v>
      </c>
      <c r="W526">
        <v>0</v>
      </c>
    </row>
    <row r="527" spans="1:23" x14ac:dyDescent="0.35">
      <c r="A527" s="7" t="s">
        <v>611</v>
      </c>
      <c r="B527" t="s">
        <v>612</v>
      </c>
      <c r="C527" s="1">
        <v>45713</v>
      </c>
      <c r="D527">
        <v>26</v>
      </c>
      <c r="E527" t="str">
        <f t="shared" si="32"/>
        <v>25-34</v>
      </c>
      <c r="F527" t="s">
        <v>123</v>
      </c>
      <c r="G527" t="s">
        <v>27</v>
      </c>
      <c r="H527" t="s">
        <v>28</v>
      </c>
      <c r="I527">
        <v>5</v>
      </c>
      <c r="J527" t="s">
        <v>52</v>
      </c>
      <c r="K527">
        <v>60</v>
      </c>
      <c r="L527" t="str">
        <f t="shared" si="33"/>
        <v>2+years</v>
      </c>
      <c r="M527" t="s">
        <v>187</v>
      </c>
      <c r="N527">
        <v>6500</v>
      </c>
      <c r="O527">
        <v>2</v>
      </c>
      <c r="P527">
        <v>13000</v>
      </c>
      <c r="Q527">
        <f t="shared" si="34"/>
        <v>6500</v>
      </c>
      <c r="R527" s="13">
        <v>57.56</v>
      </c>
      <c r="S527" t="s">
        <v>36</v>
      </c>
      <c r="T527">
        <f t="shared" si="35"/>
        <v>0</v>
      </c>
      <c r="U527">
        <v>0</v>
      </c>
      <c r="V527">
        <v>0</v>
      </c>
      <c r="W527">
        <v>0</v>
      </c>
    </row>
    <row r="528" spans="1:23" x14ac:dyDescent="0.35">
      <c r="A528" s="7" t="s">
        <v>613</v>
      </c>
      <c r="B528" t="s">
        <v>614</v>
      </c>
      <c r="C528" s="1">
        <v>45713</v>
      </c>
      <c r="D528">
        <v>45</v>
      </c>
      <c r="E528" t="str">
        <f t="shared" si="32"/>
        <v>45-54</v>
      </c>
      <c r="F528" t="s">
        <v>26</v>
      </c>
      <c r="G528" t="s">
        <v>33</v>
      </c>
      <c r="H528" t="s">
        <v>20</v>
      </c>
      <c r="I528">
        <v>1</v>
      </c>
      <c r="J528" t="s">
        <v>34</v>
      </c>
      <c r="K528">
        <v>24</v>
      </c>
      <c r="L528" t="str">
        <f t="shared" si="33"/>
        <v>1-2 years</v>
      </c>
      <c r="M528" t="s">
        <v>100</v>
      </c>
      <c r="N528">
        <v>75000</v>
      </c>
      <c r="O528">
        <v>13</v>
      </c>
      <c r="P528">
        <v>975000</v>
      </c>
      <c r="Q528">
        <f t="shared" si="34"/>
        <v>75000</v>
      </c>
      <c r="R528" s="13">
        <v>70.95</v>
      </c>
      <c r="S528" t="s">
        <v>36</v>
      </c>
      <c r="T528">
        <f t="shared" si="35"/>
        <v>0</v>
      </c>
      <c r="U528">
        <v>0</v>
      </c>
      <c r="V528">
        <v>0</v>
      </c>
      <c r="W528">
        <v>0</v>
      </c>
    </row>
    <row r="529" spans="1:23" x14ac:dyDescent="0.35">
      <c r="A529" s="7" t="s">
        <v>615</v>
      </c>
      <c r="B529" t="s">
        <v>616</v>
      </c>
      <c r="C529" s="1">
        <v>45682</v>
      </c>
      <c r="D529">
        <v>41</v>
      </c>
      <c r="E529" t="str">
        <f t="shared" si="32"/>
        <v>35-44</v>
      </c>
      <c r="F529" t="s">
        <v>72</v>
      </c>
      <c r="G529" t="s">
        <v>33</v>
      </c>
      <c r="H529" t="s">
        <v>20</v>
      </c>
      <c r="I529">
        <v>1</v>
      </c>
      <c r="J529" t="s">
        <v>34</v>
      </c>
      <c r="K529">
        <v>48</v>
      </c>
      <c r="L529" t="str">
        <f t="shared" si="33"/>
        <v>2+years</v>
      </c>
      <c r="M529" t="s">
        <v>68</v>
      </c>
      <c r="N529">
        <v>14500</v>
      </c>
      <c r="O529">
        <v>7</v>
      </c>
      <c r="P529">
        <v>101500</v>
      </c>
      <c r="Q529">
        <f t="shared" si="34"/>
        <v>14500</v>
      </c>
      <c r="R529" s="13">
        <v>121.47</v>
      </c>
      <c r="S529" t="s">
        <v>36</v>
      </c>
      <c r="T529">
        <f t="shared" si="35"/>
        <v>0</v>
      </c>
      <c r="U529">
        <v>0</v>
      </c>
      <c r="V529">
        <v>0</v>
      </c>
      <c r="W529">
        <v>0</v>
      </c>
    </row>
    <row r="530" spans="1:23" x14ac:dyDescent="0.35">
      <c r="A530" s="7" t="s">
        <v>615</v>
      </c>
      <c r="B530" t="s">
        <v>616</v>
      </c>
      <c r="C530" s="1">
        <v>45682</v>
      </c>
      <c r="D530">
        <v>41</v>
      </c>
      <c r="E530" t="str">
        <f t="shared" si="32"/>
        <v>35-44</v>
      </c>
      <c r="F530" t="s">
        <v>72</v>
      </c>
      <c r="G530" t="s">
        <v>19</v>
      </c>
      <c r="H530" t="s">
        <v>20</v>
      </c>
      <c r="I530">
        <v>1</v>
      </c>
      <c r="J530" t="s">
        <v>34</v>
      </c>
      <c r="K530">
        <v>48</v>
      </c>
      <c r="L530" t="str">
        <f t="shared" si="33"/>
        <v>2+years</v>
      </c>
      <c r="M530" t="s">
        <v>22</v>
      </c>
      <c r="N530">
        <v>35000</v>
      </c>
      <c r="O530">
        <v>19</v>
      </c>
      <c r="P530">
        <v>665000</v>
      </c>
      <c r="Q530">
        <f t="shared" si="34"/>
        <v>35000</v>
      </c>
      <c r="R530" s="13">
        <v>185.98</v>
      </c>
      <c r="S530" t="s">
        <v>36</v>
      </c>
      <c r="T530">
        <f t="shared" si="35"/>
        <v>0</v>
      </c>
      <c r="U530">
        <v>0</v>
      </c>
      <c r="V530">
        <v>0</v>
      </c>
      <c r="W530">
        <v>0</v>
      </c>
    </row>
    <row r="531" spans="1:23" x14ac:dyDescent="0.35">
      <c r="A531" s="7" t="s">
        <v>615</v>
      </c>
      <c r="B531" t="s">
        <v>616</v>
      </c>
      <c r="C531" s="1">
        <v>45682</v>
      </c>
      <c r="D531">
        <v>41</v>
      </c>
      <c r="E531" t="str">
        <f t="shared" si="32"/>
        <v>35-44</v>
      </c>
      <c r="F531" t="s">
        <v>72</v>
      </c>
      <c r="G531" t="s">
        <v>27</v>
      </c>
      <c r="H531" t="s">
        <v>20</v>
      </c>
      <c r="I531">
        <v>1</v>
      </c>
      <c r="J531" t="s">
        <v>34</v>
      </c>
      <c r="K531">
        <v>48</v>
      </c>
      <c r="L531" t="str">
        <f t="shared" si="33"/>
        <v>2+years</v>
      </c>
      <c r="M531" t="s">
        <v>97</v>
      </c>
      <c r="N531">
        <v>900</v>
      </c>
      <c r="O531">
        <v>14</v>
      </c>
      <c r="P531">
        <v>12600</v>
      </c>
      <c r="Q531">
        <f t="shared" si="34"/>
        <v>900</v>
      </c>
      <c r="R531" s="13">
        <v>52.59</v>
      </c>
      <c r="S531" t="s">
        <v>36</v>
      </c>
      <c r="T531">
        <f t="shared" si="35"/>
        <v>0</v>
      </c>
      <c r="U531">
        <v>0</v>
      </c>
      <c r="V531">
        <v>0</v>
      </c>
      <c r="W531">
        <v>0</v>
      </c>
    </row>
    <row r="532" spans="1:23" x14ac:dyDescent="0.35">
      <c r="A532" s="7" t="s">
        <v>617</v>
      </c>
      <c r="B532" t="s">
        <v>618</v>
      </c>
      <c r="C532" s="1">
        <v>45682</v>
      </c>
      <c r="D532">
        <v>29</v>
      </c>
      <c r="E532" t="str">
        <f t="shared" si="32"/>
        <v>25-34</v>
      </c>
      <c r="F532" t="s">
        <v>141</v>
      </c>
      <c r="G532" t="s">
        <v>33</v>
      </c>
      <c r="H532" t="s">
        <v>28</v>
      </c>
      <c r="I532">
        <v>5</v>
      </c>
      <c r="J532" t="s">
        <v>52</v>
      </c>
      <c r="K532">
        <v>22</v>
      </c>
      <c r="L532" t="str">
        <f t="shared" si="33"/>
        <v>1-2 years</v>
      </c>
      <c r="M532" t="s">
        <v>100</v>
      </c>
      <c r="N532">
        <v>75000</v>
      </c>
      <c r="O532">
        <v>8</v>
      </c>
      <c r="P532">
        <v>600000</v>
      </c>
      <c r="Q532">
        <f t="shared" si="34"/>
        <v>75000</v>
      </c>
      <c r="R532" s="13">
        <v>112.85</v>
      </c>
      <c r="S532" t="s">
        <v>36</v>
      </c>
      <c r="T532">
        <f t="shared" si="35"/>
        <v>0</v>
      </c>
      <c r="U532">
        <v>0</v>
      </c>
      <c r="V532">
        <v>0</v>
      </c>
      <c r="W532">
        <v>0</v>
      </c>
    </row>
    <row r="533" spans="1:23" x14ac:dyDescent="0.35">
      <c r="A533" s="7" t="s">
        <v>617</v>
      </c>
      <c r="B533" t="s">
        <v>618</v>
      </c>
      <c r="C533" s="1">
        <v>45682</v>
      </c>
      <c r="D533">
        <v>29</v>
      </c>
      <c r="E533" t="str">
        <f t="shared" si="32"/>
        <v>25-34</v>
      </c>
      <c r="F533" t="s">
        <v>141</v>
      </c>
      <c r="G533" t="s">
        <v>27</v>
      </c>
      <c r="H533" t="s">
        <v>28</v>
      </c>
      <c r="I533">
        <v>5</v>
      </c>
      <c r="J533" t="s">
        <v>52</v>
      </c>
      <c r="K533">
        <v>22</v>
      </c>
      <c r="L533" t="str">
        <f t="shared" si="33"/>
        <v>1-2 years</v>
      </c>
      <c r="M533" t="s">
        <v>53</v>
      </c>
      <c r="N533">
        <v>3500</v>
      </c>
      <c r="O533">
        <v>15</v>
      </c>
      <c r="P533">
        <v>52500</v>
      </c>
      <c r="Q533">
        <f t="shared" si="34"/>
        <v>3500</v>
      </c>
      <c r="R533" s="13">
        <v>192.27</v>
      </c>
      <c r="S533" t="s">
        <v>36</v>
      </c>
      <c r="T533">
        <f t="shared" si="35"/>
        <v>0</v>
      </c>
      <c r="U533">
        <v>0</v>
      </c>
      <c r="V533">
        <v>0</v>
      </c>
      <c r="W533">
        <v>0</v>
      </c>
    </row>
    <row r="534" spans="1:23" x14ac:dyDescent="0.35">
      <c r="A534" s="7" t="s">
        <v>617</v>
      </c>
      <c r="B534" t="s">
        <v>618</v>
      </c>
      <c r="C534" s="1">
        <v>45682</v>
      </c>
      <c r="D534">
        <v>29</v>
      </c>
      <c r="E534" t="str">
        <f t="shared" si="32"/>
        <v>25-34</v>
      </c>
      <c r="F534" t="s">
        <v>141</v>
      </c>
      <c r="G534" t="s">
        <v>27</v>
      </c>
      <c r="H534" t="s">
        <v>28</v>
      </c>
      <c r="I534">
        <v>5</v>
      </c>
      <c r="J534" t="s">
        <v>52</v>
      </c>
      <c r="K534">
        <v>22</v>
      </c>
      <c r="L534" t="str">
        <f t="shared" si="33"/>
        <v>1-2 years</v>
      </c>
      <c r="M534" t="s">
        <v>22</v>
      </c>
      <c r="N534">
        <v>35000</v>
      </c>
      <c r="O534">
        <v>1</v>
      </c>
      <c r="P534">
        <v>35000</v>
      </c>
      <c r="Q534">
        <f t="shared" si="34"/>
        <v>35000</v>
      </c>
      <c r="R534" s="13">
        <v>179.36</v>
      </c>
      <c r="S534" t="s">
        <v>36</v>
      </c>
      <c r="T534">
        <f t="shared" si="35"/>
        <v>0</v>
      </c>
      <c r="U534">
        <v>0</v>
      </c>
      <c r="V534">
        <v>0</v>
      </c>
      <c r="W534">
        <v>0</v>
      </c>
    </row>
    <row r="535" spans="1:23" x14ac:dyDescent="0.35">
      <c r="A535" s="7" t="s">
        <v>619</v>
      </c>
      <c r="B535" t="s">
        <v>620</v>
      </c>
      <c r="C535" s="1">
        <v>45713</v>
      </c>
      <c r="D535">
        <v>30</v>
      </c>
      <c r="E535" t="str">
        <f t="shared" si="32"/>
        <v>25-34</v>
      </c>
      <c r="F535" t="s">
        <v>138</v>
      </c>
      <c r="G535" t="s">
        <v>33</v>
      </c>
      <c r="H535" t="s">
        <v>20</v>
      </c>
      <c r="I535">
        <v>2</v>
      </c>
      <c r="J535" t="s">
        <v>21</v>
      </c>
      <c r="K535">
        <v>25</v>
      </c>
      <c r="L535" t="str">
        <f t="shared" si="33"/>
        <v>2+years</v>
      </c>
      <c r="M535" t="s">
        <v>39</v>
      </c>
      <c r="N535">
        <v>9000</v>
      </c>
      <c r="O535">
        <v>9</v>
      </c>
      <c r="P535">
        <v>81000</v>
      </c>
      <c r="Q535">
        <f t="shared" si="34"/>
        <v>9000</v>
      </c>
      <c r="R535" s="13">
        <v>140.31</v>
      </c>
      <c r="S535" t="s">
        <v>36</v>
      </c>
      <c r="T535">
        <f t="shared" si="35"/>
        <v>0</v>
      </c>
      <c r="U535">
        <v>0</v>
      </c>
      <c r="V535">
        <v>0</v>
      </c>
      <c r="W535">
        <v>0</v>
      </c>
    </row>
    <row r="536" spans="1:23" x14ac:dyDescent="0.35">
      <c r="A536" s="7" t="s">
        <v>619</v>
      </c>
      <c r="B536" t="s">
        <v>620</v>
      </c>
      <c r="C536" s="1">
        <v>45713</v>
      </c>
      <c r="D536">
        <v>30</v>
      </c>
      <c r="E536" t="str">
        <f t="shared" si="32"/>
        <v>25-34</v>
      </c>
      <c r="F536" t="s">
        <v>138</v>
      </c>
      <c r="G536" t="s">
        <v>27</v>
      </c>
      <c r="H536" t="s">
        <v>20</v>
      </c>
      <c r="I536">
        <v>2</v>
      </c>
      <c r="J536" t="s">
        <v>21</v>
      </c>
      <c r="K536">
        <v>25</v>
      </c>
      <c r="L536" t="str">
        <f t="shared" si="33"/>
        <v>2+years</v>
      </c>
      <c r="M536" t="s">
        <v>69</v>
      </c>
      <c r="N536">
        <v>350</v>
      </c>
      <c r="O536">
        <v>13</v>
      </c>
      <c r="P536">
        <v>4550</v>
      </c>
      <c r="Q536">
        <f t="shared" si="34"/>
        <v>350</v>
      </c>
      <c r="R536" s="13">
        <v>57.81</v>
      </c>
      <c r="S536" t="s">
        <v>36</v>
      </c>
      <c r="T536">
        <f t="shared" si="35"/>
        <v>0</v>
      </c>
      <c r="U536">
        <v>0</v>
      </c>
      <c r="V536">
        <v>0</v>
      </c>
      <c r="W536">
        <v>0</v>
      </c>
    </row>
    <row r="537" spans="1:23" x14ac:dyDescent="0.35">
      <c r="A537" s="7" t="s">
        <v>621</v>
      </c>
      <c r="B537" t="s">
        <v>622</v>
      </c>
      <c r="C537" s="1">
        <v>45741</v>
      </c>
      <c r="D537">
        <v>25</v>
      </c>
      <c r="E537" t="str">
        <f t="shared" si="32"/>
        <v>25-34</v>
      </c>
      <c r="F537" t="s">
        <v>126</v>
      </c>
      <c r="G537" t="s">
        <v>27</v>
      </c>
      <c r="H537" t="s">
        <v>28</v>
      </c>
      <c r="I537">
        <v>2</v>
      </c>
      <c r="J537" t="s">
        <v>21</v>
      </c>
      <c r="K537">
        <v>21</v>
      </c>
      <c r="L537" t="str">
        <f t="shared" si="33"/>
        <v>1-2 years</v>
      </c>
      <c r="M537" t="s">
        <v>43</v>
      </c>
      <c r="N537">
        <v>4500</v>
      </c>
      <c r="O537">
        <v>7</v>
      </c>
      <c r="P537">
        <v>31500</v>
      </c>
      <c r="Q537">
        <f t="shared" si="34"/>
        <v>4500</v>
      </c>
      <c r="R537" s="13">
        <v>100.05</v>
      </c>
      <c r="S537" t="s">
        <v>36</v>
      </c>
      <c r="T537">
        <f t="shared" si="35"/>
        <v>0</v>
      </c>
      <c r="U537">
        <v>0</v>
      </c>
      <c r="V537">
        <v>0</v>
      </c>
      <c r="W537">
        <v>0</v>
      </c>
    </row>
    <row r="538" spans="1:23" x14ac:dyDescent="0.35">
      <c r="A538" s="7" t="s">
        <v>621</v>
      </c>
      <c r="B538" t="s">
        <v>622</v>
      </c>
      <c r="C538" s="1">
        <v>45741</v>
      </c>
      <c r="D538">
        <v>25</v>
      </c>
      <c r="E538" t="str">
        <f t="shared" si="32"/>
        <v>25-34</v>
      </c>
      <c r="F538" t="s">
        <v>126</v>
      </c>
      <c r="G538" t="s">
        <v>33</v>
      </c>
      <c r="H538" t="s">
        <v>28</v>
      </c>
      <c r="I538">
        <v>2</v>
      </c>
      <c r="J538" t="s">
        <v>21</v>
      </c>
      <c r="K538">
        <v>21</v>
      </c>
      <c r="L538" t="str">
        <f t="shared" si="33"/>
        <v>1-2 years</v>
      </c>
      <c r="M538" t="s">
        <v>68</v>
      </c>
      <c r="N538">
        <v>14500</v>
      </c>
      <c r="O538">
        <v>9</v>
      </c>
      <c r="P538">
        <v>130500</v>
      </c>
      <c r="Q538">
        <f t="shared" si="34"/>
        <v>14500</v>
      </c>
      <c r="R538" s="13">
        <v>147.22</v>
      </c>
      <c r="S538" t="s">
        <v>36</v>
      </c>
      <c r="T538">
        <f t="shared" si="35"/>
        <v>0</v>
      </c>
      <c r="U538">
        <v>0</v>
      </c>
      <c r="V538">
        <v>0</v>
      </c>
      <c r="W538">
        <v>0</v>
      </c>
    </row>
    <row r="539" spans="1:23" x14ac:dyDescent="0.35">
      <c r="A539" s="7" t="s">
        <v>623</v>
      </c>
      <c r="B539" t="s">
        <v>624</v>
      </c>
      <c r="C539" s="1">
        <v>45741</v>
      </c>
      <c r="D539">
        <v>45</v>
      </c>
      <c r="E539" t="str">
        <f t="shared" si="32"/>
        <v>45-54</v>
      </c>
      <c r="F539" t="s">
        <v>116</v>
      </c>
      <c r="G539" t="s">
        <v>38</v>
      </c>
      <c r="H539" t="s">
        <v>20</v>
      </c>
      <c r="I539">
        <v>2</v>
      </c>
      <c r="J539" t="s">
        <v>21</v>
      </c>
      <c r="K539">
        <v>54</v>
      </c>
      <c r="L539" t="str">
        <f t="shared" si="33"/>
        <v>2+years</v>
      </c>
      <c r="M539" t="s">
        <v>68</v>
      </c>
      <c r="N539">
        <v>14500</v>
      </c>
      <c r="O539">
        <v>18</v>
      </c>
      <c r="P539">
        <v>261000</v>
      </c>
      <c r="Q539">
        <f t="shared" si="34"/>
        <v>14500</v>
      </c>
      <c r="R539" s="13">
        <v>122.96</v>
      </c>
      <c r="S539" t="s">
        <v>36</v>
      </c>
      <c r="T539">
        <f t="shared" si="35"/>
        <v>0</v>
      </c>
      <c r="U539">
        <v>0</v>
      </c>
      <c r="V539">
        <v>0</v>
      </c>
      <c r="W539">
        <v>0</v>
      </c>
    </row>
    <row r="540" spans="1:23" x14ac:dyDescent="0.35">
      <c r="A540" s="7" t="s">
        <v>625</v>
      </c>
      <c r="B540" t="s">
        <v>626</v>
      </c>
      <c r="C540" s="1">
        <v>45741</v>
      </c>
      <c r="D540">
        <v>77</v>
      </c>
      <c r="E540" t="str">
        <f t="shared" si="32"/>
        <v>55+</v>
      </c>
      <c r="F540" t="s">
        <v>42</v>
      </c>
      <c r="G540" t="s">
        <v>33</v>
      </c>
      <c r="H540" t="s">
        <v>28</v>
      </c>
      <c r="I540">
        <v>4</v>
      </c>
      <c r="J540" t="s">
        <v>109</v>
      </c>
      <c r="K540">
        <v>32</v>
      </c>
      <c r="L540" t="str">
        <f t="shared" si="33"/>
        <v>2+years</v>
      </c>
      <c r="M540" t="s">
        <v>62</v>
      </c>
      <c r="N540">
        <v>30000</v>
      </c>
      <c r="O540">
        <v>14</v>
      </c>
      <c r="P540">
        <v>420000</v>
      </c>
      <c r="Q540">
        <f t="shared" si="34"/>
        <v>30000</v>
      </c>
      <c r="R540" s="13">
        <v>11.3</v>
      </c>
      <c r="S540" t="s">
        <v>23</v>
      </c>
      <c r="T540">
        <f t="shared" si="35"/>
        <v>1</v>
      </c>
      <c r="U540">
        <v>0</v>
      </c>
      <c r="V540">
        <v>0</v>
      </c>
      <c r="W540">
        <v>0</v>
      </c>
    </row>
    <row r="541" spans="1:23" x14ac:dyDescent="0.35">
      <c r="A541" s="7" t="s">
        <v>625</v>
      </c>
      <c r="B541" t="s">
        <v>626</v>
      </c>
      <c r="C541" s="1">
        <v>45741</v>
      </c>
      <c r="D541">
        <v>77</v>
      </c>
      <c r="E541" t="str">
        <f t="shared" si="32"/>
        <v>55+</v>
      </c>
      <c r="F541" t="s">
        <v>42</v>
      </c>
      <c r="G541" t="s">
        <v>27</v>
      </c>
      <c r="H541" t="s">
        <v>28</v>
      </c>
      <c r="I541">
        <v>4</v>
      </c>
      <c r="J541" t="s">
        <v>109</v>
      </c>
      <c r="K541">
        <v>32</v>
      </c>
      <c r="L541" t="str">
        <f t="shared" si="33"/>
        <v>2+years</v>
      </c>
      <c r="M541" t="s">
        <v>22</v>
      </c>
      <c r="N541">
        <v>35000</v>
      </c>
      <c r="O541">
        <v>2</v>
      </c>
      <c r="P541">
        <v>70000</v>
      </c>
      <c r="Q541">
        <f t="shared" si="34"/>
        <v>35000</v>
      </c>
      <c r="R541" s="13">
        <v>187.96</v>
      </c>
      <c r="S541" t="s">
        <v>23</v>
      </c>
      <c r="T541">
        <f t="shared" si="35"/>
        <v>1</v>
      </c>
      <c r="U541">
        <v>0</v>
      </c>
      <c r="V541">
        <v>0</v>
      </c>
      <c r="W541">
        <v>0</v>
      </c>
    </row>
    <row r="542" spans="1:23" x14ac:dyDescent="0.35">
      <c r="A542" s="7" t="s">
        <v>625</v>
      </c>
      <c r="B542" t="s">
        <v>626</v>
      </c>
      <c r="C542" s="1">
        <v>45741</v>
      </c>
      <c r="D542">
        <v>77</v>
      </c>
      <c r="E542" t="str">
        <f t="shared" si="32"/>
        <v>55+</v>
      </c>
      <c r="F542" t="s">
        <v>42</v>
      </c>
      <c r="G542" t="s">
        <v>38</v>
      </c>
      <c r="H542" t="s">
        <v>28</v>
      </c>
      <c r="I542">
        <v>4</v>
      </c>
      <c r="J542" t="s">
        <v>109</v>
      </c>
      <c r="K542">
        <v>32</v>
      </c>
      <c r="L542" t="str">
        <f t="shared" si="33"/>
        <v>2+years</v>
      </c>
      <c r="M542" t="s">
        <v>59</v>
      </c>
      <c r="N542">
        <v>24000</v>
      </c>
      <c r="O542">
        <v>6</v>
      </c>
      <c r="P542">
        <v>144000</v>
      </c>
      <c r="Q542">
        <f t="shared" si="34"/>
        <v>24000</v>
      </c>
      <c r="R542" s="13">
        <v>69.78</v>
      </c>
      <c r="S542" t="s">
        <v>23</v>
      </c>
      <c r="T542">
        <f t="shared" si="35"/>
        <v>1</v>
      </c>
      <c r="U542">
        <v>0</v>
      </c>
      <c r="V542">
        <v>0</v>
      </c>
      <c r="W542">
        <v>0</v>
      </c>
    </row>
    <row r="543" spans="1:23" x14ac:dyDescent="0.35">
      <c r="A543" s="7" t="s">
        <v>627</v>
      </c>
      <c r="B543" t="s">
        <v>628</v>
      </c>
      <c r="C543" s="1">
        <v>45682</v>
      </c>
      <c r="D543">
        <v>31</v>
      </c>
      <c r="E543" t="str">
        <f t="shared" si="32"/>
        <v>25-34</v>
      </c>
      <c r="F543" t="s">
        <v>72</v>
      </c>
      <c r="G543" t="s">
        <v>38</v>
      </c>
      <c r="H543" t="s">
        <v>28</v>
      </c>
      <c r="I543">
        <v>1</v>
      </c>
      <c r="J543" t="s">
        <v>34</v>
      </c>
      <c r="K543">
        <v>21</v>
      </c>
      <c r="L543" t="str">
        <f t="shared" si="33"/>
        <v>1-2 years</v>
      </c>
      <c r="M543" t="s">
        <v>62</v>
      </c>
      <c r="N543">
        <v>30000</v>
      </c>
      <c r="O543">
        <v>9</v>
      </c>
      <c r="P543">
        <v>270000</v>
      </c>
      <c r="Q543">
        <f t="shared" si="34"/>
        <v>30000</v>
      </c>
      <c r="R543" s="13">
        <v>122.75</v>
      </c>
      <c r="S543" t="s">
        <v>36</v>
      </c>
      <c r="T543">
        <f t="shared" si="35"/>
        <v>0</v>
      </c>
      <c r="U543">
        <v>0</v>
      </c>
      <c r="V543">
        <v>0</v>
      </c>
      <c r="W543">
        <v>0</v>
      </c>
    </row>
    <row r="544" spans="1:23" x14ac:dyDescent="0.35">
      <c r="A544" s="7" t="s">
        <v>627</v>
      </c>
      <c r="B544" t="s">
        <v>628</v>
      </c>
      <c r="C544" s="1">
        <v>45682</v>
      </c>
      <c r="D544">
        <v>31</v>
      </c>
      <c r="E544" t="str">
        <f t="shared" si="32"/>
        <v>25-34</v>
      </c>
      <c r="F544" t="s">
        <v>72</v>
      </c>
      <c r="G544" t="s">
        <v>27</v>
      </c>
      <c r="H544" t="s">
        <v>28</v>
      </c>
      <c r="I544">
        <v>1</v>
      </c>
      <c r="J544" t="s">
        <v>34</v>
      </c>
      <c r="K544">
        <v>21</v>
      </c>
      <c r="L544" t="str">
        <f t="shared" si="33"/>
        <v>1-2 years</v>
      </c>
      <c r="M544" t="s">
        <v>43</v>
      </c>
      <c r="N544">
        <v>4500</v>
      </c>
      <c r="O544">
        <v>8</v>
      </c>
      <c r="P544">
        <v>36000</v>
      </c>
      <c r="Q544">
        <f t="shared" si="34"/>
        <v>4500</v>
      </c>
      <c r="R544" s="13">
        <v>109.94</v>
      </c>
      <c r="S544" t="s">
        <v>36</v>
      </c>
      <c r="T544">
        <f t="shared" si="35"/>
        <v>0</v>
      </c>
      <c r="U544">
        <v>0</v>
      </c>
      <c r="V544">
        <v>0</v>
      </c>
      <c r="W544">
        <v>0</v>
      </c>
    </row>
    <row r="545" spans="1:23" x14ac:dyDescent="0.35">
      <c r="A545" s="7" t="s">
        <v>629</v>
      </c>
      <c r="B545" t="s">
        <v>630</v>
      </c>
      <c r="C545" s="1">
        <v>45713</v>
      </c>
      <c r="D545">
        <v>76</v>
      </c>
      <c r="E545" t="str">
        <f t="shared" si="32"/>
        <v>55+</v>
      </c>
      <c r="F545" t="s">
        <v>152</v>
      </c>
      <c r="G545" t="s">
        <v>33</v>
      </c>
      <c r="H545" t="s">
        <v>28</v>
      </c>
      <c r="I545">
        <v>4</v>
      </c>
      <c r="J545" t="s">
        <v>109</v>
      </c>
      <c r="K545">
        <v>12</v>
      </c>
      <c r="L545" t="str">
        <f t="shared" si="33"/>
        <v>6-12 months</v>
      </c>
      <c r="M545" t="s">
        <v>59</v>
      </c>
      <c r="N545">
        <v>24000</v>
      </c>
      <c r="O545">
        <v>19</v>
      </c>
      <c r="P545">
        <v>456000</v>
      </c>
      <c r="Q545">
        <f t="shared" si="34"/>
        <v>24000</v>
      </c>
      <c r="R545" s="13">
        <v>90.42</v>
      </c>
      <c r="S545" t="s">
        <v>23</v>
      </c>
      <c r="T545">
        <f t="shared" si="35"/>
        <v>1</v>
      </c>
      <c r="U545">
        <v>0</v>
      </c>
      <c r="V545">
        <v>0</v>
      </c>
      <c r="W545">
        <v>0</v>
      </c>
    </row>
    <row r="546" spans="1:23" x14ac:dyDescent="0.35">
      <c r="A546" s="7" t="s">
        <v>629</v>
      </c>
      <c r="B546" t="s">
        <v>630</v>
      </c>
      <c r="C546" s="1">
        <v>45713</v>
      </c>
      <c r="D546">
        <v>76</v>
      </c>
      <c r="E546" t="str">
        <f t="shared" si="32"/>
        <v>55+</v>
      </c>
      <c r="F546" t="s">
        <v>152</v>
      </c>
      <c r="G546" t="s">
        <v>19</v>
      </c>
      <c r="H546" t="s">
        <v>28</v>
      </c>
      <c r="I546">
        <v>4</v>
      </c>
      <c r="J546" t="s">
        <v>109</v>
      </c>
      <c r="K546">
        <v>12</v>
      </c>
      <c r="L546" t="str">
        <f t="shared" si="33"/>
        <v>6-12 months</v>
      </c>
      <c r="M546" t="s">
        <v>43</v>
      </c>
      <c r="N546">
        <v>4500</v>
      </c>
      <c r="O546">
        <v>8</v>
      </c>
      <c r="P546">
        <v>36000</v>
      </c>
      <c r="Q546">
        <f t="shared" si="34"/>
        <v>4500</v>
      </c>
      <c r="R546" s="13">
        <v>195.86</v>
      </c>
      <c r="S546" t="s">
        <v>23</v>
      </c>
      <c r="T546">
        <f t="shared" si="35"/>
        <v>1</v>
      </c>
      <c r="U546">
        <v>0</v>
      </c>
      <c r="V546">
        <v>0</v>
      </c>
      <c r="W546">
        <v>0</v>
      </c>
    </row>
    <row r="547" spans="1:23" x14ac:dyDescent="0.35">
      <c r="A547" s="7" t="s">
        <v>631</v>
      </c>
      <c r="B547" t="s">
        <v>632</v>
      </c>
      <c r="C547" s="1">
        <v>45713</v>
      </c>
      <c r="D547">
        <v>50</v>
      </c>
      <c r="E547" t="str">
        <f t="shared" si="32"/>
        <v>45-54</v>
      </c>
      <c r="F547" t="s">
        <v>67</v>
      </c>
      <c r="G547" t="s">
        <v>27</v>
      </c>
      <c r="H547" t="s">
        <v>28</v>
      </c>
      <c r="I547">
        <v>2</v>
      </c>
      <c r="J547" t="s">
        <v>21</v>
      </c>
      <c r="K547">
        <v>55</v>
      </c>
      <c r="L547" t="str">
        <f t="shared" si="33"/>
        <v>2+years</v>
      </c>
      <c r="M547" t="s">
        <v>97</v>
      </c>
      <c r="N547">
        <v>900</v>
      </c>
      <c r="O547">
        <v>16</v>
      </c>
      <c r="P547">
        <v>14400</v>
      </c>
      <c r="Q547">
        <f t="shared" si="34"/>
        <v>900</v>
      </c>
      <c r="R547" s="13">
        <v>35.729999999999997</v>
      </c>
      <c r="S547" t="s">
        <v>23</v>
      </c>
      <c r="T547">
        <f t="shared" si="35"/>
        <v>1</v>
      </c>
      <c r="U547">
        <v>0</v>
      </c>
      <c r="V547">
        <v>0</v>
      </c>
      <c r="W547">
        <v>0</v>
      </c>
    </row>
    <row r="548" spans="1:23" x14ac:dyDescent="0.35">
      <c r="A548" s="7" t="s">
        <v>633</v>
      </c>
      <c r="B548" t="s">
        <v>634</v>
      </c>
      <c r="C548" s="1">
        <v>45682</v>
      </c>
      <c r="D548">
        <v>56</v>
      </c>
      <c r="E548" t="str">
        <f t="shared" si="32"/>
        <v>55+</v>
      </c>
      <c r="F548" t="s">
        <v>86</v>
      </c>
      <c r="G548" t="s">
        <v>19</v>
      </c>
      <c r="H548" t="s">
        <v>28</v>
      </c>
      <c r="I548">
        <v>4</v>
      </c>
      <c r="J548" t="s">
        <v>109</v>
      </c>
      <c r="K548">
        <v>17</v>
      </c>
      <c r="L548" t="str">
        <f t="shared" si="33"/>
        <v>1-2 years</v>
      </c>
      <c r="M548" t="s">
        <v>48</v>
      </c>
      <c r="N548">
        <v>9000</v>
      </c>
      <c r="O548">
        <v>4</v>
      </c>
      <c r="P548">
        <v>36000</v>
      </c>
      <c r="Q548">
        <f t="shared" si="34"/>
        <v>9000</v>
      </c>
      <c r="R548" s="13">
        <v>95.57</v>
      </c>
      <c r="S548" t="s">
        <v>23</v>
      </c>
      <c r="T548">
        <f t="shared" si="35"/>
        <v>1</v>
      </c>
      <c r="U548">
        <v>0</v>
      </c>
      <c r="V548">
        <v>0</v>
      </c>
      <c r="W548">
        <v>0</v>
      </c>
    </row>
    <row r="549" spans="1:23" x14ac:dyDescent="0.35">
      <c r="A549" s="7" t="s">
        <v>635</v>
      </c>
      <c r="B549" t="s">
        <v>636</v>
      </c>
      <c r="C549" s="1">
        <v>45741</v>
      </c>
      <c r="D549">
        <v>58</v>
      </c>
      <c r="E549" t="str">
        <f t="shared" si="32"/>
        <v>55+</v>
      </c>
      <c r="F549" t="s">
        <v>138</v>
      </c>
      <c r="G549" t="s">
        <v>27</v>
      </c>
      <c r="H549" t="s">
        <v>28</v>
      </c>
      <c r="I549">
        <v>3</v>
      </c>
      <c r="J549" t="s">
        <v>47</v>
      </c>
      <c r="K549">
        <v>24</v>
      </c>
      <c r="L549" t="str">
        <f t="shared" si="33"/>
        <v>1-2 years</v>
      </c>
      <c r="M549" t="s">
        <v>43</v>
      </c>
      <c r="N549">
        <v>4500</v>
      </c>
      <c r="O549">
        <v>10</v>
      </c>
      <c r="P549">
        <v>45000</v>
      </c>
      <c r="Q549">
        <f t="shared" si="34"/>
        <v>4500</v>
      </c>
      <c r="R549" s="13">
        <v>195.88</v>
      </c>
      <c r="S549" t="s">
        <v>23</v>
      </c>
      <c r="T549">
        <f t="shared" si="35"/>
        <v>1</v>
      </c>
      <c r="U549">
        <v>0</v>
      </c>
      <c r="V549">
        <v>0</v>
      </c>
      <c r="W549">
        <v>0</v>
      </c>
    </row>
    <row r="550" spans="1:23" x14ac:dyDescent="0.35">
      <c r="A550" s="7" t="s">
        <v>635</v>
      </c>
      <c r="B550" t="s">
        <v>636</v>
      </c>
      <c r="C550" s="1">
        <v>45741</v>
      </c>
      <c r="D550">
        <v>58</v>
      </c>
      <c r="E550" t="str">
        <f t="shared" si="32"/>
        <v>55+</v>
      </c>
      <c r="F550" t="s">
        <v>138</v>
      </c>
      <c r="G550" t="s">
        <v>33</v>
      </c>
      <c r="H550" t="s">
        <v>28</v>
      </c>
      <c r="I550">
        <v>3</v>
      </c>
      <c r="J550" t="s">
        <v>47</v>
      </c>
      <c r="K550">
        <v>24</v>
      </c>
      <c r="L550" t="str">
        <f t="shared" si="33"/>
        <v>1-2 years</v>
      </c>
      <c r="M550" t="s">
        <v>110</v>
      </c>
      <c r="N550">
        <v>25000</v>
      </c>
      <c r="O550">
        <v>17</v>
      </c>
      <c r="P550">
        <v>425000</v>
      </c>
      <c r="Q550">
        <f t="shared" si="34"/>
        <v>25000</v>
      </c>
      <c r="R550" s="13">
        <v>65.36</v>
      </c>
      <c r="S550" t="s">
        <v>23</v>
      </c>
      <c r="T550">
        <f t="shared" si="35"/>
        <v>1</v>
      </c>
      <c r="U550">
        <v>0</v>
      </c>
      <c r="V550">
        <v>0</v>
      </c>
      <c r="W550">
        <v>0</v>
      </c>
    </row>
    <row r="551" spans="1:23" x14ac:dyDescent="0.35">
      <c r="A551" s="7" t="s">
        <v>637</v>
      </c>
      <c r="B551" t="s">
        <v>638</v>
      </c>
      <c r="C551" s="1">
        <v>45741</v>
      </c>
      <c r="D551">
        <v>73</v>
      </c>
      <c r="E551" t="str">
        <f t="shared" si="32"/>
        <v>55+</v>
      </c>
      <c r="F551" t="s">
        <v>291</v>
      </c>
      <c r="G551" t="s">
        <v>19</v>
      </c>
      <c r="H551" t="s">
        <v>28</v>
      </c>
      <c r="I551">
        <v>4</v>
      </c>
      <c r="J551" t="s">
        <v>109</v>
      </c>
      <c r="K551">
        <v>40</v>
      </c>
      <c r="L551" t="str">
        <f t="shared" si="33"/>
        <v>2+years</v>
      </c>
      <c r="M551" t="s">
        <v>48</v>
      </c>
      <c r="N551">
        <v>9000</v>
      </c>
      <c r="O551">
        <v>20</v>
      </c>
      <c r="P551">
        <v>180000</v>
      </c>
      <c r="Q551">
        <f t="shared" si="34"/>
        <v>9000</v>
      </c>
      <c r="R551" s="13">
        <v>84.65</v>
      </c>
      <c r="S551" t="s">
        <v>36</v>
      </c>
      <c r="T551">
        <f t="shared" si="35"/>
        <v>0</v>
      </c>
      <c r="U551">
        <v>0</v>
      </c>
      <c r="V551">
        <v>0</v>
      </c>
      <c r="W551">
        <v>0</v>
      </c>
    </row>
    <row r="552" spans="1:23" x14ac:dyDescent="0.35">
      <c r="A552" s="7" t="s">
        <v>639</v>
      </c>
      <c r="B552" t="s">
        <v>640</v>
      </c>
      <c r="C552" s="1">
        <v>45713</v>
      </c>
      <c r="D552">
        <v>25</v>
      </c>
      <c r="E552" t="str">
        <f t="shared" si="32"/>
        <v>25-34</v>
      </c>
      <c r="F552" t="s">
        <v>291</v>
      </c>
      <c r="G552" t="s">
        <v>33</v>
      </c>
      <c r="H552" t="s">
        <v>20</v>
      </c>
      <c r="I552">
        <v>3</v>
      </c>
      <c r="J552" t="s">
        <v>47</v>
      </c>
      <c r="K552">
        <v>22</v>
      </c>
      <c r="L552" t="str">
        <f t="shared" si="33"/>
        <v>1-2 years</v>
      </c>
      <c r="M552" t="s">
        <v>100</v>
      </c>
      <c r="N552">
        <v>75000</v>
      </c>
      <c r="O552">
        <v>15</v>
      </c>
      <c r="P552">
        <v>1125000</v>
      </c>
      <c r="Q552">
        <f t="shared" si="34"/>
        <v>75000</v>
      </c>
      <c r="R552" s="13">
        <v>54.61</v>
      </c>
      <c r="S552" t="s">
        <v>36</v>
      </c>
      <c r="T552">
        <f t="shared" si="35"/>
        <v>0</v>
      </c>
      <c r="U552">
        <v>0</v>
      </c>
      <c r="V552">
        <v>0</v>
      </c>
      <c r="W552">
        <v>0</v>
      </c>
    </row>
    <row r="553" spans="1:23" x14ac:dyDescent="0.35">
      <c r="A553" s="7" t="s">
        <v>639</v>
      </c>
      <c r="B553" t="s">
        <v>640</v>
      </c>
      <c r="C553" s="1">
        <v>45713</v>
      </c>
      <c r="D553">
        <v>25</v>
      </c>
      <c r="E553" t="str">
        <f t="shared" si="32"/>
        <v>25-34</v>
      </c>
      <c r="F553" t="s">
        <v>291</v>
      </c>
      <c r="G553" t="s">
        <v>27</v>
      </c>
      <c r="H553" t="s">
        <v>20</v>
      </c>
      <c r="I553">
        <v>3</v>
      </c>
      <c r="J553" t="s">
        <v>47</v>
      </c>
      <c r="K553">
        <v>22</v>
      </c>
      <c r="L553" t="str">
        <f t="shared" si="33"/>
        <v>1-2 years</v>
      </c>
      <c r="M553" t="s">
        <v>53</v>
      </c>
      <c r="N553">
        <v>3500</v>
      </c>
      <c r="O553">
        <v>17</v>
      </c>
      <c r="P553">
        <v>59500</v>
      </c>
      <c r="Q553">
        <f t="shared" si="34"/>
        <v>3500</v>
      </c>
      <c r="R553" s="13">
        <v>149.71</v>
      </c>
      <c r="S553" t="s">
        <v>36</v>
      </c>
      <c r="T553">
        <f t="shared" si="35"/>
        <v>0</v>
      </c>
      <c r="U553">
        <v>0</v>
      </c>
      <c r="V553">
        <v>0</v>
      </c>
      <c r="W553">
        <v>0</v>
      </c>
    </row>
    <row r="554" spans="1:23" x14ac:dyDescent="0.35">
      <c r="A554" s="7" t="s">
        <v>641</v>
      </c>
      <c r="B554" t="s">
        <v>642</v>
      </c>
      <c r="C554" s="1">
        <v>45682</v>
      </c>
      <c r="D554">
        <v>68</v>
      </c>
      <c r="E554" t="str">
        <f t="shared" si="32"/>
        <v>55+</v>
      </c>
      <c r="F554" t="s">
        <v>26</v>
      </c>
      <c r="G554" t="s">
        <v>33</v>
      </c>
      <c r="H554" t="s">
        <v>20</v>
      </c>
      <c r="I554">
        <v>2</v>
      </c>
      <c r="J554" t="s">
        <v>21</v>
      </c>
      <c r="K554">
        <v>55</v>
      </c>
      <c r="L554" t="str">
        <f t="shared" si="33"/>
        <v>2+years</v>
      </c>
      <c r="M554" t="s">
        <v>68</v>
      </c>
      <c r="N554">
        <v>14500</v>
      </c>
      <c r="O554">
        <v>4</v>
      </c>
      <c r="P554">
        <v>58000</v>
      </c>
      <c r="Q554">
        <f t="shared" si="34"/>
        <v>14500</v>
      </c>
      <c r="R554" s="13">
        <v>33.799999999999997</v>
      </c>
      <c r="S554" t="s">
        <v>36</v>
      </c>
      <c r="T554">
        <f t="shared" si="35"/>
        <v>0</v>
      </c>
      <c r="U554">
        <v>0</v>
      </c>
      <c r="V554">
        <v>0</v>
      </c>
      <c r="W554">
        <v>0</v>
      </c>
    </row>
    <row r="555" spans="1:23" x14ac:dyDescent="0.35">
      <c r="A555" s="7" t="s">
        <v>641</v>
      </c>
      <c r="B555" t="s">
        <v>642</v>
      </c>
      <c r="C555" s="1">
        <v>45682</v>
      </c>
      <c r="D555">
        <v>68</v>
      </c>
      <c r="E555" t="str">
        <f t="shared" si="32"/>
        <v>55+</v>
      </c>
      <c r="F555" t="s">
        <v>26</v>
      </c>
      <c r="G555" t="s">
        <v>27</v>
      </c>
      <c r="H555" t="s">
        <v>20</v>
      </c>
      <c r="I555">
        <v>2</v>
      </c>
      <c r="J555" t="s">
        <v>21</v>
      </c>
      <c r="K555">
        <v>55</v>
      </c>
      <c r="L555" t="str">
        <f t="shared" si="33"/>
        <v>2+years</v>
      </c>
      <c r="M555" t="s">
        <v>79</v>
      </c>
      <c r="N555">
        <v>1000</v>
      </c>
      <c r="O555">
        <v>16</v>
      </c>
      <c r="P555">
        <v>16000</v>
      </c>
      <c r="Q555">
        <f t="shared" si="34"/>
        <v>1000</v>
      </c>
      <c r="R555" s="13">
        <v>13.23</v>
      </c>
      <c r="S555" t="s">
        <v>36</v>
      </c>
      <c r="T555">
        <f t="shared" si="35"/>
        <v>0</v>
      </c>
      <c r="U555">
        <v>0</v>
      </c>
      <c r="V555">
        <v>0</v>
      </c>
      <c r="W555">
        <v>0</v>
      </c>
    </row>
    <row r="556" spans="1:23" x14ac:dyDescent="0.35">
      <c r="A556" s="7" t="s">
        <v>641</v>
      </c>
      <c r="B556" t="s">
        <v>642</v>
      </c>
      <c r="C556" s="1">
        <v>45682</v>
      </c>
      <c r="D556">
        <v>68</v>
      </c>
      <c r="E556" t="str">
        <f t="shared" si="32"/>
        <v>55+</v>
      </c>
      <c r="F556" t="s">
        <v>26</v>
      </c>
      <c r="G556" t="s">
        <v>38</v>
      </c>
      <c r="H556" t="s">
        <v>20</v>
      </c>
      <c r="I556">
        <v>2</v>
      </c>
      <c r="J556" t="s">
        <v>21</v>
      </c>
      <c r="K556">
        <v>55</v>
      </c>
      <c r="L556" t="str">
        <f t="shared" si="33"/>
        <v>2+years</v>
      </c>
      <c r="M556" t="s">
        <v>59</v>
      </c>
      <c r="N556">
        <v>24000</v>
      </c>
      <c r="O556">
        <v>13</v>
      </c>
      <c r="P556">
        <v>312000</v>
      </c>
      <c r="Q556">
        <f t="shared" si="34"/>
        <v>24000</v>
      </c>
      <c r="R556" s="13">
        <v>11.24</v>
      </c>
      <c r="S556" t="s">
        <v>36</v>
      </c>
      <c r="T556">
        <f t="shared" si="35"/>
        <v>0</v>
      </c>
      <c r="U556">
        <v>0</v>
      </c>
      <c r="V556">
        <v>0</v>
      </c>
      <c r="W556">
        <v>0</v>
      </c>
    </row>
    <row r="557" spans="1:23" x14ac:dyDescent="0.35">
      <c r="A557" s="7" t="s">
        <v>643</v>
      </c>
      <c r="B557" t="s">
        <v>644</v>
      </c>
      <c r="C557" s="1">
        <v>45713</v>
      </c>
      <c r="D557">
        <v>26</v>
      </c>
      <c r="E557" t="str">
        <f t="shared" si="32"/>
        <v>25-34</v>
      </c>
      <c r="F557" t="s">
        <v>91</v>
      </c>
      <c r="G557" t="s">
        <v>33</v>
      </c>
      <c r="H557" t="s">
        <v>28</v>
      </c>
      <c r="I557">
        <v>1</v>
      </c>
      <c r="J557" t="s">
        <v>34</v>
      </c>
      <c r="K557">
        <v>40</v>
      </c>
      <c r="L557" t="str">
        <f t="shared" si="33"/>
        <v>2+years</v>
      </c>
      <c r="M557" t="s">
        <v>68</v>
      </c>
      <c r="N557">
        <v>14500</v>
      </c>
      <c r="O557">
        <v>15</v>
      </c>
      <c r="P557">
        <v>217500</v>
      </c>
      <c r="Q557">
        <f t="shared" si="34"/>
        <v>14500</v>
      </c>
      <c r="R557" s="13">
        <v>147.65</v>
      </c>
      <c r="S557" t="s">
        <v>36</v>
      </c>
      <c r="T557">
        <f t="shared" si="35"/>
        <v>0</v>
      </c>
      <c r="U557">
        <v>0</v>
      </c>
      <c r="V557">
        <v>0</v>
      </c>
      <c r="W557">
        <v>0</v>
      </c>
    </row>
    <row r="558" spans="1:23" x14ac:dyDescent="0.35">
      <c r="A558" s="7" t="s">
        <v>643</v>
      </c>
      <c r="B558" t="s">
        <v>644</v>
      </c>
      <c r="C558" s="1">
        <v>45713</v>
      </c>
      <c r="D558">
        <v>26</v>
      </c>
      <c r="E558" t="str">
        <f t="shared" si="32"/>
        <v>25-34</v>
      </c>
      <c r="F558" t="s">
        <v>91</v>
      </c>
      <c r="G558" t="s">
        <v>38</v>
      </c>
      <c r="H558" t="s">
        <v>28</v>
      </c>
      <c r="I558">
        <v>1</v>
      </c>
      <c r="J558" t="s">
        <v>34</v>
      </c>
      <c r="K558">
        <v>40</v>
      </c>
      <c r="L558" t="str">
        <f t="shared" si="33"/>
        <v>2+years</v>
      </c>
      <c r="M558" t="s">
        <v>35</v>
      </c>
      <c r="N558">
        <v>20000</v>
      </c>
      <c r="O558">
        <v>6</v>
      </c>
      <c r="P558">
        <v>120000</v>
      </c>
      <c r="Q558">
        <f t="shared" si="34"/>
        <v>20000</v>
      </c>
      <c r="R558" s="13">
        <v>26.69</v>
      </c>
      <c r="S558" t="s">
        <v>36</v>
      </c>
      <c r="T558">
        <f t="shared" si="35"/>
        <v>0</v>
      </c>
      <c r="U558">
        <v>0</v>
      </c>
      <c r="V558">
        <v>0</v>
      </c>
      <c r="W558">
        <v>0</v>
      </c>
    </row>
    <row r="559" spans="1:23" x14ac:dyDescent="0.35">
      <c r="A559" s="7" t="s">
        <v>645</v>
      </c>
      <c r="B559" t="s">
        <v>646</v>
      </c>
      <c r="C559" s="1">
        <v>45713</v>
      </c>
      <c r="D559">
        <v>20</v>
      </c>
      <c r="E559" t="str">
        <f t="shared" si="32"/>
        <v>Under25</v>
      </c>
      <c r="F559" t="s">
        <v>147</v>
      </c>
      <c r="G559" t="s">
        <v>33</v>
      </c>
      <c r="H559" t="s">
        <v>28</v>
      </c>
      <c r="I559">
        <v>4</v>
      </c>
      <c r="J559" t="s">
        <v>109</v>
      </c>
      <c r="K559">
        <v>56</v>
      </c>
      <c r="L559" t="str">
        <f t="shared" si="33"/>
        <v>2+years</v>
      </c>
      <c r="M559" t="s">
        <v>62</v>
      </c>
      <c r="N559">
        <v>30000</v>
      </c>
      <c r="O559">
        <v>18</v>
      </c>
      <c r="P559">
        <v>540000</v>
      </c>
      <c r="Q559">
        <f t="shared" si="34"/>
        <v>30000</v>
      </c>
      <c r="R559" s="13">
        <v>193.92</v>
      </c>
      <c r="S559" t="s">
        <v>36</v>
      </c>
      <c r="T559">
        <f t="shared" si="35"/>
        <v>0</v>
      </c>
      <c r="U559">
        <v>0</v>
      </c>
      <c r="V559">
        <v>0</v>
      </c>
      <c r="W559">
        <v>0</v>
      </c>
    </row>
    <row r="560" spans="1:23" x14ac:dyDescent="0.35">
      <c r="A560" s="7" t="s">
        <v>645</v>
      </c>
      <c r="B560" t="s">
        <v>646</v>
      </c>
      <c r="C560" s="1">
        <v>45713</v>
      </c>
      <c r="D560">
        <v>20</v>
      </c>
      <c r="E560" t="str">
        <f t="shared" si="32"/>
        <v>Under25</v>
      </c>
      <c r="F560" t="s">
        <v>147</v>
      </c>
      <c r="G560" t="s">
        <v>27</v>
      </c>
      <c r="H560" t="s">
        <v>28</v>
      </c>
      <c r="I560">
        <v>4</v>
      </c>
      <c r="J560" t="s">
        <v>109</v>
      </c>
      <c r="K560">
        <v>56</v>
      </c>
      <c r="L560" t="str">
        <f t="shared" si="33"/>
        <v>2+years</v>
      </c>
      <c r="M560" t="s">
        <v>159</v>
      </c>
      <c r="N560">
        <v>600</v>
      </c>
      <c r="O560">
        <v>15</v>
      </c>
      <c r="P560">
        <v>9000</v>
      </c>
      <c r="Q560">
        <f t="shared" si="34"/>
        <v>600</v>
      </c>
      <c r="R560" s="13">
        <v>118.37</v>
      </c>
      <c r="S560" t="s">
        <v>36</v>
      </c>
      <c r="T560">
        <f t="shared" si="35"/>
        <v>0</v>
      </c>
      <c r="U560">
        <v>0</v>
      </c>
      <c r="V560">
        <v>0</v>
      </c>
      <c r="W560">
        <v>0</v>
      </c>
    </row>
    <row r="561" spans="1:23" x14ac:dyDescent="0.35">
      <c r="A561" s="7" t="s">
        <v>645</v>
      </c>
      <c r="B561" t="s">
        <v>646</v>
      </c>
      <c r="C561" s="1">
        <v>45713</v>
      </c>
      <c r="D561">
        <v>20</v>
      </c>
      <c r="E561" t="str">
        <f t="shared" si="32"/>
        <v>Under25</v>
      </c>
      <c r="F561" t="s">
        <v>147</v>
      </c>
      <c r="G561" t="s">
        <v>19</v>
      </c>
      <c r="H561" t="s">
        <v>28</v>
      </c>
      <c r="I561">
        <v>4</v>
      </c>
      <c r="J561" t="s">
        <v>109</v>
      </c>
      <c r="K561">
        <v>56</v>
      </c>
      <c r="L561" t="str">
        <f t="shared" si="33"/>
        <v>2+years</v>
      </c>
      <c r="M561" t="s">
        <v>22</v>
      </c>
      <c r="N561">
        <v>35000</v>
      </c>
      <c r="O561">
        <v>18</v>
      </c>
      <c r="P561">
        <v>630000</v>
      </c>
      <c r="Q561">
        <f t="shared" si="34"/>
        <v>35000</v>
      </c>
      <c r="R561" s="13">
        <v>104.93</v>
      </c>
      <c r="S561" t="s">
        <v>36</v>
      </c>
      <c r="T561">
        <f t="shared" si="35"/>
        <v>0</v>
      </c>
      <c r="U561">
        <v>0</v>
      </c>
      <c r="V561">
        <v>0</v>
      </c>
      <c r="W561">
        <v>0</v>
      </c>
    </row>
    <row r="562" spans="1:23" x14ac:dyDescent="0.35">
      <c r="A562" s="7" t="s">
        <v>647</v>
      </c>
      <c r="B562" t="s">
        <v>648</v>
      </c>
      <c r="C562" s="1">
        <v>45682</v>
      </c>
      <c r="D562">
        <v>60</v>
      </c>
      <c r="E562" t="str">
        <f t="shared" si="32"/>
        <v>55+</v>
      </c>
      <c r="F562" t="s">
        <v>207</v>
      </c>
      <c r="G562" t="s">
        <v>33</v>
      </c>
      <c r="H562" t="s">
        <v>20</v>
      </c>
      <c r="I562">
        <v>4</v>
      </c>
      <c r="J562" t="s">
        <v>109</v>
      </c>
      <c r="K562">
        <v>52</v>
      </c>
      <c r="L562" t="str">
        <f t="shared" si="33"/>
        <v>2+years</v>
      </c>
      <c r="M562" t="s">
        <v>59</v>
      </c>
      <c r="N562">
        <v>24000</v>
      </c>
      <c r="O562">
        <v>17</v>
      </c>
      <c r="P562">
        <v>408000</v>
      </c>
      <c r="Q562">
        <f t="shared" si="34"/>
        <v>24000</v>
      </c>
      <c r="R562" s="13">
        <v>2.61</v>
      </c>
      <c r="S562" t="s">
        <v>36</v>
      </c>
      <c r="T562">
        <f t="shared" si="35"/>
        <v>0</v>
      </c>
      <c r="U562">
        <v>0</v>
      </c>
      <c r="V562">
        <v>0</v>
      </c>
      <c r="W562">
        <v>0</v>
      </c>
    </row>
    <row r="563" spans="1:23" x14ac:dyDescent="0.35">
      <c r="A563" s="7" t="s">
        <v>647</v>
      </c>
      <c r="B563" t="s">
        <v>648</v>
      </c>
      <c r="C563" s="1">
        <v>45682</v>
      </c>
      <c r="D563">
        <v>60</v>
      </c>
      <c r="E563" t="str">
        <f t="shared" si="32"/>
        <v>55+</v>
      </c>
      <c r="F563" t="s">
        <v>207</v>
      </c>
      <c r="G563" t="s">
        <v>38</v>
      </c>
      <c r="H563" t="s">
        <v>20</v>
      </c>
      <c r="I563">
        <v>4</v>
      </c>
      <c r="J563" t="s">
        <v>109</v>
      </c>
      <c r="K563">
        <v>52</v>
      </c>
      <c r="L563" t="str">
        <f t="shared" si="33"/>
        <v>2+years</v>
      </c>
      <c r="M563" t="s">
        <v>35</v>
      </c>
      <c r="N563">
        <v>20000</v>
      </c>
      <c r="O563">
        <v>16</v>
      </c>
      <c r="P563">
        <v>320000</v>
      </c>
      <c r="Q563">
        <f t="shared" si="34"/>
        <v>20000</v>
      </c>
      <c r="R563" s="13">
        <v>69.11</v>
      </c>
      <c r="S563" t="s">
        <v>36</v>
      </c>
      <c r="T563">
        <f t="shared" si="35"/>
        <v>0</v>
      </c>
      <c r="U563">
        <v>0</v>
      </c>
      <c r="V563">
        <v>0</v>
      </c>
      <c r="W563">
        <v>0</v>
      </c>
    </row>
    <row r="564" spans="1:23" x14ac:dyDescent="0.35">
      <c r="A564" s="7" t="s">
        <v>649</v>
      </c>
      <c r="B564" t="s">
        <v>650</v>
      </c>
      <c r="C564" s="1">
        <v>45682</v>
      </c>
      <c r="D564">
        <v>17</v>
      </c>
      <c r="E564" t="str">
        <f t="shared" si="32"/>
        <v>Under25</v>
      </c>
      <c r="F564" t="s">
        <v>86</v>
      </c>
      <c r="G564" t="s">
        <v>19</v>
      </c>
      <c r="H564" t="s">
        <v>28</v>
      </c>
      <c r="I564">
        <v>4</v>
      </c>
      <c r="J564" t="s">
        <v>109</v>
      </c>
      <c r="K564">
        <v>20</v>
      </c>
      <c r="L564" t="str">
        <f t="shared" si="33"/>
        <v>1-2 years</v>
      </c>
      <c r="M564" t="s">
        <v>43</v>
      </c>
      <c r="N564">
        <v>4500</v>
      </c>
      <c r="O564">
        <v>18</v>
      </c>
      <c r="P564">
        <v>81000</v>
      </c>
      <c r="Q564">
        <f t="shared" si="34"/>
        <v>4500</v>
      </c>
      <c r="R564" s="13">
        <v>82.64</v>
      </c>
      <c r="S564" t="s">
        <v>36</v>
      </c>
      <c r="T564">
        <f t="shared" si="35"/>
        <v>0</v>
      </c>
      <c r="U564">
        <v>0</v>
      </c>
      <c r="V564">
        <v>0</v>
      </c>
      <c r="W564">
        <v>0</v>
      </c>
    </row>
    <row r="565" spans="1:23" x14ac:dyDescent="0.35">
      <c r="A565" s="7" t="s">
        <v>649</v>
      </c>
      <c r="B565" t="s">
        <v>650</v>
      </c>
      <c r="C565" s="1">
        <v>45682</v>
      </c>
      <c r="D565">
        <v>17</v>
      </c>
      <c r="E565" t="str">
        <f t="shared" si="32"/>
        <v>Under25</v>
      </c>
      <c r="F565" t="s">
        <v>86</v>
      </c>
      <c r="G565" t="s">
        <v>27</v>
      </c>
      <c r="H565" t="s">
        <v>28</v>
      </c>
      <c r="I565">
        <v>4</v>
      </c>
      <c r="J565" t="s">
        <v>109</v>
      </c>
      <c r="K565">
        <v>20</v>
      </c>
      <c r="L565" t="str">
        <f t="shared" si="33"/>
        <v>1-2 years</v>
      </c>
      <c r="M565" t="s">
        <v>29</v>
      </c>
      <c r="N565">
        <v>5500</v>
      </c>
      <c r="O565">
        <v>6</v>
      </c>
      <c r="P565">
        <v>33000</v>
      </c>
      <c r="Q565">
        <f t="shared" si="34"/>
        <v>5500</v>
      </c>
      <c r="R565" s="13">
        <v>79.25</v>
      </c>
      <c r="S565" t="s">
        <v>36</v>
      </c>
      <c r="T565">
        <f t="shared" si="35"/>
        <v>0</v>
      </c>
      <c r="U565">
        <v>0</v>
      </c>
      <c r="V565">
        <v>0</v>
      </c>
      <c r="W565">
        <v>0</v>
      </c>
    </row>
    <row r="566" spans="1:23" x14ac:dyDescent="0.35">
      <c r="A566" s="7" t="s">
        <v>651</v>
      </c>
      <c r="B566" t="s">
        <v>652</v>
      </c>
      <c r="C566" s="1">
        <v>45713</v>
      </c>
      <c r="D566">
        <v>64</v>
      </c>
      <c r="E566" t="str">
        <f t="shared" si="32"/>
        <v>55+</v>
      </c>
      <c r="F566" t="s">
        <v>108</v>
      </c>
      <c r="G566" t="s">
        <v>33</v>
      </c>
      <c r="H566" t="s">
        <v>28</v>
      </c>
      <c r="I566">
        <v>2</v>
      </c>
      <c r="J566" t="s">
        <v>21</v>
      </c>
      <c r="K566">
        <v>6</v>
      </c>
      <c r="L566" t="str">
        <f t="shared" si="33"/>
        <v>6-12 months</v>
      </c>
      <c r="M566" t="s">
        <v>100</v>
      </c>
      <c r="N566">
        <v>75000</v>
      </c>
      <c r="O566">
        <v>3</v>
      </c>
      <c r="P566">
        <v>225000</v>
      </c>
      <c r="Q566">
        <f t="shared" si="34"/>
        <v>75000</v>
      </c>
      <c r="R566" s="13">
        <v>38.01</v>
      </c>
      <c r="S566" t="s">
        <v>36</v>
      </c>
      <c r="T566">
        <f t="shared" si="35"/>
        <v>0</v>
      </c>
      <c r="U566">
        <v>0</v>
      </c>
      <c r="V566">
        <v>0</v>
      </c>
      <c r="W566">
        <v>0</v>
      </c>
    </row>
    <row r="567" spans="1:23" x14ac:dyDescent="0.35">
      <c r="A567" s="7" t="s">
        <v>651</v>
      </c>
      <c r="B567" t="s">
        <v>652</v>
      </c>
      <c r="C567" s="1">
        <v>45713</v>
      </c>
      <c r="D567">
        <v>64</v>
      </c>
      <c r="E567" t="str">
        <f t="shared" si="32"/>
        <v>55+</v>
      </c>
      <c r="F567" t="s">
        <v>108</v>
      </c>
      <c r="G567" t="s">
        <v>19</v>
      </c>
      <c r="H567" t="s">
        <v>28</v>
      </c>
      <c r="I567">
        <v>2</v>
      </c>
      <c r="J567" t="s">
        <v>21</v>
      </c>
      <c r="K567">
        <v>6</v>
      </c>
      <c r="L567" t="str">
        <f t="shared" si="33"/>
        <v>6-12 months</v>
      </c>
      <c r="M567" t="s">
        <v>43</v>
      </c>
      <c r="N567">
        <v>4500</v>
      </c>
      <c r="O567">
        <v>4</v>
      </c>
      <c r="P567">
        <v>18000</v>
      </c>
      <c r="Q567">
        <f t="shared" si="34"/>
        <v>4500</v>
      </c>
      <c r="R567" s="13">
        <v>27.76</v>
      </c>
      <c r="S567" t="s">
        <v>36</v>
      </c>
      <c r="T567">
        <f t="shared" si="35"/>
        <v>0</v>
      </c>
      <c r="U567">
        <v>0</v>
      </c>
      <c r="V567">
        <v>0</v>
      </c>
      <c r="W567">
        <v>0</v>
      </c>
    </row>
    <row r="568" spans="1:23" x14ac:dyDescent="0.35">
      <c r="A568" s="7" t="s">
        <v>651</v>
      </c>
      <c r="B568" t="s">
        <v>652</v>
      </c>
      <c r="C568" s="1">
        <v>45713</v>
      </c>
      <c r="D568">
        <v>64</v>
      </c>
      <c r="E568" t="str">
        <f t="shared" si="32"/>
        <v>55+</v>
      </c>
      <c r="F568" t="s">
        <v>108</v>
      </c>
      <c r="G568" t="s">
        <v>27</v>
      </c>
      <c r="H568" t="s">
        <v>28</v>
      </c>
      <c r="I568">
        <v>2</v>
      </c>
      <c r="J568" t="s">
        <v>21</v>
      </c>
      <c r="K568">
        <v>6</v>
      </c>
      <c r="L568" t="str">
        <f t="shared" si="33"/>
        <v>6-12 months</v>
      </c>
      <c r="M568" t="s">
        <v>29</v>
      </c>
      <c r="N568">
        <v>5500</v>
      </c>
      <c r="O568">
        <v>9</v>
      </c>
      <c r="P568">
        <v>49500</v>
      </c>
      <c r="Q568">
        <f t="shared" si="34"/>
        <v>5500</v>
      </c>
      <c r="R568" s="13">
        <v>123.74</v>
      </c>
      <c r="S568" t="s">
        <v>36</v>
      </c>
      <c r="T568">
        <f t="shared" si="35"/>
        <v>0</v>
      </c>
      <c r="U568">
        <v>0</v>
      </c>
      <c r="V568">
        <v>0</v>
      </c>
      <c r="W568">
        <v>0</v>
      </c>
    </row>
    <row r="569" spans="1:23" x14ac:dyDescent="0.35">
      <c r="A569" s="7" t="s">
        <v>653</v>
      </c>
      <c r="B569" t="s">
        <v>654</v>
      </c>
      <c r="C569" s="1">
        <v>45682</v>
      </c>
      <c r="D569">
        <v>40</v>
      </c>
      <c r="E569" t="str">
        <f t="shared" si="32"/>
        <v>35-44</v>
      </c>
      <c r="F569" t="s">
        <v>252</v>
      </c>
      <c r="G569" t="s">
        <v>33</v>
      </c>
      <c r="H569" t="s">
        <v>20</v>
      </c>
      <c r="I569">
        <v>5</v>
      </c>
      <c r="J569" t="s">
        <v>52</v>
      </c>
      <c r="K569">
        <v>10</v>
      </c>
      <c r="L569" t="str">
        <f t="shared" si="33"/>
        <v>6-12 months</v>
      </c>
      <c r="M569" t="s">
        <v>54</v>
      </c>
      <c r="N569">
        <v>150000</v>
      </c>
      <c r="O569">
        <v>8</v>
      </c>
      <c r="P569">
        <v>1200000</v>
      </c>
      <c r="Q569">
        <f t="shared" si="34"/>
        <v>150000</v>
      </c>
      <c r="R569" s="13">
        <v>145.56</v>
      </c>
      <c r="S569" t="s">
        <v>23</v>
      </c>
      <c r="T569">
        <f t="shared" si="35"/>
        <v>1</v>
      </c>
      <c r="U569">
        <v>0</v>
      </c>
      <c r="V569">
        <v>0</v>
      </c>
      <c r="W569">
        <v>0</v>
      </c>
    </row>
    <row r="570" spans="1:23" x14ac:dyDescent="0.35">
      <c r="A570" s="7" t="s">
        <v>653</v>
      </c>
      <c r="B570" t="s">
        <v>654</v>
      </c>
      <c r="C570" s="1">
        <v>45682</v>
      </c>
      <c r="D570">
        <v>40</v>
      </c>
      <c r="E570" t="str">
        <f t="shared" si="32"/>
        <v>35-44</v>
      </c>
      <c r="F570" t="s">
        <v>252</v>
      </c>
      <c r="G570" t="s">
        <v>38</v>
      </c>
      <c r="H570" t="s">
        <v>20</v>
      </c>
      <c r="I570">
        <v>5</v>
      </c>
      <c r="J570" t="s">
        <v>52</v>
      </c>
      <c r="K570">
        <v>10</v>
      </c>
      <c r="L570" t="str">
        <f t="shared" si="33"/>
        <v>6-12 months</v>
      </c>
      <c r="M570" t="s">
        <v>39</v>
      </c>
      <c r="N570">
        <v>9000</v>
      </c>
      <c r="O570">
        <v>16</v>
      </c>
      <c r="P570">
        <v>144000</v>
      </c>
      <c r="Q570">
        <f t="shared" si="34"/>
        <v>9000</v>
      </c>
      <c r="R570" s="13">
        <v>30.56</v>
      </c>
      <c r="S570" t="s">
        <v>23</v>
      </c>
      <c r="T570">
        <f t="shared" si="35"/>
        <v>1</v>
      </c>
      <c r="U570">
        <v>0</v>
      </c>
      <c r="V570">
        <v>0</v>
      </c>
      <c r="W570">
        <v>0</v>
      </c>
    </row>
    <row r="571" spans="1:23" x14ac:dyDescent="0.35">
      <c r="A571" s="7" t="s">
        <v>655</v>
      </c>
      <c r="B571" t="s">
        <v>371</v>
      </c>
      <c r="C571" s="1">
        <v>45713</v>
      </c>
      <c r="D571">
        <v>59</v>
      </c>
      <c r="E571" t="str">
        <f t="shared" si="32"/>
        <v>55+</v>
      </c>
      <c r="F571" t="s">
        <v>105</v>
      </c>
      <c r="G571" t="s">
        <v>33</v>
      </c>
      <c r="H571" t="s">
        <v>28</v>
      </c>
      <c r="I571">
        <v>3</v>
      </c>
      <c r="J571" t="s">
        <v>47</v>
      </c>
      <c r="K571">
        <v>51</v>
      </c>
      <c r="L571" t="str">
        <f t="shared" si="33"/>
        <v>2+years</v>
      </c>
      <c r="M571" t="s">
        <v>35</v>
      </c>
      <c r="N571">
        <v>20000</v>
      </c>
      <c r="O571">
        <v>5</v>
      </c>
      <c r="P571">
        <v>100000</v>
      </c>
      <c r="Q571">
        <f t="shared" si="34"/>
        <v>20000</v>
      </c>
      <c r="R571" s="13">
        <v>168.79</v>
      </c>
      <c r="S571" t="s">
        <v>36</v>
      </c>
      <c r="T571">
        <f t="shared" si="35"/>
        <v>0</v>
      </c>
      <c r="U571">
        <v>0</v>
      </c>
      <c r="V571">
        <v>0</v>
      </c>
      <c r="W571">
        <v>0</v>
      </c>
    </row>
    <row r="572" spans="1:23" x14ac:dyDescent="0.35">
      <c r="A572" s="7" t="s">
        <v>656</v>
      </c>
      <c r="B572" t="s">
        <v>657</v>
      </c>
      <c r="C572" s="1">
        <v>45713</v>
      </c>
      <c r="D572">
        <v>50</v>
      </c>
      <c r="E572" t="str">
        <f t="shared" si="32"/>
        <v>45-54</v>
      </c>
      <c r="F572" t="s">
        <v>78</v>
      </c>
      <c r="G572" t="s">
        <v>27</v>
      </c>
      <c r="H572" t="s">
        <v>20</v>
      </c>
      <c r="I572">
        <v>2</v>
      </c>
      <c r="J572" t="s">
        <v>21</v>
      </c>
      <c r="K572">
        <v>35</v>
      </c>
      <c r="L572" t="str">
        <f t="shared" si="33"/>
        <v>2+years</v>
      </c>
      <c r="M572" t="s">
        <v>79</v>
      </c>
      <c r="N572">
        <v>1000</v>
      </c>
      <c r="O572">
        <v>8</v>
      </c>
      <c r="P572">
        <v>8000</v>
      </c>
      <c r="Q572">
        <f t="shared" si="34"/>
        <v>1000</v>
      </c>
      <c r="R572" s="13">
        <v>194.93</v>
      </c>
      <c r="S572" t="s">
        <v>23</v>
      </c>
      <c r="T572">
        <f t="shared" si="35"/>
        <v>1</v>
      </c>
      <c r="U572">
        <v>0</v>
      </c>
      <c r="V572">
        <v>0</v>
      </c>
      <c r="W572">
        <v>0</v>
      </c>
    </row>
    <row r="573" spans="1:23" x14ac:dyDescent="0.35">
      <c r="A573" s="7" t="s">
        <v>656</v>
      </c>
      <c r="B573" t="s">
        <v>657</v>
      </c>
      <c r="C573" s="1">
        <v>45713</v>
      </c>
      <c r="D573">
        <v>50</v>
      </c>
      <c r="E573" t="str">
        <f t="shared" si="32"/>
        <v>45-54</v>
      </c>
      <c r="F573" t="s">
        <v>78</v>
      </c>
      <c r="G573" t="s">
        <v>38</v>
      </c>
      <c r="H573" t="s">
        <v>20</v>
      </c>
      <c r="I573">
        <v>2</v>
      </c>
      <c r="J573" t="s">
        <v>21</v>
      </c>
      <c r="K573">
        <v>35</v>
      </c>
      <c r="L573" t="str">
        <f t="shared" si="33"/>
        <v>2+years</v>
      </c>
      <c r="M573" t="s">
        <v>68</v>
      </c>
      <c r="N573">
        <v>14500</v>
      </c>
      <c r="O573">
        <v>15</v>
      </c>
      <c r="P573">
        <v>217500</v>
      </c>
      <c r="Q573">
        <f t="shared" si="34"/>
        <v>14500</v>
      </c>
      <c r="R573" s="13">
        <v>154.36000000000001</v>
      </c>
      <c r="S573" t="s">
        <v>23</v>
      </c>
      <c r="T573">
        <f t="shared" si="35"/>
        <v>1</v>
      </c>
      <c r="U573">
        <v>0</v>
      </c>
      <c r="V573">
        <v>0</v>
      </c>
      <c r="W573">
        <v>0</v>
      </c>
    </row>
    <row r="574" spans="1:23" x14ac:dyDescent="0.35">
      <c r="A574" s="7" t="s">
        <v>658</v>
      </c>
      <c r="B574" t="s">
        <v>659</v>
      </c>
      <c r="C574" s="1">
        <v>45682</v>
      </c>
      <c r="D574">
        <v>20</v>
      </c>
      <c r="E574" t="str">
        <f t="shared" si="32"/>
        <v>Under25</v>
      </c>
      <c r="F574" t="s">
        <v>116</v>
      </c>
      <c r="G574" t="s">
        <v>27</v>
      </c>
      <c r="H574" t="s">
        <v>28</v>
      </c>
      <c r="I574">
        <v>5</v>
      </c>
      <c r="J574" t="s">
        <v>52</v>
      </c>
      <c r="K574">
        <v>48</v>
      </c>
      <c r="L574" t="str">
        <f t="shared" si="33"/>
        <v>2+years</v>
      </c>
      <c r="M574" t="s">
        <v>83</v>
      </c>
      <c r="N574">
        <v>7500</v>
      </c>
      <c r="O574">
        <v>10</v>
      </c>
      <c r="P574">
        <v>75000</v>
      </c>
      <c r="Q574">
        <f t="shared" si="34"/>
        <v>7500</v>
      </c>
      <c r="R574" s="13">
        <v>136.44999999999999</v>
      </c>
      <c r="S574" t="s">
        <v>36</v>
      </c>
      <c r="T574">
        <f t="shared" si="35"/>
        <v>0</v>
      </c>
      <c r="U574">
        <v>0</v>
      </c>
      <c r="V574">
        <v>0</v>
      </c>
      <c r="W574">
        <v>0</v>
      </c>
    </row>
    <row r="575" spans="1:23" x14ac:dyDescent="0.35">
      <c r="A575" s="7" t="s">
        <v>660</v>
      </c>
      <c r="B575" t="s">
        <v>661</v>
      </c>
      <c r="C575" s="1">
        <v>45713</v>
      </c>
      <c r="D575">
        <v>36</v>
      </c>
      <c r="E575" t="str">
        <f t="shared" si="32"/>
        <v>35-44</v>
      </c>
      <c r="F575" t="s">
        <v>123</v>
      </c>
      <c r="G575" t="s">
        <v>19</v>
      </c>
      <c r="H575" t="s">
        <v>20</v>
      </c>
      <c r="I575">
        <v>3</v>
      </c>
      <c r="J575" t="s">
        <v>47</v>
      </c>
      <c r="K575">
        <v>17</v>
      </c>
      <c r="L575" t="str">
        <f t="shared" si="33"/>
        <v>1-2 years</v>
      </c>
      <c r="M575" t="s">
        <v>22</v>
      </c>
      <c r="N575">
        <v>35000</v>
      </c>
      <c r="O575">
        <v>6</v>
      </c>
      <c r="P575">
        <v>210000</v>
      </c>
      <c r="Q575">
        <f t="shared" si="34"/>
        <v>35000</v>
      </c>
      <c r="R575" s="13">
        <v>65.239999999999995</v>
      </c>
      <c r="S575" t="s">
        <v>23</v>
      </c>
      <c r="T575">
        <f t="shared" si="35"/>
        <v>1</v>
      </c>
      <c r="U575">
        <v>0</v>
      </c>
      <c r="V575">
        <v>0</v>
      </c>
      <c r="W575">
        <v>0</v>
      </c>
    </row>
    <row r="576" spans="1:23" x14ac:dyDescent="0.35">
      <c r="A576" s="7" t="s">
        <v>660</v>
      </c>
      <c r="B576" t="s">
        <v>661</v>
      </c>
      <c r="C576" s="1">
        <v>45713</v>
      </c>
      <c r="D576">
        <v>36</v>
      </c>
      <c r="E576" t="str">
        <f t="shared" si="32"/>
        <v>35-44</v>
      </c>
      <c r="F576" t="s">
        <v>123</v>
      </c>
      <c r="G576" t="s">
        <v>38</v>
      </c>
      <c r="H576" t="s">
        <v>20</v>
      </c>
      <c r="I576">
        <v>3</v>
      </c>
      <c r="J576" t="s">
        <v>47</v>
      </c>
      <c r="K576">
        <v>17</v>
      </c>
      <c r="L576" t="str">
        <f t="shared" si="33"/>
        <v>1-2 years</v>
      </c>
      <c r="M576" t="s">
        <v>62</v>
      </c>
      <c r="N576">
        <v>30000</v>
      </c>
      <c r="O576">
        <v>13</v>
      </c>
      <c r="P576">
        <v>390000</v>
      </c>
      <c r="Q576">
        <f t="shared" si="34"/>
        <v>30000</v>
      </c>
      <c r="R576" s="13">
        <v>117.15</v>
      </c>
      <c r="S576" t="s">
        <v>23</v>
      </c>
      <c r="T576">
        <f t="shared" si="35"/>
        <v>1</v>
      </c>
      <c r="U576">
        <v>0</v>
      </c>
      <c r="V576">
        <v>0</v>
      </c>
      <c r="W576">
        <v>0</v>
      </c>
    </row>
    <row r="577" spans="1:23" x14ac:dyDescent="0.35">
      <c r="A577" s="7" t="s">
        <v>660</v>
      </c>
      <c r="B577" t="s">
        <v>661</v>
      </c>
      <c r="C577" s="1">
        <v>45713</v>
      </c>
      <c r="D577">
        <v>36</v>
      </c>
      <c r="E577" t="str">
        <f t="shared" si="32"/>
        <v>35-44</v>
      </c>
      <c r="F577" t="s">
        <v>123</v>
      </c>
      <c r="G577" t="s">
        <v>33</v>
      </c>
      <c r="H577" t="s">
        <v>20</v>
      </c>
      <c r="I577">
        <v>3</v>
      </c>
      <c r="J577" t="s">
        <v>47</v>
      </c>
      <c r="K577">
        <v>17</v>
      </c>
      <c r="L577" t="str">
        <f t="shared" si="33"/>
        <v>1-2 years</v>
      </c>
      <c r="M577" t="s">
        <v>68</v>
      </c>
      <c r="N577">
        <v>14500</v>
      </c>
      <c r="O577">
        <v>2</v>
      </c>
      <c r="P577">
        <v>29000</v>
      </c>
      <c r="Q577">
        <f t="shared" si="34"/>
        <v>14500</v>
      </c>
      <c r="R577" s="13">
        <v>2.2799999999999998</v>
      </c>
      <c r="S577" t="s">
        <v>23</v>
      </c>
      <c r="T577">
        <f t="shared" si="35"/>
        <v>1</v>
      </c>
      <c r="U577">
        <v>0</v>
      </c>
      <c r="V577">
        <v>0</v>
      </c>
      <c r="W577">
        <v>0</v>
      </c>
    </row>
    <row r="578" spans="1:23" x14ac:dyDescent="0.35">
      <c r="A578" s="7" t="s">
        <v>662</v>
      </c>
      <c r="B578" t="s">
        <v>663</v>
      </c>
      <c r="C578" s="1">
        <v>45713</v>
      </c>
      <c r="D578">
        <v>35</v>
      </c>
      <c r="E578" t="str">
        <f t="shared" si="32"/>
        <v>35-44</v>
      </c>
      <c r="F578" t="s">
        <v>42</v>
      </c>
      <c r="G578" t="s">
        <v>38</v>
      </c>
      <c r="H578" t="s">
        <v>20</v>
      </c>
      <c r="I578">
        <v>4</v>
      </c>
      <c r="J578" t="s">
        <v>109</v>
      </c>
      <c r="K578">
        <v>16</v>
      </c>
      <c r="L578" t="str">
        <f t="shared" si="33"/>
        <v>1-2 years</v>
      </c>
      <c r="M578" t="s">
        <v>62</v>
      </c>
      <c r="N578">
        <v>30000</v>
      </c>
      <c r="O578">
        <v>18</v>
      </c>
      <c r="P578">
        <v>540000</v>
      </c>
      <c r="Q578">
        <f t="shared" si="34"/>
        <v>30000</v>
      </c>
      <c r="R578" s="13">
        <v>129.09</v>
      </c>
      <c r="S578" t="s">
        <v>23</v>
      </c>
      <c r="T578">
        <f t="shared" si="35"/>
        <v>1</v>
      </c>
      <c r="U578">
        <v>0</v>
      </c>
      <c r="V578">
        <v>0</v>
      </c>
      <c r="W578">
        <v>0</v>
      </c>
    </row>
    <row r="579" spans="1:23" x14ac:dyDescent="0.35">
      <c r="A579" s="7" t="s">
        <v>662</v>
      </c>
      <c r="B579" t="s">
        <v>663</v>
      </c>
      <c r="C579" s="1">
        <v>45713</v>
      </c>
      <c r="D579">
        <v>35</v>
      </c>
      <c r="E579" t="str">
        <f t="shared" ref="E579:E642" si="36">IF(D579&lt;25,"Under25",IF(D579&lt;35,"25-34",IF(D579&lt;45,"35-44",IF(D579&lt;55,"45-54","55+"))) )</f>
        <v>35-44</v>
      </c>
      <c r="F579" t="s">
        <v>42</v>
      </c>
      <c r="G579" t="s">
        <v>27</v>
      </c>
      <c r="H579" t="s">
        <v>20</v>
      </c>
      <c r="I579">
        <v>4</v>
      </c>
      <c r="J579" t="s">
        <v>109</v>
      </c>
      <c r="K579">
        <v>16</v>
      </c>
      <c r="L579" t="str">
        <f t="shared" ref="L579:L642" si="37">IF(K579&lt;6,"0-5 months",IF(K579&lt;13,"6-12 months",IF(K579&lt;25,"1-2 years","2+years")))</f>
        <v>1-2 years</v>
      </c>
      <c r="M579" t="s">
        <v>79</v>
      </c>
      <c r="N579">
        <v>1000</v>
      </c>
      <c r="O579">
        <v>8</v>
      </c>
      <c r="P579">
        <v>8000</v>
      </c>
      <c r="Q579">
        <f t="shared" ref="Q579:Q642" si="38">P579/O579</f>
        <v>1000</v>
      </c>
      <c r="R579" s="13">
        <v>25.6</v>
      </c>
      <c r="S579" t="s">
        <v>23</v>
      </c>
      <c r="T579">
        <f t="shared" ref="T579:T642" si="39">IF(S579="yes",1,0)</f>
        <v>1</v>
      </c>
      <c r="U579">
        <v>0</v>
      </c>
      <c r="V579">
        <v>0</v>
      </c>
      <c r="W579">
        <v>0</v>
      </c>
    </row>
    <row r="580" spans="1:23" x14ac:dyDescent="0.35">
      <c r="A580" s="7" t="s">
        <v>664</v>
      </c>
      <c r="B580" t="s">
        <v>665</v>
      </c>
      <c r="C580" s="1">
        <v>45713</v>
      </c>
      <c r="D580">
        <v>60</v>
      </c>
      <c r="E580" t="str">
        <f t="shared" si="36"/>
        <v>55+</v>
      </c>
      <c r="F580" t="s">
        <v>192</v>
      </c>
      <c r="G580" t="s">
        <v>38</v>
      </c>
      <c r="H580" t="s">
        <v>20</v>
      </c>
      <c r="I580">
        <v>3</v>
      </c>
      <c r="J580" t="s">
        <v>47</v>
      </c>
      <c r="K580">
        <v>2</v>
      </c>
      <c r="L580" t="str">
        <f t="shared" si="37"/>
        <v>0-5 months</v>
      </c>
      <c r="M580" t="s">
        <v>68</v>
      </c>
      <c r="N580">
        <v>14500</v>
      </c>
      <c r="O580">
        <v>18</v>
      </c>
      <c r="P580">
        <v>261000</v>
      </c>
      <c r="Q580">
        <f t="shared" si="38"/>
        <v>14500</v>
      </c>
      <c r="R580" s="13">
        <v>112.03</v>
      </c>
      <c r="S580" t="s">
        <v>36</v>
      </c>
      <c r="T580">
        <f t="shared" si="39"/>
        <v>0</v>
      </c>
      <c r="U580">
        <v>0</v>
      </c>
      <c r="V580">
        <v>0</v>
      </c>
      <c r="W580">
        <v>0</v>
      </c>
    </row>
    <row r="581" spans="1:23" x14ac:dyDescent="0.35">
      <c r="A581" s="7" t="s">
        <v>664</v>
      </c>
      <c r="B581" t="s">
        <v>665</v>
      </c>
      <c r="C581" s="1">
        <v>45713</v>
      </c>
      <c r="D581">
        <v>60</v>
      </c>
      <c r="E581" t="str">
        <f t="shared" si="36"/>
        <v>55+</v>
      </c>
      <c r="F581" t="s">
        <v>192</v>
      </c>
      <c r="G581" t="s">
        <v>19</v>
      </c>
      <c r="H581" t="s">
        <v>20</v>
      </c>
      <c r="I581">
        <v>3</v>
      </c>
      <c r="J581" t="s">
        <v>47</v>
      </c>
      <c r="K581">
        <v>2</v>
      </c>
      <c r="L581" t="str">
        <f t="shared" si="37"/>
        <v>0-5 months</v>
      </c>
      <c r="M581" t="s">
        <v>22</v>
      </c>
      <c r="N581">
        <v>35000</v>
      </c>
      <c r="O581">
        <v>6</v>
      </c>
      <c r="P581">
        <v>210000</v>
      </c>
      <c r="Q581">
        <f t="shared" si="38"/>
        <v>35000</v>
      </c>
      <c r="R581" s="13">
        <v>38.36</v>
      </c>
      <c r="S581" t="s">
        <v>36</v>
      </c>
      <c r="T581">
        <f t="shared" si="39"/>
        <v>0</v>
      </c>
      <c r="U581">
        <v>0</v>
      </c>
      <c r="V581">
        <v>0</v>
      </c>
      <c r="W581">
        <v>0</v>
      </c>
    </row>
    <row r="582" spans="1:23" x14ac:dyDescent="0.35">
      <c r="A582" s="7" t="s">
        <v>666</v>
      </c>
      <c r="B582" t="s">
        <v>667</v>
      </c>
      <c r="C582" s="1">
        <v>45713</v>
      </c>
      <c r="D582">
        <v>60</v>
      </c>
      <c r="E582" t="str">
        <f t="shared" si="36"/>
        <v>55+</v>
      </c>
      <c r="F582" t="s">
        <v>252</v>
      </c>
      <c r="G582" t="s">
        <v>33</v>
      </c>
      <c r="H582" t="s">
        <v>28</v>
      </c>
      <c r="I582">
        <v>1</v>
      </c>
      <c r="J582" t="s">
        <v>34</v>
      </c>
      <c r="K582">
        <v>18</v>
      </c>
      <c r="L582" t="str">
        <f t="shared" si="37"/>
        <v>1-2 years</v>
      </c>
      <c r="M582" t="s">
        <v>110</v>
      </c>
      <c r="N582">
        <v>25000</v>
      </c>
      <c r="O582">
        <v>17</v>
      </c>
      <c r="P582">
        <v>425000</v>
      </c>
      <c r="Q582">
        <f t="shared" si="38"/>
        <v>25000</v>
      </c>
      <c r="R582" s="13">
        <v>91.09</v>
      </c>
      <c r="S582" t="s">
        <v>36</v>
      </c>
      <c r="T582">
        <f t="shared" si="39"/>
        <v>0</v>
      </c>
      <c r="U582">
        <v>0</v>
      </c>
      <c r="V582">
        <v>0</v>
      </c>
      <c r="W582">
        <v>0</v>
      </c>
    </row>
    <row r="583" spans="1:23" x14ac:dyDescent="0.35">
      <c r="A583" s="7" t="s">
        <v>666</v>
      </c>
      <c r="B583" t="s">
        <v>667</v>
      </c>
      <c r="C583" s="1">
        <v>45713</v>
      </c>
      <c r="D583">
        <v>60</v>
      </c>
      <c r="E583" t="str">
        <f t="shared" si="36"/>
        <v>55+</v>
      </c>
      <c r="F583" t="s">
        <v>252</v>
      </c>
      <c r="G583" t="s">
        <v>19</v>
      </c>
      <c r="H583" t="s">
        <v>28</v>
      </c>
      <c r="I583">
        <v>1</v>
      </c>
      <c r="J583" t="s">
        <v>34</v>
      </c>
      <c r="K583">
        <v>18</v>
      </c>
      <c r="L583" t="str">
        <f t="shared" si="37"/>
        <v>1-2 years</v>
      </c>
      <c r="M583" t="s">
        <v>22</v>
      </c>
      <c r="N583">
        <v>35000</v>
      </c>
      <c r="O583">
        <v>1</v>
      </c>
      <c r="P583">
        <v>35000</v>
      </c>
      <c r="Q583">
        <f t="shared" si="38"/>
        <v>35000</v>
      </c>
      <c r="R583" s="13">
        <v>146.86000000000001</v>
      </c>
      <c r="S583" t="s">
        <v>36</v>
      </c>
      <c r="T583">
        <f t="shared" si="39"/>
        <v>0</v>
      </c>
      <c r="U583">
        <v>0</v>
      </c>
      <c r="V583">
        <v>0</v>
      </c>
      <c r="W583">
        <v>0</v>
      </c>
    </row>
    <row r="584" spans="1:23" x14ac:dyDescent="0.35">
      <c r="A584" s="7" t="s">
        <v>668</v>
      </c>
      <c r="B584" t="s">
        <v>669</v>
      </c>
      <c r="C584" s="1">
        <v>45713</v>
      </c>
      <c r="D584">
        <v>46</v>
      </c>
      <c r="E584" t="str">
        <f t="shared" si="36"/>
        <v>45-54</v>
      </c>
      <c r="F584" t="s">
        <v>252</v>
      </c>
      <c r="G584" t="s">
        <v>19</v>
      </c>
      <c r="H584" t="s">
        <v>20</v>
      </c>
      <c r="I584">
        <v>2</v>
      </c>
      <c r="J584" t="s">
        <v>21</v>
      </c>
      <c r="K584">
        <v>43</v>
      </c>
      <c r="L584" t="str">
        <f t="shared" si="37"/>
        <v>2+years</v>
      </c>
      <c r="M584" t="s">
        <v>48</v>
      </c>
      <c r="N584">
        <v>9000</v>
      </c>
      <c r="O584">
        <v>11</v>
      </c>
      <c r="P584">
        <v>99000</v>
      </c>
      <c r="Q584">
        <f t="shared" si="38"/>
        <v>9000</v>
      </c>
      <c r="R584" s="13">
        <v>64.86</v>
      </c>
      <c r="S584" t="s">
        <v>36</v>
      </c>
      <c r="T584">
        <f t="shared" si="39"/>
        <v>0</v>
      </c>
      <c r="U584">
        <v>0</v>
      </c>
      <c r="V584">
        <v>0</v>
      </c>
      <c r="W584">
        <v>0</v>
      </c>
    </row>
    <row r="585" spans="1:23" x14ac:dyDescent="0.35">
      <c r="A585" s="7" t="s">
        <v>668</v>
      </c>
      <c r="B585" t="s">
        <v>669</v>
      </c>
      <c r="C585" s="1">
        <v>45713</v>
      </c>
      <c r="D585">
        <v>46</v>
      </c>
      <c r="E585" t="str">
        <f t="shared" si="36"/>
        <v>45-54</v>
      </c>
      <c r="F585" t="s">
        <v>252</v>
      </c>
      <c r="G585" t="s">
        <v>33</v>
      </c>
      <c r="H585" t="s">
        <v>20</v>
      </c>
      <c r="I585">
        <v>2</v>
      </c>
      <c r="J585" t="s">
        <v>21</v>
      </c>
      <c r="K585">
        <v>43</v>
      </c>
      <c r="L585" t="str">
        <f t="shared" si="37"/>
        <v>2+years</v>
      </c>
      <c r="M585" t="s">
        <v>35</v>
      </c>
      <c r="N585">
        <v>20000</v>
      </c>
      <c r="O585">
        <v>3</v>
      </c>
      <c r="P585">
        <v>60000</v>
      </c>
      <c r="Q585">
        <f t="shared" si="38"/>
        <v>20000</v>
      </c>
      <c r="R585" s="13">
        <v>19.7</v>
      </c>
      <c r="S585" t="s">
        <v>36</v>
      </c>
      <c r="T585">
        <f t="shared" si="39"/>
        <v>0</v>
      </c>
      <c r="U585">
        <v>0</v>
      </c>
      <c r="V585">
        <v>0</v>
      </c>
      <c r="W585">
        <v>0</v>
      </c>
    </row>
    <row r="586" spans="1:23" x14ac:dyDescent="0.35">
      <c r="A586" s="7" t="s">
        <v>670</v>
      </c>
      <c r="B586" t="s">
        <v>671</v>
      </c>
      <c r="C586" s="1">
        <v>45682</v>
      </c>
      <c r="D586">
        <v>32</v>
      </c>
      <c r="E586" t="str">
        <f t="shared" si="36"/>
        <v>25-34</v>
      </c>
      <c r="F586" t="s">
        <v>126</v>
      </c>
      <c r="G586" t="s">
        <v>27</v>
      </c>
      <c r="H586" t="s">
        <v>20</v>
      </c>
      <c r="I586">
        <v>4</v>
      </c>
      <c r="J586" t="s">
        <v>109</v>
      </c>
      <c r="K586">
        <v>13</v>
      </c>
      <c r="L586" t="str">
        <f t="shared" si="37"/>
        <v>1-2 years</v>
      </c>
      <c r="M586" t="s">
        <v>187</v>
      </c>
      <c r="N586">
        <v>6500</v>
      </c>
      <c r="O586">
        <v>19</v>
      </c>
      <c r="P586">
        <v>123500</v>
      </c>
      <c r="Q586">
        <f t="shared" si="38"/>
        <v>6500</v>
      </c>
      <c r="R586" s="13">
        <v>124.98</v>
      </c>
      <c r="S586" t="s">
        <v>23</v>
      </c>
      <c r="T586">
        <f t="shared" si="39"/>
        <v>1</v>
      </c>
      <c r="U586">
        <v>0</v>
      </c>
      <c r="V586">
        <v>0</v>
      </c>
      <c r="W586">
        <v>0</v>
      </c>
    </row>
    <row r="587" spans="1:23" x14ac:dyDescent="0.35">
      <c r="A587" s="7" t="s">
        <v>670</v>
      </c>
      <c r="B587" t="s">
        <v>671</v>
      </c>
      <c r="C587" s="1">
        <v>45682</v>
      </c>
      <c r="D587">
        <v>32</v>
      </c>
      <c r="E587" t="str">
        <f t="shared" si="36"/>
        <v>25-34</v>
      </c>
      <c r="F587" t="s">
        <v>126</v>
      </c>
      <c r="G587" t="s">
        <v>33</v>
      </c>
      <c r="H587" t="s">
        <v>20</v>
      </c>
      <c r="I587">
        <v>4</v>
      </c>
      <c r="J587" t="s">
        <v>109</v>
      </c>
      <c r="K587">
        <v>13</v>
      </c>
      <c r="L587" t="str">
        <f t="shared" si="37"/>
        <v>1-2 years</v>
      </c>
      <c r="M587" t="s">
        <v>59</v>
      </c>
      <c r="N587">
        <v>24000</v>
      </c>
      <c r="O587">
        <v>8</v>
      </c>
      <c r="P587">
        <v>192000</v>
      </c>
      <c r="Q587">
        <f t="shared" si="38"/>
        <v>24000</v>
      </c>
      <c r="R587" s="13">
        <v>10.29</v>
      </c>
      <c r="S587" t="s">
        <v>23</v>
      </c>
      <c r="T587">
        <f t="shared" si="39"/>
        <v>1</v>
      </c>
      <c r="U587">
        <v>0</v>
      </c>
      <c r="V587">
        <v>0</v>
      </c>
      <c r="W587">
        <v>0</v>
      </c>
    </row>
    <row r="588" spans="1:23" x14ac:dyDescent="0.35">
      <c r="A588" s="7" t="s">
        <v>670</v>
      </c>
      <c r="B588" t="s">
        <v>671</v>
      </c>
      <c r="C588" s="1">
        <v>45682</v>
      </c>
      <c r="D588">
        <v>32</v>
      </c>
      <c r="E588" t="str">
        <f t="shared" si="36"/>
        <v>25-34</v>
      </c>
      <c r="F588" t="s">
        <v>126</v>
      </c>
      <c r="G588" t="s">
        <v>19</v>
      </c>
      <c r="H588" t="s">
        <v>20</v>
      </c>
      <c r="I588">
        <v>4</v>
      </c>
      <c r="J588" t="s">
        <v>109</v>
      </c>
      <c r="K588">
        <v>13</v>
      </c>
      <c r="L588" t="str">
        <f t="shared" si="37"/>
        <v>1-2 years</v>
      </c>
      <c r="M588" t="s">
        <v>55</v>
      </c>
      <c r="N588">
        <v>16000</v>
      </c>
      <c r="O588">
        <v>7</v>
      </c>
      <c r="P588">
        <v>112000</v>
      </c>
      <c r="Q588">
        <f t="shared" si="38"/>
        <v>16000</v>
      </c>
      <c r="R588" s="13">
        <v>3.11</v>
      </c>
      <c r="S588" t="s">
        <v>23</v>
      </c>
      <c r="T588">
        <f t="shared" si="39"/>
        <v>1</v>
      </c>
      <c r="U588">
        <v>0</v>
      </c>
      <c r="V588">
        <v>0</v>
      </c>
      <c r="W588">
        <v>0</v>
      </c>
    </row>
    <row r="589" spans="1:23" x14ac:dyDescent="0.35">
      <c r="A589" s="7" t="s">
        <v>672</v>
      </c>
      <c r="B589" t="s">
        <v>673</v>
      </c>
      <c r="C589" s="1">
        <v>45713</v>
      </c>
      <c r="D589">
        <v>26</v>
      </c>
      <c r="E589" t="str">
        <f t="shared" si="36"/>
        <v>25-34</v>
      </c>
      <c r="F589" t="s">
        <v>32</v>
      </c>
      <c r="G589" t="s">
        <v>33</v>
      </c>
      <c r="H589" t="s">
        <v>20</v>
      </c>
      <c r="I589">
        <v>3</v>
      </c>
      <c r="J589" t="s">
        <v>47</v>
      </c>
      <c r="K589">
        <v>24</v>
      </c>
      <c r="L589" t="str">
        <f t="shared" si="37"/>
        <v>1-2 years</v>
      </c>
      <c r="M589" t="s">
        <v>39</v>
      </c>
      <c r="N589">
        <v>9000</v>
      </c>
      <c r="O589">
        <v>10</v>
      </c>
      <c r="P589">
        <v>90000</v>
      </c>
      <c r="Q589">
        <f t="shared" si="38"/>
        <v>9000</v>
      </c>
      <c r="R589" s="13">
        <v>146.99</v>
      </c>
      <c r="S589" t="s">
        <v>36</v>
      </c>
      <c r="T589">
        <f t="shared" si="39"/>
        <v>0</v>
      </c>
      <c r="U589">
        <v>0</v>
      </c>
      <c r="V589">
        <v>0</v>
      </c>
      <c r="W589">
        <v>0</v>
      </c>
    </row>
    <row r="590" spans="1:23" x14ac:dyDescent="0.35">
      <c r="A590" s="7" t="s">
        <v>674</v>
      </c>
      <c r="B590" t="s">
        <v>675</v>
      </c>
      <c r="C590" s="1">
        <v>45713</v>
      </c>
      <c r="D590">
        <v>43</v>
      </c>
      <c r="E590" t="str">
        <f t="shared" si="36"/>
        <v>35-44</v>
      </c>
      <c r="F590" t="s">
        <v>72</v>
      </c>
      <c r="G590" t="s">
        <v>19</v>
      </c>
      <c r="H590" t="s">
        <v>20</v>
      </c>
      <c r="I590">
        <v>5</v>
      </c>
      <c r="J590" t="s">
        <v>52</v>
      </c>
      <c r="K590">
        <v>7</v>
      </c>
      <c r="L590" t="str">
        <f t="shared" si="37"/>
        <v>6-12 months</v>
      </c>
      <c r="M590" t="s">
        <v>43</v>
      </c>
      <c r="N590">
        <v>4500</v>
      </c>
      <c r="O590">
        <v>18</v>
      </c>
      <c r="P590">
        <v>81000</v>
      </c>
      <c r="Q590">
        <f t="shared" si="38"/>
        <v>4500</v>
      </c>
      <c r="R590" s="13">
        <v>111.91</v>
      </c>
      <c r="S590" t="s">
        <v>36</v>
      </c>
      <c r="T590">
        <f t="shared" si="39"/>
        <v>0</v>
      </c>
      <c r="U590">
        <v>0</v>
      </c>
      <c r="V590">
        <v>0</v>
      </c>
      <c r="W590">
        <v>0</v>
      </c>
    </row>
    <row r="591" spans="1:23" x14ac:dyDescent="0.35">
      <c r="A591" s="7" t="s">
        <v>676</v>
      </c>
      <c r="B591" t="s">
        <v>677</v>
      </c>
      <c r="C591" s="1">
        <v>45713</v>
      </c>
      <c r="D591">
        <v>29</v>
      </c>
      <c r="E591" t="str">
        <f t="shared" si="36"/>
        <v>25-34</v>
      </c>
      <c r="F591" t="s">
        <v>147</v>
      </c>
      <c r="G591" t="s">
        <v>27</v>
      </c>
      <c r="H591" t="s">
        <v>28</v>
      </c>
      <c r="I591">
        <v>1</v>
      </c>
      <c r="J591" t="s">
        <v>34</v>
      </c>
      <c r="K591">
        <v>45</v>
      </c>
      <c r="L591" t="str">
        <f t="shared" si="37"/>
        <v>2+years</v>
      </c>
      <c r="M591" t="s">
        <v>159</v>
      </c>
      <c r="N591">
        <v>600</v>
      </c>
      <c r="O591">
        <v>20</v>
      </c>
      <c r="P591">
        <v>12000</v>
      </c>
      <c r="Q591">
        <f t="shared" si="38"/>
        <v>600</v>
      </c>
      <c r="R591" s="13">
        <v>107.01</v>
      </c>
      <c r="S591" t="s">
        <v>23</v>
      </c>
      <c r="T591">
        <f t="shared" si="39"/>
        <v>1</v>
      </c>
      <c r="U591">
        <v>0</v>
      </c>
      <c r="V591">
        <v>0</v>
      </c>
      <c r="W591">
        <v>0</v>
      </c>
    </row>
    <row r="592" spans="1:23" x14ac:dyDescent="0.35">
      <c r="A592" s="7" t="s">
        <v>676</v>
      </c>
      <c r="B592" t="s">
        <v>677</v>
      </c>
      <c r="C592" s="1">
        <v>45713</v>
      </c>
      <c r="D592">
        <v>29</v>
      </c>
      <c r="E592" t="str">
        <f t="shared" si="36"/>
        <v>25-34</v>
      </c>
      <c r="F592" t="s">
        <v>147</v>
      </c>
      <c r="G592" t="s">
        <v>33</v>
      </c>
      <c r="H592" t="s">
        <v>28</v>
      </c>
      <c r="I592">
        <v>1</v>
      </c>
      <c r="J592" t="s">
        <v>34</v>
      </c>
      <c r="K592">
        <v>45</v>
      </c>
      <c r="L592" t="str">
        <f t="shared" si="37"/>
        <v>2+years</v>
      </c>
      <c r="M592" t="s">
        <v>54</v>
      </c>
      <c r="N592">
        <v>150000</v>
      </c>
      <c r="O592">
        <v>11</v>
      </c>
      <c r="P592">
        <v>1650000</v>
      </c>
      <c r="Q592">
        <f t="shared" si="38"/>
        <v>150000</v>
      </c>
      <c r="R592" s="13">
        <v>186.74</v>
      </c>
      <c r="S592" t="s">
        <v>23</v>
      </c>
      <c r="T592">
        <f t="shared" si="39"/>
        <v>1</v>
      </c>
      <c r="U592">
        <v>0</v>
      </c>
      <c r="V592">
        <v>0</v>
      </c>
      <c r="W592">
        <v>0</v>
      </c>
    </row>
    <row r="593" spans="1:23" x14ac:dyDescent="0.35">
      <c r="A593" s="7" t="s">
        <v>676</v>
      </c>
      <c r="B593" t="s">
        <v>677</v>
      </c>
      <c r="C593" s="1">
        <v>45713</v>
      </c>
      <c r="D593">
        <v>29</v>
      </c>
      <c r="E593" t="str">
        <f t="shared" si="36"/>
        <v>25-34</v>
      </c>
      <c r="F593" t="s">
        <v>147</v>
      </c>
      <c r="G593" t="s">
        <v>19</v>
      </c>
      <c r="H593" t="s">
        <v>28</v>
      </c>
      <c r="I593">
        <v>1</v>
      </c>
      <c r="J593" t="s">
        <v>34</v>
      </c>
      <c r="K593">
        <v>45</v>
      </c>
      <c r="L593" t="str">
        <f t="shared" si="37"/>
        <v>2+years</v>
      </c>
      <c r="M593" t="s">
        <v>48</v>
      </c>
      <c r="N593">
        <v>9000</v>
      </c>
      <c r="O593">
        <v>14</v>
      </c>
      <c r="P593">
        <v>126000</v>
      </c>
      <c r="Q593">
        <f t="shared" si="38"/>
        <v>9000</v>
      </c>
      <c r="R593" s="13">
        <v>169.05</v>
      </c>
      <c r="S593" t="s">
        <v>23</v>
      </c>
      <c r="T593">
        <f t="shared" si="39"/>
        <v>1</v>
      </c>
      <c r="U593">
        <v>0</v>
      </c>
      <c r="V593">
        <v>0</v>
      </c>
      <c r="W593">
        <v>0</v>
      </c>
    </row>
    <row r="594" spans="1:23" x14ac:dyDescent="0.35">
      <c r="A594" s="7" t="s">
        <v>678</v>
      </c>
      <c r="B594" t="s">
        <v>679</v>
      </c>
      <c r="C594" s="1">
        <v>45741</v>
      </c>
      <c r="D594">
        <v>57</v>
      </c>
      <c r="E594" t="str">
        <f t="shared" si="36"/>
        <v>55+</v>
      </c>
      <c r="F594" t="s">
        <v>67</v>
      </c>
      <c r="G594" t="s">
        <v>27</v>
      </c>
      <c r="H594" t="s">
        <v>20</v>
      </c>
      <c r="I594">
        <v>3</v>
      </c>
      <c r="J594" t="s">
        <v>47</v>
      </c>
      <c r="K594">
        <v>25</v>
      </c>
      <c r="L594" t="str">
        <f t="shared" si="37"/>
        <v>2+years</v>
      </c>
      <c r="M594" t="s">
        <v>97</v>
      </c>
      <c r="N594">
        <v>900</v>
      </c>
      <c r="O594">
        <v>20</v>
      </c>
      <c r="P594">
        <v>18000</v>
      </c>
      <c r="Q594">
        <f t="shared" si="38"/>
        <v>900</v>
      </c>
      <c r="R594" s="13">
        <v>196.6</v>
      </c>
      <c r="S594" t="s">
        <v>36</v>
      </c>
      <c r="T594">
        <f t="shared" si="39"/>
        <v>0</v>
      </c>
      <c r="U594">
        <v>0</v>
      </c>
      <c r="V594">
        <v>0</v>
      </c>
      <c r="W594">
        <v>0</v>
      </c>
    </row>
    <row r="595" spans="1:23" x14ac:dyDescent="0.35">
      <c r="A595" s="7" t="s">
        <v>678</v>
      </c>
      <c r="B595" t="s">
        <v>679</v>
      </c>
      <c r="C595" s="1">
        <v>45741</v>
      </c>
      <c r="D595">
        <v>57</v>
      </c>
      <c r="E595" t="str">
        <f t="shared" si="36"/>
        <v>55+</v>
      </c>
      <c r="F595" t="s">
        <v>67</v>
      </c>
      <c r="G595" t="s">
        <v>38</v>
      </c>
      <c r="H595" t="s">
        <v>20</v>
      </c>
      <c r="I595">
        <v>3</v>
      </c>
      <c r="J595" t="s">
        <v>47</v>
      </c>
      <c r="K595">
        <v>25</v>
      </c>
      <c r="L595" t="str">
        <f t="shared" si="37"/>
        <v>2+years</v>
      </c>
      <c r="M595" t="s">
        <v>39</v>
      </c>
      <c r="N595">
        <v>9000</v>
      </c>
      <c r="O595">
        <v>10</v>
      </c>
      <c r="P595">
        <v>90000</v>
      </c>
      <c r="Q595">
        <f t="shared" si="38"/>
        <v>9000</v>
      </c>
      <c r="R595" s="13">
        <v>103.76</v>
      </c>
      <c r="S595" t="s">
        <v>36</v>
      </c>
      <c r="T595">
        <f t="shared" si="39"/>
        <v>0</v>
      </c>
      <c r="U595">
        <v>0</v>
      </c>
      <c r="V595">
        <v>0</v>
      </c>
      <c r="W595">
        <v>0</v>
      </c>
    </row>
    <row r="596" spans="1:23" x14ac:dyDescent="0.35">
      <c r="A596" s="7" t="s">
        <v>680</v>
      </c>
      <c r="B596" t="s">
        <v>681</v>
      </c>
      <c r="C596" s="1">
        <v>45741</v>
      </c>
      <c r="D596">
        <v>54</v>
      </c>
      <c r="E596" t="str">
        <f t="shared" si="36"/>
        <v>45-54</v>
      </c>
      <c r="F596" t="s">
        <v>108</v>
      </c>
      <c r="G596" t="s">
        <v>33</v>
      </c>
      <c r="H596" t="s">
        <v>20</v>
      </c>
      <c r="I596">
        <v>1</v>
      </c>
      <c r="J596" t="s">
        <v>34</v>
      </c>
      <c r="K596">
        <v>55</v>
      </c>
      <c r="L596" t="str">
        <f t="shared" si="37"/>
        <v>2+years</v>
      </c>
      <c r="M596" t="s">
        <v>35</v>
      </c>
      <c r="N596">
        <v>20000</v>
      </c>
      <c r="O596">
        <v>12</v>
      </c>
      <c r="P596">
        <v>240000</v>
      </c>
      <c r="Q596">
        <f t="shared" si="38"/>
        <v>20000</v>
      </c>
      <c r="R596" s="13">
        <v>8.0299999999999994</v>
      </c>
      <c r="S596" t="s">
        <v>36</v>
      </c>
      <c r="T596">
        <f t="shared" si="39"/>
        <v>0</v>
      </c>
      <c r="U596">
        <v>0</v>
      </c>
      <c r="V596">
        <v>0</v>
      </c>
      <c r="W596">
        <v>0</v>
      </c>
    </row>
    <row r="597" spans="1:23" x14ac:dyDescent="0.35">
      <c r="A597" s="7" t="s">
        <v>680</v>
      </c>
      <c r="B597" t="s">
        <v>681</v>
      </c>
      <c r="C597" s="1">
        <v>45741</v>
      </c>
      <c r="D597">
        <v>54</v>
      </c>
      <c r="E597" t="str">
        <f t="shared" si="36"/>
        <v>45-54</v>
      </c>
      <c r="F597" t="s">
        <v>108</v>
      </c>
      <c r="G597" t="s">
        <v>27</v>
      </c>
      <c r="H597" t="s">
        <v>20</v>
      </c>
      <c r="I597">
        <v>1</v>
      </c>
      <c r="J597" t="s">
        <v>34</v>
      </c>
      <c r="K597">
        <v>55</v>
      </c>
      <c r="L597" t="str">
        <f t="shared" si="37"/>
        <v>2+years</v>
      </c>
      <c r="M597" t="s">
        <v>159</v>
      </c>
      <c r="N597">
        <v>600</v>
      </c>
      <c r="O597">
        <v>12</v>
      </c>
      <c r="P597">
        <v>7200</v>
      </c>
      <c r="Q597">
        <f t="shared" si="38"/>
        <v>600</v>
      </c>
      <c r="R597" s="13">
        <v>28.11</v>
      </c>
      <c r="S597" t="s">
        <v>36</v>
      </c>
      <c r="T597">
        <f t="shared" si="39"/>
        <v>0</v>
      </c>
      <c r="U597">
        <v>0</v>
      </c>
      <c r="V597">
        <v>0</v>
      </c>
      <c r="W597">
        <v>0</v>
      </c>
    </row>
    <row r="598" spans="1:23" x14ac:dyDescent="0.35">
      <c r="A598" s="7" t="s">
        <v>680</v>
      </c>
      <c r="B598" t="s">
        <v>681</v>
      </c>
      <c r="C598" s="1">
        <v>45741</v>
      </c>
      <c r="D598">
        <v>54</v>
      </c>
      <c r="E598" t="str">
        <f t="shared" si="36"/>
        <v>45-54</v>
      </c>
      <c r="F598" t="s">
        <v>108</v>
      </c>
      <c r="G598" t="s">
        <v>38</v>
      </c>
      <c r="H598" t="s">
        <v>20</v>
      </c>
      <c r="I598">
        <v>1</v>
      </c>
      <c r="J598" t="s">
        <v>34</v>
      </c>
      <c r="K598">
        <v>55</v>
      </c>
      <c r="L598" t="str">
        <f t="shared" si="37"/>
        <v>2+years</v>
      </c>
      <c r="M598" t="s">
        <v>59</v>
      </c>
      <c r="N598">
        <v>24000</v>
      </c>
      <c r="O598">
        <v>9</v>
      </c>
      <c r="P598">
        <v>216000</v>
      </c>
      <c r="Q598">
        <f t="shared" si="38"/>
        <v>24000</v>
      </c>
      <c r="R598" s="13">
        <v>50.35</v>
      </c>
      <c r="S598" t="s">
        <v>36</v>
      </c>
      <c r="T598">
        <f t="shared" si="39"/>
        <v>0</v>
      </c>
      <c r="U598">
        <v>0</v>
      </c>
      <c r="V598">
        <v>0</v>
      </c>
      <c r="W598">
        <v>0</v>
      </c>
    </row>
    <row r="599" spans="1:23" x14ac:dyDescent="0.35">
      <c r="A599" s="7" t="s">
        <v>682</v>
      </c>
      <c r="B599" t="s">
        <v>683</v>
      </c>
      <c r="C599" s="1">
        <v>45682</v>
      </c>
      <c r="D599">
        <v>27</v>
      </c>
      <c r="E599" t="str">
        <f t="shared" si="36"/>
        <v>25-34</v>
      </c>
      <c r="F599" t="s">
        <v>78</v>
      </c>
      <c r="G599" t="s">
        <v>27</v>
      </c>
      <c r="H599" t="s">
        <v>20</v>
      </c>
      <c r="I599">
        <v>3</v>
      </c>
      <c r="J599" t="s">
        <v>47</v>
      </c>
      <c r="K599">
        <v>47</v>
      </c>
      <c r="L599" t="str">
        <f t="shared" si="37"/>
        <v>2+years</v>
      </c>
      <c r="M599" t="s">
        <v>79</v>
      </c>
      <c r="N599">
        <v>1000</v>
      </c>
      <c r="O599">
        <v>10</v>
      </c>
      <c r="P599">
        <v>10000</v>
      </c>
      <c r="Q599">
        <f t="shared" si="38"/>
        <v>1000</v>
      </c>
      <c r="R599" s="13">
        <v>119.25</v>
      </c>
      <c r="S599" t="s">
        <v>36</v>
      </c>
      <c r="T599">
        <f t="shared" si="39"/>
        <v>0</v>
      </c>
      <c r="U599">
        <v>0</v>
      </c>
      <c r="V599">
        <v>0</v>
      </c>
      <c r="W599">
        <v>0</v>
      </c>
    </row>
    <row r="600" spans="1:23" x14ac:dyDescent="0.35">
      <c r="A600" s="7" t="s">
        <v>684</v>
      </c>
      <c r="B600" t="s">
        <v>685</v>
      </c>
      <c r="C600" s="1">
        <v>45741</v>
      </c>
      <c r="D600">
        <v>64</v>
      </c>
      <c r="E600" t="str">
        <f t="shared" si="36"/>
        <v>55+</v>
      </c>
      <c r="F600" t="s">
        <v>291</v>
      </c>
      <c r="G600" t="s">
        <v>27</v>
      </c>
      <c r="H600" t="s">
        <v>20</v>
      </c>
      <c r="I600">
        <v>3</v>
      </c>
      <c r="J600" t="s">
        <v>47</v>
      </c>
      <c r="K600">
        <v>59</v>
      </c>
      <c r="L600" t="str">
        <f t="shared" si="37"/>
        <v>2+years</v>
      </c>
      <c r="M600" t="s">
        <v>69</v>
      </c>
      <c r="N600">
        <v>350</v>
      </c>
      <c r="O600">
        <v>20</v>
      </c>
      <c r="P600">
        <v>7000</v>
      </c>
      <c r="Q600">
        <f t="shared" si="38"/>
        <v>350</v>
      </c>
      <c r="R600" s="13">
        <v>149.66</v>
      </c>
      <c r="S600" t="s">
        <v>36</v>
      </c>
      <c r="T600">
        <f t="shared" si="39"/>
        <v>0</v>
      </c>
      <c r="U600">
        <v>0</v>
      </c>
      <c r="V600">
        <v>0</v>
      </c>
      <c r="W600">
        <v>0</v>
      </c>
    </row>
    <row r="601" spans="1:23" x14ac:dyDescent="0.35">
      <c r="A601" s="7" t="s">
        <v>684</v>
      </c>
      <c r="B601" t="s">
        <v>685</v>
      </c>
      <c r="C601" s="1">
        <v>45741</v>
      </c>
      <c r="D601">
        <v>64</v>
      </c>
      <c r="E601" t="str">
        <f t="shared" si="36"/>
        <v>55+</v>
      </c>
      <c r="F601" t="s">
        <v>291</v>
      </c>
      <c r="G601" t="s">
        <v>38</v>
      </c>
      <c r="H601" t="s">
        <v>20</v>
      </c>
      <c r="I601">
        <v>3</v>
      </c>
      <c r="J601" t="s">
        <v>47</v>
      </c>
      <c r="K601">
        <v>59</v>
      </c>
      <c r="L601" t="str">
        <f t="shared" si="37"/>
        <v>2+years</v>
      </c>
      <c r="M601" t="s">
        <v>39</v>
      </c>
      <c r="N601">
        <v>9000</v>
      </c>
      <c r="O601">
        <v>13</v>
      </c>
      <c r="P601">
        <v>117000</v>
      </c>
      <c r="Q601">
        <f t="shared" si="38"/>
        <v>9000</v>
      </c>
      <c r="R601" s="13">
        <v>126.96</v>
      </c>
      <c r="S601" t="s">
        <v>36</v>
      </c>
      <c r="T601">
        <f t="shared" si="39"/>
        <v>0</v>
      </c>
      <c r="U601">
        <v>0</v>
      </c>
      <c r="V601">
        <v>0</v>
      </c>
      <c r="W601">
        <v>0</v>
      </c>
    </row>
    <row r="602" spans="1:23" x14ac:dyDescent="0.35">
      <c r="A602" s="7" t="s">
        <v>686</v>
      </c>
      <c r="B602" t="s">
        <v>687</v>
      </c>
      <c r="C602" s="1">
        <v>45713</v>
      </c>
      <c r="D602">
        <v>55</v>
      </c>
      <c r="E602" t="str">
        <f t="shared" si="36"/>
        <v>55+</v>
      </c>
      <c r="F602" t="s">
        <v>72</v>
      </c>
      <c r="G602" t="s">
        <v>27</v>
      </c>
      <c r="H602" t="s">
        <v>20</v>
      </c>
      <c r="I602">
        <v>3</v>
      </c>
      <c r="J602" t="s">
        <v>47</v>
      </c>
      <c r="K602">
        <v>21</v>
      </c>
      <c r="L602" t="str">
        <f t="shared" si="37"/>
        <v>1-2 years</v>
      </c>
      <c r="M602" t="s">
        <v>55</v>
      </c>
      <c r="N602">
        <v>16000</v>
      </c>
      <c r="O602">
        <v>13</v>
      </c>
      <c r="P602">
        <v>208000</v>
      </c>
      <c r="Q602">
        <f t="shared" si="38"/>
        <v>16000</v>
      </c>
      <c r="R602" s="13">
        <v>134.88999999999999</v>
      </c>
      <c r="S602" t="s">
        <v>36</v>
      </c>
      <c r="T602">
        <f t="shared" si="39"/>
        <v>0</v>
      </c>
      <c r="U602">
        <v>0</v>
      </c>
      <c r="V602">
        <v>0</v>
      </c>
      <c r="W602">
        <v>0</v>
      </c>
    </row>
    <row r="603" spans="1:23" x14ac:dyDescent="0.35">
      <c r="A603" s="7" t="s">
        <v>688</v>
      </c>
      <c r="B603" t="s">
        <v>689</v>
      </c>
      <c r="C603" s="1">
        <v>45741</v>
      </c>
      <c r="D603">
        <v>80</v>
      </c>
      <c r="E603" t="str">
        <f t="shared" si="36"/>
        <v>55+</v>
      </c>
      <c r="F603" t="s">
        <v>291</v>
      </c>
      <c r="G603" t="s">
        <v>27</v>
      </c>
      <c r="H603" t="s">
        <v>20</v>
      </c>
      <c r="I603">
        <v>4</v>
      </c>
      <c r="J603" t="s">
        <v>109</v>
      </c>
      <c r="K603">
        <v>28</v>
      </c>
      <c r="L603" t="str">
        <f t="shared" si="37"/>
        <v>2+years</v>
      </c>
      <c r="M603" t="s">
        <v>97</v>
      </c>
      <c r="N603">
        <v>900</v>
      </c>
      <c r="O603">
        <v>9</v>
      </c>
      <c r="P603">
        <v>8100</v>
      </c>
      <c r="Q603">
        <f t="shared" si="38"/>
        <v>900</v>
      </c>
      <c r="R603" s="13">
        <v>109.86</v>
      </c>
      <c r="S603" t="s">
        <v>23</v>
      </c>
      <c r="T603">
        <f t="shared" si="39"/>
        <v>1</v>
      </c>
      <c r="U603">
        <v>0</v>
      </c>
      <c r="V603">
        <v>0</v>
      </c>
      <c r="W603">
        <v>0</v>
      </c>
    </row>
    <row r="604" spans="1:23" x14ac:dyDescent="0.35">
      <c r="A604" s="7" t="s">
        <v>690</v>
      </c>
      <c r="B604" t="s">
        <v>691</v>
      </c>
      <c r="C604" s="1">
        <v>45713</v>
      </c>
      <c r="D604">
        <v>67</v>
      </c>
      <c r="E604" t="str">
        <f t="shared" si="36"/>
        <v>55+</v>
      </c>
      <c r="F604" t="s">
        <v>183</v>
      </c>
      <c r="G604" t="s">
        <v>27</v>
      </c>
      <c r="H604" t="s">
        <v>28</v>
      </c>
      <c r="I604">
        <v>2</v>
      </c>
      <c r="J604" t="s">
        <v>21</v>
      </c>
      <c r="K604">
        <v>50</v>
      </c>
      <c r="L604" t="str">
        <f t="shared" si="37"/>
        <v>2+years</v>
      </c>
      <c r="M604" t="s">
        <v>83</v>
      </c>
      <c r="N604">
        <v>7500</v>
      </c>
      <c r="O604">
        <v>7</v>
      </c>
      <c r="P604">
        <v>52500</v>
      </c>
      <c r="Q604">
        <f t="shared" si="38"/>
        <v>7500</v>
      </c>
      <c r="R604" s="13">
        <v>130.62</v>
      </c>
      <c r="S604" t="s">
        <v>36</v>
      </c>
      <c r="T604">
        <f t="shared" si="39"/>
        <v>0</v>
      </c>
      <c r="U604">
        <v>0</v>
      </c>
      <c r="V604">
        <v>0</v>
      </c>
      <c r="W604">
        <v>0</v>
      </c>
    </row>
    <row r="605" spans="1:23" x14ac:dyDescent="0.35">
      <c r="A605" s="7" t="s">
        <v>692</v>
      </c>
      <c r="B605" t="s">
        <v>693</v>
      </c>
      <c r="C605" s="1">
        <v>45713</v>
      </c>
      <c r="D605">
        <v>47</v>
      </c>
      <c r="E605" t="str">
        <f t="shared" si="36"/>
        <v>45-54</v>
      </c>
      <c r="F605" t="s">
        <v>67</v>
      </c>
      <c r="G605" t="s">
        <v>38</v>
      </c>
      <c r="H605" t="s">
        <v>20</v>
      </c>
      <c r="I605">
        <v>3</v>
      </c>
      <c r="J605" t="s">
        <v>47</v>
      </c>
      <c r="K605">
        <v>18</v>
      </c>
      <c r="L605" t="str">
        <f t="shared" si="37"/>
        <v>1-2 years</v>
      </c>
      <c r="M605" t="s">
        <v>68</v>
      </c>
      <c r="N605">
        <v>14500</v>
      </c>
      <c r="O605">
        <v>7</v>
      </c>
      <c r="P605">
        <v>101500</v>
      </c>
      <c r="Q605">
        <f t="shared" si="38"/>
        <v>14500</v>
      </c>
      <c r="R605" s="13">
        <v>73.37</v>
      </c>
      <c r="S605" t="s">
        <v>36</v>
      </c>
      <c r="T605">
        <f t="shared" si="39"/>
        <v>0</v>
      </c>
      <c r="U605">
        <v>0</v>
      </c>
      <c r="V605">
        <v>0</v>
      </c>
      <c r="W605">
        <v>0</v>
      </c>
    </row>
    <row r="606" spans="1:23" x14ac:dyDescent="0.35">
      <c r="A606" s="7" t="s">
        <v>692</v>
      </c>
      <c r="B606" t="s">
        <v>693</v>
      </c>
      <c r="C606" s="1">
        <v>45713</v>
      </c>
      <c r="D606">
        <v>47</v>
      </c>
      <c r="E606" t="str">
        <f t="shared" si="36"/>
        <v>45-54</v>
      </c>
      <c r="F606" t="s">
        <v>67</v>
      </c>
      <c r="G606" t="s">
        <v>27</v>
      </c>
      <c r="H606" t="s">
        <v>20</v>
      </c>
      <c r="I606">
        <v>3</v>
      </c>
      <c r="J606" t="s">
        <v>47</v>
      </c>
      <c r="K606">
        <v>18</v>
      </c>
      <c r="L606" t="str">
        <f t="shared" si="37"/>
        <v>1-2 years</v>
      </c>
      <c r="M606" t="s">
        <v>53</v>
      </c>
      <c r="N606">
        <v>3500</v>
      </c>
      <c r="O606">
        <v>1</v>
      </c>
      <c r="P606">
        <v>3500</v>
      </c>
      <c r="Q606">
        <f t="shared" si="38"/>
        <v>3500</v>
      </c>
      <c r="R606" s="13">
        <v>69.23</v>
      </c>
      <c r="S606" t="s">
        <v>36</v>
      </c>
      <c r="T606">
        <f t="shared" si="39"/>
        <v>0</v>
      </c>
      <c r="U606">
        <v>0</v>
      </c>
      <c r="V606">
        <v>0</v>
      </c>
      <c r="W606">
        <v>0</v>
      </c>
    </row>
    <row r="607" spans="1:23" x14ac:dyDescent="0.35">
      <c r="A607" s="7" t="s">
        <v>692</v>
      </c>
      <c r="B607" t="s">
        <v>693</v>
      </c>
      <c r="C607" s="1">
        <v>45713</v>
      </c>
      <c r="D607">
        <v>47</v>
      </c>
      <c r="E607" t="str">
        <f t="shared" si="36"/>
        <v>45-54</v>
      </c>
      <c r="F607" t="s">
        <v>67</v>
      </c>
      <c r="G607" t="s">
        <v>19</v>
      </c>
      <c r="H607" t="s">
        <v>20</v>
      </c>
      <c r="I607">
        <v>3</v>
      </c>
      <c r="J607" t="s">
        <v>47</v>
      </c>
      <c r="K607">
        <v>18</v>
      </c>
      <c r="L607" t="str">
        <f t="shared" si="37"/>
        <v>1-2 years</v>
      </c>
      <c r="M607" t="s">
        <v>48</v>
      </c>
      <c r="N607">
        <v>9000</v>
      </c>
      <c r="O607">
        <v>12</v>
      </c>
      <c r="P607">
        <v>108000</v>
      </c>
      <c r="Q607">
        <f t="shared" si="38"/>
        <v>9000</v>
      </c>
      <c r="R607" s="13">
        <v>34.270000000000003</v>
      </c>
      <c r="S607" t="s">
        <v>36</v>
      </c>
      <c r="T607">
        <f t="shared" si="39"/>
        <v>0</v>
      </c>
      <c r="U607">
        <v>0</v>
      </c>
      <c r="V607">
        <v>0</v>
      </c>
      <c r="W607">
        <v>0</v>
      </c>
    </row>
    <row r="608" spans="1:23" x14ac:dyDescent="0.35">
      <c r="A608" s="7" t="s">
        <v>694</v>
      </c>
      <c r="B608" t="s">
        <v>695</v>
      </c>
      <c r="C608" s="1">
        <v>45713</v>
      </c>
      <c r="D608">
        <v>34</v>
      </c>
      <c r="E608" t="str">
        <f t="shared" si="36"/>
        <v>25-34</v>
      </c>
      <c r="F608" t="s">
        <v>192</v>
      </c>
      <c r="G608" t="s">
        <v>38</v>
      </c>
      <c r="H608" t="s">
        <v>20</v>
      </c>
      <c r="I608">
        <v>2</v>
      </c>
      <c r="J608" t="s">
        <v>21</v>
      </c>
      <c r="K608">
        <v>60</v>
      </c>
      <c r="L608" t="str">
        <f t="shared" si="37"/>
        <v>2+years</v>
      </c>
      <c r="M608" t="s">
        <v>39</v>
      </c>
      <c r="N608">
        <v>9000</v>
      </c>
      <c r="O608">
        <v>8</v>
      </c>
      <c r="P608">
        <v>72000</v>
      </c>
      <c r="Q608">
        <f t="shared" si="38"/>
        <v>9000</v>
      </c>
      <c r="R608" s="13">
        <v>148.05000000000001</v>
      </c>
      <c r="S608" t="s">
        <v>36</v>
      </c>
      <c r="T608">
        <f t="shared" si="39"/>
        <v>0</v>
      </c>
      <c r="U608">
        <v>0</v>
      </c>
      <c r="V608">
        <v>0</v>
      </c>
      <c r="W608">
        <v>0</v>
      </c>
    </row>
    <row r="609" spans="1:23" x14ac:dyDescent="0.35">
      <c r="A609" s="7" t="s">
        <v>696</v>
      </c>
      <c r="B609" t="s">
        <v>697</v>
      </c>
      <c r="C609" s="1">
        <v>45682</v>
      </c>
      <c r="D609">
        <v>52</v>
      </c>
      <c r="E609" t="str">
        <f t="shared" si="36"/>
        <v>45-54</v>
      </c>
      <c r="F609" t="s">
        <v>444</v>
      </c>
      <c r="G609" t="s">
        <v>33</v>
      </c>
      <c r="H609" t="s">
        <v>28</v>
      </c>
      <c r="I609">
        <v>3</v>
      </c>
      <c r="J609" t="s">
        <v>47</v>
      </c>
      <c r="K609">
        <v>45</v>
      </c>
      <c r="L609" t="str">
        <f t="shared" si="37"/>
        <v>2+years</v>
      </c>
      <c r="M609" t="s">
        <v>68</v>
      </c>
      <c r="N609">
        <v>14500</v>
      </c>
      <c r="O609">
        <v>7</v>
      </c>
      <c r="P609">
        <v>101500</v>
      </c>
      <c r="Q609">
        <f t="shared" si="38"/>
        <v>14500</v>
      </c>
      <c r="R609" s="13">
        <v>148.13</v>
      </c>
      <c r="S609" t="s">
        <v>36</v>
      </c>
      <c r="T609">
        <f t="shared" si="39"/>
        <v>0</v>
      </c>
      <c r="U609">
        <v>0</v>
      </c>
      <c r="V609">
        <v>0</v>
      </c>
      <c r="W609">
        <v>0</v>
      </c>
    </row>
    <row r="610" spans="1:23" x14ac:dyDescent="0.35">
      <c r="A610" s="7" t="s">
        <v>698</v>
      </c>
      <c r="B610" t="s">
        <v>699</v>
      </c>
      <c r="C610" s="1">
        <v>45682</v>
      </c>
      <c r="D610">
        <v>49</v>
      </c>
      <c r="E610" t="str">
        <f t="shared" si="36"/>
        <v>45-54</v>
      </c>
      <c r="F610" t="s">
        <v>207</v>
      </c>
      <c r="G610" t="s">
        <v>38</v>
      </c>
      <c r="H610" t="s">
        <v>20</v>
      </c>
      <c r="I610">
        <v>4</v>
      </c>
      <c r="J610" t="s">
        <v>109</v>
      </c>
      <c r="K610">
        <v>45</v>
      </c>
      <c r="L610" t="str">
        <f t="shared" si="37"/>
        <v>2+years</v>
      </c>
      <c r="M610" t="s">
        <v>39</v>
      </c>
      <c r="N610">
        <v>9000</v>
      </c>
      <c r="O610">
        <v>20</v>
      </c>
      <c r="P610">
        <v>180000</v>
      </c>
      <c r="Q610">
        <f t="shared" si="38"/>
        <v>9000</v>
      </c>
      <c r="R610" s="13">
        <v>57.16</v>
      </c>
      <c r="S610" t="s">
        <v>36</v>
      </c>
      <c r="T610">
        <f t="shared" si="39"/>
        <v>0</v>
      </c>
      <c r="U610">
        <v>0</v>
      </c>
      <c r="V610">
        <v>0</v>
      </c>
      <c r="W610">
        <v>0</v>
      </c>
    </row>
    <row r="611" spans="1:23" x14ac:dyDescent="0.35">
      <c r="A611" s="7" t="s">
        <v>698</v>
      </c>
      <c r="B611" t="s">
        <v>699</v>
      </c>
      <c r="C611" s="1">
        <v>45682</v>
      </c>
      <c r="D611">
        <v>49</v>
      </c>
      <c r="E611" t="str">
        <f t="shared" si="36"/>
        <v>45-54</v>
      </c>
      <c r="F611" t="s">
        <v>207</v>
      </c>
      <c r="G611" t="s">
        <v>19</v>
      </c>
      <c r="H611" t="s">
        <v>20</v>
      </c>
      <c r="I611">
        <v>4</v>
      </c>
      <c r="J611" t="s">
        <v>109</v>
      </c>
      <c r="K611">
        <v>45</v>
      </c>
      <c r="L611" t="str">
        <f t="shared" si="37"/>
        <v>2+years</v>
      </c>
      <c r="M611" t="s">
        <v>48</v>
      </c>
      <c r="N611">
        <v>9000</v>
      </c>
      <c r="O611">
        <v>1</v>
      </c>
      <c r="P611">
        <v>9000</v>
      </c>
      <c r="Q611">
        <f t="shared" si="38"/>
        <v>9000</v>
      </c>
      <c r="R611" s="13">
        <v>11.09</v>
      </c>
      <c r="S611" t="s">
        <v>36</v>
      </c>
      <c r="T611">
        <f t="shared" si="39"/>
        <v>0</v>
      </c>
      <c r="U611">
        <v>0</v>
      </c>
      <c r="V611">
        <v>0</v>
      </c>
      <c r="W611">
        <v>0</v>
      </c>
    </row>
    <row r="612" spans="1:23" x14ac:dyDescent="0.35">
      <c r="A612" s="7" t="s">
        <v>698</v>
      </c>
      <c r="B612" t="s">
        <v>699</v>
      </c>
      <c r="C612" s="1">
        <v>45682</v>
      </c>
      <c r="D612">
        <v>49</v>
      </c>
      <c r="E612" t="str">
        <f t="shared" si="36"/>
        <v>45-54</v>
      </c>
      <c r="F612" t="s">
        <v>207</v>
      </c>
      <c r="G612" t="s">
        <v>27</v>
      </c>
      <c r="H612" t="s">
        <v>20</v>
      </c>
      <c r="I612">
        <v>4</v>
      </c>
      <c r="J612" t="s">
        <v>109</v>
      </c>
      <c r="K612">
        <v>45</v>
      </c>
      <c r="L612" t="str">
        <f t="shared" si="37"/>
        <v>2+years</v>
      </c>
      <c r="M612" t="s">
        <v>79</v>
      </c>
      <c r="N612">
        <v>1000</v>
      </c>
      <c r="O612">
        <v>9</v>
      </c>
      <c r="P612">
        <v>9000</v>
      </c>
      <c r="Q612">
        <f t="shared" si="38"/>
        <v>1000</v>
      </c>
      <c r="R612" s="13">
        <v>78.03</v>
      </c>
      <c r="S612" t="s">
        <v>36</v>
      </c>
      <c r="T612">
        <f t="shared" si="39"/>
        <v>0</v>
      </c>
      <c r="U612">
        <v>0</v>
      </c>
      <c r="V612">
        <v>0</v>
      </c>
      <c r="W612">
        <v>0</v>
      </c>
    </row>
    <row r="613" spans="1:23" x14ac:dyDescent="0.35">
      <c r="A613" s="7" t="s">
        <v>700</v>
      </c>
      <c r="B613" t="s">
        <v>701</v>
      </c>
      <c r="C613" s="1">
        <v>45713</v>
      </c>
      <c r="D613">
        <v>29</v>
      </c>
      <c r="E613" t="str">
        <f t="shared" si="36"/>
        <v>25-34</v>
      </c>
      <c r="F613" t="s">
        <v>113</v>
      </c>
      <c r="G613" t="s">
        <v>38</v>
      </c>
      <c r="H613" t="s">
        <v>28</v>
      </c>
      <c r="I613">
        <v>2</v>
      </c>
      <c r="J613" t="s">
        <v>21</v>
      </c>
      <c r="K613">
        <v>56</v>
      </c>
      <c r="L613" t="str">
        <f t="shared" si="37"/>
        <v>2+years</v>
      </c>
      <c r="M613" t="s">
        <v>59</v>
      </c>
      <c r="N613">
        <v>24000</v>
      </c>
      <c r="O613">
        <v>6</v>
      </c>
      <c r="P613">
        <v>144000</v>
      </c>
      <c r="Q613">
        <f t="shared" si="38"/>
        <v>24000</v>
      </c>
      <c r="R613" s="13">
        <v>106.55</v>
      </c>
      <c r="S613" t="s">
        <v>36</v>
      </c>
      <c r="T613">
        <f t="shared" si="39"/>
        <v>0</v>
      </c>
      <c r="U613">
        <v>0</v>
      </c>
      <c r="V613">
        <v>0</v>
      </c>
      <c r="W613">
        <v>0</v>
      </c>
    </row>
    <row r="614" spans="1:23" x14ac:dyDescent="0.35">
      <c r="A614" s="7" t="s">
        <v>700</v>
      </c>
      <c r="B614" t="s">
        <v>701</v>
      </c>
      <c r="C614" s="1">
        <v>45713</v>
      </c>
      <c r="D614">
        <v>29</v>
      </c>
      <c r="E614" t="str">
        <f t="shared" si="36"/>
        <v>25-34</v>
      </c>
      <c r="F614" t="s">
        <v>113</v>
      </c>
      <c r="G614" t="s">
        <v>19</v>
      </c>
      <c r="H614" t="s">
        <v>28</v>
      </c>
      <c r="I614">
        <v>2</v>
      </c>
      <c r="J614" t="s">
        <v>21</v>
      </c>
      <c r="K614">
        <v>56</v>
      </c>
      <c r="L614" t="str">
        <f t="shared" si="37"/>
        <v>2+years</v>
      </c>
      <c r="M614" t="s">
        <v>43</v>
      </c>
      <c r="N614">
        <v>4500</v>
      </c>
      <c r="O614">
        <v>15</v>
      </c>
      <c r="P614">
        <v>67500</v>
      </c>
      <c r="Q614">
        <f t="shared" si="38"/>
        <v>4500</v>
      </c>
      <c r="R614" s="13">
        <v>100.38</v>
      </c>
      <c r="S614" t="s">
        <v>36</v>
      </c>
      <c r="T614">
        <f t="shared" si="39"/>
        <v>0</v>
      </c>
      <c r="U614">
        <v>0</v>
      </c>
      <c r="V614">
        <v>0</v>
      </c>
      <c r="W614">
        <v>0</v>
      </c>
    </row>
    <row r="615" spans="1:23" x14ac:dyDescent="0.35">
      <c r="A615" s="7" t="s">
        <v>700</v>
      </c>
      <c r="B615" t="s">
        <v>701</v>
      </c>
      <c r="C615" s="1">
        <v>45713</v>
      </c>
      <c r="D615">
        <v>29</v>
      </c>
      <c r="E615" t="str">
        <f t="shared" si="36"/>
        <v>25-34</v>
      </c>
      <c r="F615" t="s">
        <v>113</v>
      </c>
      <c r="G615" t="s">
        <v>33</v>
      </c>
      <c r="H615" t="s">
        <v>28</v>
      </c>
      <c r="I615">
        <v>2</v>
      </c>
      <c r="J615" t="s">
        <v>21</v>
      </c>
      <c r="K615">
        <v>56</v>
      </c>
      <c r="L615" t="str">
        <f t="shared" si="37"/>
        <v>2+years</v>
      </c>
      <c r="M615" t="s">
        <v>39</v>
      </c>
      <c r="N615">
        <v>9000</v>
      </c>
      <c r="O615">
        <v>17</v>
      </c>
      <c r="P615">
        <v>153000</v>
      </c>
      <c r="Q615">
        <f t="shared" si="38"/>
        <v>9000</v>
      </c>
      <c r="R615" s="13">
        <v>8.43</v>
      </c>
      <c r="S615" t="s">
        <v>36</v>
      </c>
      <c r="T615">
        <f t="shared" si="39"/>
        <v>0</v>
      </c>
      <c r="U615">
        <v>0</v>
      </c>
      <c r="V615">
        <v>0</v>
      </c>
      <c r="W615">
        <v>0</v>
      </c>
    </row>
    <row r="616" spans="1:23" x14ac:dyDescent="0.35">
      <c r="A616" s="7" t="s">
        <v>702</v>
      </c>
      <c r="B616" t="s">
        <v>703</v>
      </c>
      <c r="C616" s="1">
        <v>45713</v>
      </c>
      <c r="D616">
        <v>58</v>
      </c>
      <c r="E616" t="str">
        <f t="shared" si="36"/>
        <v>55+</v>
      </c>
      <c r="F616" t="s">
        <v>86</v>
      </c>
      <c r="G616" t="s">
        <v>33</v>
      </c>
      <c r="H616" t="s">
        <v>28</v>
      </c>
      <c r="I616">
        <v>1</v>
      </c>
      <c r="J616" t="s">
        <v>34</v>
      </c>
      <c r="K616">
        <v>48</v>
      </c>
      <c r="L616" t="str">
        <f t="shared" si="37"/>
        <v>2+years</v>
      </c>
      <c r="M616" t="s">
        <v>59</v>
      </c>
      <c r="N616">
        <v>24000</v>
      </c>
      <c r="O616">
        <v>17</v>
      </c>
      <c r="P616">
        <v>408000</v>
      </c>
      <c r="Q616">
        <f t="shared" si="38"/>
        <v>24000</v>
      </c>
      <c r="R616" s="13">
        <v>47.62</v>
      </c>
      <c r="S616" t="s">
        <v>36</v>
      </c>
      <c r="T616">
        <f t="shared" si="39"/>
        <v>0</v>
      </c>
      <c r="U616">
        <v>0</v>
      </c>
      <c r="V616">
        <v>0</v>
      </c>
      <c r="W616">
        <v>0</v>
      </c>
    </row>
    <row r="617" spans="1:23" x14ac:dyDescent="0.35">
      <c r="A617" s="7" t="s">
        <v>702</v>
      </c>
      <c r="B617" t="s">
        <v>703</v>
      </c>
      <c r="C617" s="1">
        <v>45713</v>
      </c>
      <c r="D617">
        <v>58</v>
      </c>
      <c r="E617" t="str">
        <f t="shared" si="36"/>
        <v>55+</v>
      </c>
      <c r="F617" t="s">
        <v>86</v>
      </c>
      <c r="G617" t="s">
        <v>27</v>
      </c>
      <c r="H617" t="s">
        <v>28</v>
      </c>
      <c r="I617">
        <v>1</v>
      </c>
      <c r="J617" t="s">
        <v>34</v>
      </c>
      <c r="K617">
        <v>48</v>
      </c>
      <c r="L617" t="str">
        <f t="shared" si="37"/>
        <v>2+years</v>
      </c>
      <c r="M617" t="s">
        <v>37</v>
      </c>
      <c r="N617">
        <v>500</v>
      </c>
      <c r="O617">
        <v>9</v>
      </c>
      <c r="P617">
        <v>4500</v>
      </c>
      <c r="Q617">
        <f t="shared" si="38"/>
        <v>500</v>
      </c>
      <c r="R617" s="13">
        <v>162.47</v>
      </c>
      <c r="S617" t="s">
        <v>36</v>
      </c>
      <c r="T617">
        <f t="shared" si="39"/>
        <v>0</v>
      </c>
      <c r="U617">
        <v>0</v>
      </c>
      <c r="V617">
        <v>0</v>
      </c>
      <c r="W617">
        <v>0</v>
      </c>
    </row>
    <row r="618" spans="1:23" x14ac:dyDescent="0.35">
      <c r="A618" s="7" t="s">
        <v>704</v>
      </c>
      <c r="B618" t="s">
        <v>705</v>
      </c>
      <c r="C618" s="1">
        <v>45741</v>
      </c>
      <c r="D618">
        <v>19</v>
      </c>
      <c r="E618" t="str">
        <f t="shared" si="36"/>
        <v>Under25</v>
      </c>
      <c r="F618" t="s">
        <v>186</v>
      </c>
      <c r="G618" t="s">
        <v>27</v>
      </c>
      <c r="H618" t="s">
        <v>20</v>
      </c>
      <c r="I618">
        <v>4</v>
      </c>
      <c r="J618" t="s">
        <v>109</v>
      </c>
      <c r="K618">
        <v>10</v>
      </c>
      <c r="L618" t="str">
        <f t="shared" si="37"/>
        <v>6-12 months</v>
      </c>
      <c r="M618" t="s">
        <v>69</v>
      </c>
      <c r="N618">
        <v>350</v>
      </c>
      <c r="O618">
        <v>19</v>
      </c>
      <c r="P618">
        <v>6650</v>
      </c>
      <c r="Q618">
        <f t="shared" si="38"/>
        <v>350</v>
      </c>
      <c r="R618" s="13">
        <v>83.76</v>
      </c>
      <c r="S618" t="s">
        <v>36</v>
      </c>
      <c r="T618">
        <f t="shared" si="39"/>
        <v>0</v>
      </c>
      <c r="U618">
        <v>0</v>
      </c>
      <c r="V618">
        <v>0</v>
      </c>
      <c r="W618">
        <v>0</v>
      </c>
    </row>
    <row r="619" spans="1:23" x14ac:dyDescent="0.35">
      <c r="A619" s="7" t="s">
        <v>706</v>
      </c>
      <c r="B619" t="s">
        <v>707</v>
      </c>
      <c r="C619" s="1">
        <v>45713</v>
      </c>
      <c r="D619">
        <v>70</v>
      </c>
      <c r="E619" t="str">
        <f t="shared" si="36"/>
        <v>55+</v>
      </c>
      <c r="F619" t="s">
        <v>144</v>
      </c>
      <c r="G619" t="s">
        <v>19</v>
      </c>
      <c r="H619" t="s">
        <v>28</v>
      </c>
      <c r="I619">
        <v>2</v>
      </c>
      <c r="J619" t="s">
        <v>21</v>
      </c>
      <c r="K619">
        <v>29</v>
      </c>
      <c r="L619" t="str">
        <f t="shared" si="37"/>
        <v>2+years</v>
      </c>
      <c r="M619" t="s">
        <v>43</v>
      </c>
      <c r="N619">
        <v>4500</v>
      </c>
      <c r="O619">
        <v>5</v>
      </c>
      <c r="P619">
        <v>22500</v>
      </c>
      <c r="Q619">
        <f t="shared" si="38"/>
        <v>4500</v>
      </c>
      <c r="R619" s="13">
        <v>86.3</v>
      </c>
      <c r="S619" t="s">
        <v>36</v>
      </c>
      <c r="T619">
        <f t="shared" si="39"/>
        <v>0</v>
      </c>
      <c r="U619">
        <v>0</v>
      </c>
      <c r="V619">
        <v>0</v>
      </c>
      <c r="W619">
        <v>0</v>
      </c>
    </row>
    <row r="620" spans="1:23" x14ac:dyDescent="0.35">
      <c r="A620" s="7" t="s">
        <v>706</v>
      </c>
      <c r="B620" t="s">
        <v>707</v>
      </c>
      <c r="C620" s="1">
        <v>45713</v>
      </c>
      <c r="D620">
        <v>70</v>
      </c>
      <c r="E620" t="str">
        <f t="shared" si="36"/>
        <v>55+</v>
      </c>
      <c r="F620" t="s">
        <v>144</v>
      </c>
      <c r="G620" t="s">
        <v>38</v>
      </c>
      <c r="H620" t="s">
        <v>28</v>
      </c>
      <c r="I620">
        <v>2</v>
      </c>
      <c r="J620" t="s">
        <v>21</v>
      </c>
      <c r="K620">
        <v>29</v>
      </c>
      <c r="L620" t="str">
        <f t="shared" si="37"/>
        <v>2+years</v>
      </c>
      <c r="M620" t="s">
        <v>59</v>
      </c>
      <c r="N620">
        <v>24000</v>
      </c>
      <c r="O620">
        <v>11</v>
      </c>
      <c r="P620">
        <v>264000</v>
      </c>
      <c r="Q620">
        <f t="shared" si="38"/>
        <v>24000</v>
      </c>
      <c r="R620" s="13">
        <v>183.46</v>
      </c>
      <c r="S620" t="s">
        <v>36</v>
      </c>
      <c r="T620">
        <f t="shared" si="39"/>
        <v>0</v>
      </c>
      <c r="U620">
        <v>0</v>
      </c>
      <c r="V620">
        <v>0</v>
      </c>
      <c r="W620">
        <v>0</v>
      </c>
    </row>
    <row r="621" spans="1:23" x14ac:dyDescent="0.35">
      <c r="A621" s="7" t="s">
        <v>706</v>
      </c>
      <c r="B621" t="s">
        <v>707</v>
      </c>
      <c r="C621" s="1">
        <v>45713</v>
      </c>
      <c r="D621">
        <v>70</v>
      </c>
      <c r="E621" t="str">
        <f t="shared" si="36"/>
        <v>55+</v>
      </c>
      <c r="F621" t="s">
        <v>144</v>
      </c>
      <c r="G621" t="s">
        <v>27</v>
      </c>
      <c r="H621" t="s">
        <v>28</v>
      </c>
      <c r="I621">
        <v>2</v>
      </c>
      <c r="J621" t="s">
        <v>21</v>
      </c>
      <c r="K621">
        <v>29</v>
      </c>
      <c r="L621" t="str">
        <f t="shared" si="37"/>
        <v>2+years</v>
      </c>
      <c r="M621" t="s">
        <v>79</v>
      </c>
      <c r="N621">
        <v>1000</v>
      </c>
      <c r="O621">
        <v>4</v>
      </c>
      <c r="P621">
        <v>4000</v>
      </c>
      <c r="Q621">
        <f t="shared" si="38"/>
        <v>1000</v>
      </c>
      <c r="R621" s="13">
        <v>111.69</v>
      </c>
      <c r="S621" t="s">
        <v>36</v>
      </c>
      <c r="T621">
        <f t="shared" si="39"/>
        <v>0</v>
      </c>
      <c r="U621">
        <v>0</v>
      </c>
      <c r="V621">
        <v>0</v>
      </c>
      <c r="W621">
        <v>0</v>
      </c>
    </row>
    <row r="622" spans="1:23" x14ac:dyDescent="0.35">
      <c r="A622" s="7" t="s">
        <v>708</v>
      </c>
      <c r="B622" t="s">
        <v>709</v>
      </c>
      <c r="C622" s="1">
        <v>45741</v>
      </c>
      <c r="D622">
        <v>56</v>
      </c>
      <c r="E622" t="str">
        <f t="shared" si="36"/>
        <v>55+</v>
      </c>
      <c r="F622" t="s">
        <v>51</v>
      </c>
      <c r="G622" t="s">
        <v>27</v>
      </c>
      <c r="H622" t="s">
        <v>20</v>
      </c>
      <c r="I622">
        <v>4</v>
      </c>
      <c r="J622" t="s">
        <v>109</v>
      </c>
      <c r="K622">
        <v>49</v>
      </c>
      <c r="L622" t="str">
        <f t="shared" si="37"/>
        <v>2+years</v>
      </c>
      <c r="M622" t="s">
        <v>37</v>
      </c>
      <c r="N622">
        <v>500</v>
      </c>
      <c r="O622">
        <v>7</v>
      </c>
      <c r="P622">
        <v>3500</v>
      </c>
      <c r="Q622">
        <f t="shared" si="38"/>
        <v>500</v>
      </c>
      <c r="R622" s="13">
        <v>30.82</v>
      </c>
      <c r="S622" t="s">
        <v>36</v>
      </c>
      <c r="T622">
        <f t="shared" si="39"/>
        <v>0</v>
      </c>
      <c r="U622">
        <v>0</v>
      </c>
      <c r="V622">
        <v>0</v>
      </c>
      <c r="W622">
        <v>0</v>
      </c>
    </row>
    <row r="623" spans="1:23" x14ac:dyDescent="0.35">
      <c r="A623" s="7" t="s">
        <v>708</v>
      </c>
      <c r="B623" t="s">
        <v>709</v>
      </c>
      <c r="C623" s="1">
        <v>45741</v>
      </c>
      <c r="D623">
        <v>56</v>
      </c>
      <c r="E623" t="str">
        <f t="shared" si="36"/>
        <v>55+</v>
      </c>
      <c r="F623" t="s">
        <v>51</v>
      </c>
      <c r="G623" t="s">
        <v>33</v>
      </c>
      <c r="H623" t="s">
        <v>20</v>
      </c>
      <c r="I623">
        <v>4</v>
      </c>
      <c r="J623" t="s">
        <v>109</v>
      </c>
      <c r="K623">
        <v>49</v>
      </c>
      <c r="L623" t="str">
        <f t="shared" si="37"/>
        <v>2+years</v>
      </c>
      <c r="M623" t="s">
        <v>35</v>
      </c>
      <c r="N623">
        <v>20000</v>
      </c>
      <c r="O623">
        <v>1</v>
      </c>
      <c r="P623">
        <v>20000</v>
      </c>
      <c r="Q623">
        <f t="shared" si="38"/>
        <v>20000</v>
      </c>
      <c r="R623" s="13">
        <v>26.74</v>
      </c>
      <c r="S623" t="s">
        <v>36</v>
      </c>
      <c r="T623">
        <f t="shared" si="39"/>
        <v>0</v>
      </c>
      <c r="U623">
        <v>0</v>
      </c>
      <c r="V623">
        <v>0</v>
      </c>
      <c r="W623">
        <v>0</v>
      </c>
    </row>
    <row r="624" spans="1:23" x14ac:dyDescent="0.35">
      <c r="A624" s="7" t="s">
        <v>710</v>
      </c>
      <c r="B624" t="s">
        <v>711</v>
      </c>
      <c r="C624" s="1">
        <v>45682</v>
      </c>
      <c r="D624">
        <v>45</v>
      </c>
      <c r="E624" t="str">
        <f t="shared" si="36"/>
        <v>45-54</v>
      </c>
      <c r="F624" t="s">
        <v>108</v>
      </c>
      <c r="G624" t="s">
        <v>19</v>
      </c>
      <c r="H624" t="s">
        <v>20</v>
      </c>
      <c r="I624">
        <v>3</v>
      </c>
      <c r="J624" t="s">
        <v>47</v>
      </c>
      <c r="K624">
        <v>44</v>
      </c>
      <c r="L624" t="str">
        <f t="shared" si="37"/>
        <v>2+years</v>
      </c>
      <c r="M624" t="s">
        <v>22</v>
      </c>
      <c r="N624">
        <v>35000</v>
      </c>
      <c r="O624">
        <v>12</v>
      </c>
      <c r="P624">
        <v>420000</v>
      </c>
      <c r="Q624">
        <f t="shared" si="38"/>
        <v>35000</v>
      </c>
      <c r="R624" s="13">
        <v>142.55000000000001</v>
      </c>
      <c r="S624" t="s">
        <v>23</v>
      </c>
      <c r="T624">
        <f t="shared" si="39"/>
        <v>1</v>
      </c>
      <c r="U624">
        <v>0</v>
      </c>
      <c r="V624">
        <v>0</v>
      </c>
      <c r="W624">
        <v>0</v>
      </c>
    </row>
    <row r="625" spans="1:23" x14ac:dyDescent="0.35">
      <c r="A625" s="7" t="s">
        <v>710</v>
      </c>
      <c r="B625" t="s">
        <v>711</v>
      </c>
      <c r="C625" s="1">
        <v>45682</v>
      </c>
      <c r="D625">
        <v>45</v>
      </c>
      <c r="E625" t="str">
        <f t="shared" si="36"/>
        <v>45-54</v>
      </c>
      <c r="F625" t="s">
        <v>108</v>
      </c>
      <c r="G625" t="s">
        <v>33</v>
      </c>
      <c r="H625" t="s">
        <v>20</v>
      </c>
      <c r="I625">
        <v>3</v>
      </c>
      <c r="J625" t="s">
        <v>47</v>
      </c>
      <c r="K625">
        <v>44</v>
      </c>
      <c r="L625" t="str">
        <f t="shared" si="37"/>
        <v>2+years</v>
      </c>
      <c r="M625" t="s">
        <v>62</v>
      </c>
      <c r="N625">
        <v>30000</v>
      </c>
      <c r="O625">
        <v>16</v>
      </c>
      <c r="P625">
        <v>480000</v>
      </c>
      <c r="Q625">
        <f t="shared" si="38"/>
        <v>30000</v>
      </c>
      <c r="R625" s="13">
        <v>170.5</v>
      </c>
      <c r="S625" t="s">
        <v>23</v>
      </c>
      <c r="T625">
        <f t="shared" si="39"/>
        <v>1</v>
      </c>
      <c r="U625">
        <v>0</v>
      </c>
      <c r="V625">
        <v>0</v>
      </c>
      <c r="W625">
        <v>0</v>
      </c>
    </row>
    <row r="626" spans="1:23" x14ac:dyDescent="0.35">
      <c r="A626" s="7" t="s">
        <v>712</v>
      </c>
      <c r="B626" t="s">
        <v>713</v>
      </c>
      <c r="C626" s="1">
        <v>45682</v>
      </c>
      <c r="D626">
        <v>33</v>
      </c>
      <c r="E626" t="str">
        <f t="shared" si="36"/>
        <v>25-34</v>
      </c>
      <c r="F626" t="s">
        <v>26</v>
      </c>
      <c r="G626" t="s">
        <v>33</v>
      </c>
      <c r="H626" t="s">
        <v>20</v>
      </c>
      <c r="I626">
        <v>4</v>
      </c>
      <c r="J626" t="s">
        <v>109</v>
      </c>
      <c r="K626">
        <v>15</v>
      </c>
      <c r="L626" t="str">
        <f t="shared" si="37"/>
        <v>1-2 years</v>
      </c>
      <c r="M626" t="s">
        <v>100</v>
      </c>
      <c r="N626">
        <v>75000</v>
      </c>
      <c r="O626">
        <v>7</v>
      </c>
      <c r="P626">
        <v>525000</v>
      </c>
      <c r="Q626">
        <f t="shared" si="38"/>
        <v>75000</v>
      </c>
      <c r="R626" s="13">
        <v>44.9</v>
      </c>
      <c r="S626" t="s">
        <v>36</v>
      </c>
      <c r="T626">
        <f t="shared" si="39"/>
        <v>0</v>
      </c>
      <c r="U626">
        <v>0</v>
      </c>
      <c r="V626">
        <v>0</v>
      </c>
      <c r="W626">
        <v>0</v>
      </c>
    </row>
    <row r="627" spans="1:23" x14ac:dyDescent="0.35">
      <c r="A627" s="7" t="s">
        <v>714</v>
      </c>
      <c r="B627" t="s">
        <v>715</v>
      </c>
      <c r="C627" s="1">
        <v>45713</v>
      </c>
      <c r="D627">
        <v>24</v>
      </c>
      <c r="E627" t="str">
        <f t="shared" si="36"/>
        <v>Under25</v>
      </c>
      <c r="F627" t="s">
        <v>126</v>
      </c>
      <c r="G627" t="s">
        <v>27</v>
      </c>
      <c r="H627" t="s">
        <v>28</v>
      </c>
      <c r="I627">
        <v>3</v>
      </c>
      <c r="J627" t="s">
        <v>47</v>
      </c>
      <c r="K627">
        <v>56</v>
      </c>
      <c r="L627" t="str">
        <f t="shared" si="37"/>
        <v>2+years</v>
      </c>
      <c r="M627" t="s">
        <v>83</v>
      </c>
      <c r="N627">
        <v>7500</v>
      </c>
      <c r="O627">
        <v>20</v>
      </c>
      <c r="P627">
        <v>150000</v>
      </c>
      <c r="Q627">
        <f t="shared" si="38"/>
        <v>7500</v>
      </c>
      <c r="R627" s="13">
        <v>155.35</v>
      </c>
      <c r="S627" t="s">
        <v>36</v>
      </c>
      <c r="T627">
        <f t="shared" si="39"/>
        <v>0</v>
      </c>
      <c r="U627">
        <v>0</v>
      </c>
      <c r="V627">
        <v>0</v>
      </c>
      <c r="W627">
        <v>0</v>
      </c>
    </row>
    <row r="628" spans="1:23" x14ac:dyDescent="0.35">
      <c r="A628" s="7" t="s">
        <v>716</v>
      </c>
      <c r="B628" t="s">
        <v>717</v>
      </c>
      <c r="C628" s="1">
        <v>45682</v>
      </c>
      <c r="D628">
        <v>56</v>
      </c>
      <c r="E628" t="str">
        <f t="shared" si="36"/>
        <v>55+</v>
      </c>
      <c r="F628" t="s">
        <v>78</v>
      </c>
      <c r="G628" t="s">
        <v>19</v>
      </c>
      <c r="H628" t="s">
        <v>20</v>
      </c>
      <c r="I628">
        <v>4</v>
      </c>
      <c r="J628" t="s">
        <v>109</v>
      </c>
      <c r="K628">
        <v>34</v>
      </c>
      <c r="L628" t="str">
        <f t="shared" si="37"/>
        <v>2+years</v>
      </c>
      <c r="M628" t="s">
        <v>22</v>
      </c>
      <c r="N628">
        <v>35000</v>
      </c>
      <c r="O628">
        <v>2</v>
      </c>
      <c r="P628">
        <v>70000</v>
      </c>
      <c r="Q628">
        <f t="shared" si="38"/>
        <v>35000</v>
      </c>
      <c r="R628" s="13">
        <v>196.77</v>
      </c>
      <c r="S628" t="s">
        <v>36</v>
      </c>
      <c r="T628">
        <f t="shared" si="39"/>
        <v>0</v>
      </c>
      <c r="U628">
        <v>0</v>
      </c>
      <c r="V628">
        <v>0</v>
      </c>
      <c r="W628">
        <v>0</v>
      </c>
    </row>
    <row r="629" spans="1:23" x14ac:dyDescent="0.35">
      <c r="A629" s="7" t="s">
        <v>718</v>
      </c>
      <c r="B629" t="s">
        <v>719</v>
      </c>
      <c r="C629" s="1">
        <v>45713</v>
      </c>
      <c r="D629">
        <v>22</v>
      </c>
      <c r="E629" t="str">
        <f t="shared" si="36"/>
        <v>Under25</v>
      </c>
      <c r="F629" t="s">
        <v>116</v>
      </c>
      <c r="G629" t="s">
        <v>27</v>
      </c>
      <c r="H629" t="s">
        <v>28</v>
      </c>
      <c r="I629">
        <v>3</v>
      </c>
      <c r="J629" t="s">
        <v>47</v>
      </c>
      <c r="K629">
        <v>29</v>
      </c>
      <c r="L629" t="str">
        <f t="shared" si="37"/>
        <v>2+years</v>
      </c>
      <c r="M629" t="s">
        <v>83</v>
      </c>
      <c r="N629">
        <v>7500</v>
      </c>
      <c r="O629">
        <v>2</v>
      </c>
      <c r="P629">
        <v>15000</v>
      </c>
      <c r="Q629">
        <f t="shared" si="38"/>
        <v>7500</v>
      </c>
      <c r="R629" s="13">
        <v>59.24</v>
      </c>
      <c r="S629" t="s">
        <v>36</v>
      </c>
      <c r="T629">
        <f t="shared" si="39"/>
        <v>0</v>
      </c>
      <c r="U629">
        <v>0</v>
      </c>
      <c r="V629">
        <v>0</v>
      </c>
      <c r="W629">
        <v>0</v>
      </c>
    </row>
    <row r="630" spans="1:23" x14ac:dyDescent="0.35">
      <c r="A630" s="7" t="s">
        <v>718</v>
      </c>
      <c r="B630" t="s">
        <v>719</v>
      </c>
      <c r="C630" s="1">
        <v>45713</v>
      </c>
      <c r="D630">
        <v>22</v>
      </c>
      <c r="E630" t="str">
        <f t="shared" si="36"/>
        <v>Under25</v>
      </c>
      <c r="F630" t="s">
        <v>116</v>
      </c>
      <c r="G630" t="s">
        <v>38</v>
      </c>
      <c r="H630" t="s">
        <v>28</v>
      </c>
      <c r="I630">
        <v>3</v>
      </c>
      <c r="J630" t="s">
        <v>47</v>
      </c>
      <c r="K630">
        <v>29</v>
      </c>
      <c r="L630" t="str">
        <f t="shared" si="37"/>
        <v>2+years</v>
      </c>
      <c r="M630" t="s">
        <v>59</v>
      </c>
      <c r="N630">
        <v>24000</v>
      </c>
      <c r="O630">
        <v>15</v>
      </c>
      <c r="P630">
        <v>360000</v>
      </c>
      <c r="Q630">
        <f t="shared" si="38"/>
        <v>24000</v>
      </c>
      <c r="R630" s="13">
        <v>180.78</v>
      </c>
      <c r="S630" t="s">
        <v>36</v>
      </c>
      <c r="T630">
        <f t="shared" si="39"/>
        <v>0</v>
      </c>
      <c r="U630">
        <v>0</v>
      </c>
      <c r="V630">
        <v>0</v>
      </c>
      <c r="W630">
        <v>0</v>
      </c>
    </row>
    <row r="631" spans="1:23" x14ac:dyDescent="0.35">
      <c r="A631" s="7" t="s">
        <v>720</v>
      </c>
      <c r="B631" t="s">
        <v>721</v>
      </c>
      <c r="C631" s="1">
        <v>45713</v>
      </c>
      <c r="D631">
        <v>27</v>
      </c>
      <c r="E631" t="str">
        <f t="shared" si="36"/>
        <v>25-34</v>
      </c>
      <c r="F631" t="s">
        <v>183</v>
      </c>
      <c r="G631" t="s">
        <v>38</v>
      </c>
      <c r="H631" t="s">
        <v>20</v>
      </c>
      <c r="I631">
        <v>4</v>
      </c>
      <c r="J631" t="s">
        <v>109</v>
      </c>
      <c r="K631">
        <v>12</v>
      </c>
      <c r="L631" t="str">
        <f t="shared" si="37"/>
        <v>6-12 months</v>
      </c>
      <c r="M631" t="s">
        <v>68</v>
      </c>
      <c r="N631">
        <v>14500</v>
      </c>
      <c r="O631">
        <v>7</v>
      </c>
      <c r="P631">
        <v>101500</v>
      </c>
      <c r="Q631">
        <f t="shared" si="38"/>
        <v>14500</v>
      </c>
      <c r="R631" s="13">
        <v>118.27</v>
      </c>
      <c r="S631" t="s">
        <v>36</v>
      </c>
      <c r="T631">
        <f t="shared" si="39"/>
        <v>0</v>
      </c>
      <c r="U631">
        <v>0</v>
      </c>
      <c r="V631">
        <v>0</v>
      </c>
      <c r="W631">
        <v>0</v>
      </c>
    </row>
    <row r="632" spans="1:23" x14ac:dyDescent="0.35">
      <c r="A632" s="7" t="s">
        <v>720</v>
      </c>
      <c r="B632" t="s">
        <v>721</v>
      </c>
      <c r="C632" s="1">
        <v>45713</v>
      </c>
      <c r="D632">
        <v>27</v>
      </c>
      <c r="E632" t="str">
        <f t="shared" si="36"/>
        <v>25-34</v>
      </c>
      <c r="F632" t="s">
        <v>183</v>
      </c>
      <c r="G632" t="s">
        <v>27</v>
      </c>
      <c r="H632" t="s">
        <v>20</v>
      </c>
      <c r="I632">
        <v>4</v>
      </c>
      <c r="J632" t="s">
        <v>109</v>
      </c>
      <c r="K632">
        <v>12</v>
      </c>
      <c r="L632" t="str">
        <f t="shared" si="37"/>
        <v>6-12 months</v>
      </c>
      <c r="M632" t="s">
        <v>29</v>
      </c>
      <c r="N632">
        <v>5500</v>
      </c>
      <c r="O632">
        <v>11</v>
      </c>
      <c r="P632">
        <v>60500</v>
      </c>
      <c r="Q632">
        <f t="shared" si="38"/>
        <v>5500</v>
      </c>
      <c r="R632" s="13">
        <v>18.489999999999998</v>
      </c>
      <c r="S632" t="s">
        <v>36</v>
      </c>
      <c r="T632">
        <f t="shared" si="39"/>
        <v>0</v>
      </c>
      <c r="U632">
        <v>0</v>
      </c>
      <c r="V632">
        <v>0</v>
      </c>
      <c r="W632">
        <v>0</v>
      </c>
    </row>
    <row r="633" spans="1:23" x14ac:dyDescent="0.35">
      <c r="A633" s="7" t="s">
        <v>722</v>
      </c>
      <c r="B633" t="s">
        <v>723</v>
      </c>
      <c r="C633" s="1">
        <v>45713</v>
      </c>
      <c r="D633">
        <v>31</v>
      </c>
      <c r="E633" t="str">
        <f t="shared" si="36"/>
        <v>25-34</v>
      </c>
      <c r="F633" t="s">
        <v>291</v>
      </c>
      <c r="G633" t="s">
        <v>19</v>
      </c>
      <c r="H633" t="s">
        <v>20</v>
      </c>
      <c r="I633">
        <v>3</v>
      </c>
      <c r="J633" t="s">
        <v>47</v>
      </c>
      <c r="K633">
        <v>46</v>
      </c>
      <c r="L633" t="str">
        <f t="shared" si="37"/>
        <v>2+years</v>
      </c>
      <c r="M633" t="s">
        <v>22</v>
      </c>
      <c r="N633">
        <v>35000</v>
      </c>
      <c r="O633">
        <v>6</v>
      </c>
      <c r="P633">
        <v>210000</v>
      </c>
      <c r="Q633">
        <f t="shared" si="38"/>
        <v>35000</v>
      </c>
      <c r="R633" s="13">
        <v>9.26</v>
      </c>
      <c r="S633" t="s">
        <v>23</v>
      </c>
      <c r="T633">
        <f t="shared" si="39"/>
        <v>1</v>
      </c>
      <c r="U633">
        <v>0</v>
      </c>
      <c r="V633">
        <v>0</v>
      </c>
      <c r="W633">
        <v>0</v>
      </c>
    </row>
    <row r="634" spans="1:23" x14ac:dyDescent="0.35">
      <c r="A634" s="7" t="s">
        <v>722</v>
      </c>
      <c r="B634" t="s">
        <v>723</v>
      </c>
      <c r="C634" s="1">
        <v>45713</v>
      </c>
      <c r="D634">
        <v>31</v>
      </c>
      <c r="E634" t="str">
        <f t="shared" si="36"/>
        <v>25-34</v>
      </c>
      <c r="F634" t="s">
        <v>291</v>
      </c>
      <c r="G634" t="s">
        <v>27</v>
      </c>
      <c r="H634" t="s">
        <v>20</v>
      </c>
      <c r="I634">
        <v>3</v>
      </c>
      <c r="J634" t="s">
        <v>47</v>
      </c>
      <c r="K634">
        <v>46</v>
      </c>
      <c r="L634" t="str">
        <f t="shared" si="37"/>
        <v>2+years</v>
      </c>
      <c r="M634" t="s">
        <v>53</v>
      </c>
      <c r="N634">
        <v>3500</v>
      </c>
      <c r="O634">
        <v>5</v>
      </c>
      <c r="P634">
        <v>17500</v>
      </c>
      <c r="Q634">
        <f t="shared" si="38"/>
        <v>3500</v>
      </c>
      <c r="R634" s="13">
        <v>113.32</v>
      </c>
      <c r="S634" t="s">
        <v>23</v>
      </c>
      <c r="T634">
        <f t="shared" si="39"/>
        <v>1</v>
      </c>
      <c r="U634">
        <v>0</v>
      </c>
      <c r="V634">
        <v>0</v>
      </c>
      <c r="W634">
        <v>0</v>
      </c>
    </row>
    <row r="635" spans="1:23" x14ac:dyDescent="0.35">
      <c r="A635" s="7" t="s">
        <v>724</v>
      </c>
      <c r="B635" t="s">
        <v>725</v>
      </c>
      <c r="C635" s="1">
        <v>45741</v>
      </c>
      <c r="D635">
        <v>34</v>
      </c>
      <c r="E635" t="str">
        <f t="shared" si="36"/>
        <v>25-34</v>
      </c>
      <c r="F635" t="s">
        <v>126</v>
      </c>
      <c r="G635" t="s">
        <v>33</v>
      </c>
      <c r="H635" t="s">
        <v>20</v>
      </c>
      <c r="I635">
        <v>3</v>
      </c>
      <c r="J635" t="s">
        <v>47</v>
      </c>
      <c r="K635">
        <v>27</v>
      </c>
      <c r="L635" t="str">
        <f t="shared" si="37"/>
        <v>2+years</v>
      </c>
      <c r="M635" t="s">
        <v>62</v>
      </c>
      <c r="N635">
        <v>30000</v>
      </c>
      <c r="O635">
        <v>5</v>
      </c>
      <c r="P635">
        <v>150000</v>
      </c>
      <c r="Q635">
        <f t="shared" si="38"/>
        <v>30000</v>
      </c>
      <c r="R635" s="13">
        <v>23.95</v>
      </c>
      <c r="S635" t="s">
        <v>36</v>
      </c>
      <c r="T635">
        <f t="shared" si="39"/>
        <v>0</v>
      </c>
      <c r="U635">
        <v>0</v>
      </c>
      <c r="V635">
        <v>0</v>
      </c>
      <c r="W635">
        <v>0</v>
      </c>
    </row>
    <row r="636" spans="1:23" x14ac:dyDescent="0.35">
      <c r="A636" s="7" t="s">
        <v>724</v>
      </c>
      <c r="B636" t="s">
        <v>725</v>
      </c>
      <c r="C636" s="1">
        <v>45741</v>
      </c>
      <c r="D636">
        <v>34</v>
      </c>
      <c r="E636" t="str">
        <f t="shared" si="36"/>
        <v>25-34</v>
      </c>
      <c r="F636" t="s">
        <v>126</v>
      </c>
      <c r="G636" t="s">
        <v>27</v>
      </c>
      <c r="H636" t="s">
        <v>20</v>
      </c>
      <c r="I636">
        <v>3</v>
      </c>
      <c r="J636" t="s">
        <v>47</v>
      </c>
      <c r="K636">
        <v>27</v>
      </c>
      <c r="L636" t="str">
        <f t="shared" si="37"/>
        <v>2+years</v>
      </c>
      <c r="M636" t="s">
        <v>69</v>
      </c>
      <c r="N636">
        <v>350</v>
      </c>
      <c r="O636">
        <v>9</v>
      </c>
      <c r="P636">
        <v>3150</v>
      </c>
      <c r="Q636">
        <f t="shared" si="38"/>
        <v>350</v>
      </c>
      <c r="R636" s="13">
        <v>1.2</v>
      </c>
      <c r="S636" t="s">
        <v>36</v>
      </c>
      <c r="T636">
        <f t="shared" si="39"/>
        <v>0</v>
      </c>
      <c r="U636">
        <v>0</v>
      </c>
      <c r="V636">
        <v>0</v>
      </c>
      <c r="W636">
        <v>0</v>
      </c>
    </row>
    <row r="637" spans="1:23" x14ac:dyDescent="0.35">
      <c r="A637" s="7" t="s">
        <v>726</v>
      </c>
      <c r="B637" t="s">
        <v>727</v>
      </c>
      <c r="C637" s="1">
        <v>45682</v>
      </c>
      <c r="D637">
        <v>74</v>
      </c>
      <c r="E637" t="str">
        <f t="shared" si="36"/>
        <v>55+</v>
      </c>
      <c r="F637" t="s">
        <v>86</v>
      </c>
      <c r="G637" t="s">
        <v>19</v>
      </c>
      <c r="H637" t="s">
        <v>28</v>
      </c>
      <c r="I637">
        <v>5</v>
      </c>
      <c r="J637" t="s">
        <v>52</v>
      </c>
      <c r="K637">
        <v>35</v>
      </c>
      <c r="L637" t="str">
        <f t="shared" si="37"/>
        <v>2+years</v>
      </c>
      <c r="M637" t="s">
        <v>22</v>
      </c>
      <c r="N637">
        <v>35000</v>
      </c>
      <c r="O637">
        <v>15</v>
      </c>
      <c r="P637">
        <v>525000</v>
      </c>
      <c r="Q637">
        <f t="shared" si="38"/>
        <v>35000</v>
      </c>
      <c r="R637" s="13">
        <v>91.02</v>
      </c>
      <c r="S637" t="s">
        <v>36</v>
      </c>
      <c r="T637">
        <f t="shared" si="39"/>
        <v>0</v>
      </c>
      <c r="U637">
        <v>0</v>
      </c>
      <c r="V637">
        <v>0</v>
      </c>
      <c r="W637">
        <v>0</v>
      </c>
    </row>
    <row r="638" spans="1:23" x14ac:dyDescent="0.35">
      <c r="A638" s="7" t="s">
        <v>728</v>
      </c>
      <c r="B638" t="s">
        <v>729</v>
      </c>
      <c r="C638" s="1">
        <v>45713</v>
      </c>
      <c r="D638">
        <v>16</v>
      </c>
      <c r="E638" t="str">
        <f t="shared" si="36"/>
        <v>Under25</v>
      </c>
      <c r="F638" t="s">
        <v>67</v>
      </c>
      <c r="G638" t="s">
        <v>27</v>
      </c>
      <c r="H638" t="s">
        <v>28</v>
      </c>
      <c r="I638">
        <v>1</v>
      </c>
      <c r="J638" t="s">
        <v>34</v>
      </c>
      <c r="K638">
        <v>40</v>
      </c>
      <c r="L638" t="str">
        <f t="shared" si="37"/>
        <v>2+years</v>
      </c>
      <c r="M638" t="s">
        <v>97</v>
      </c>
      <c r="N638">
        <v>900</v>
      </c>
      <c r="O638">
        <v>20</v>
      </c>
      <c r="P638">
        <v>18000</v>
      </c>
      <c r="Q638">
        <f t="shared" si="38"/>
        <v>900</v>
      </c>
      <c r="R638" s="13">
        <v>133.57</v>
      </c>
      <c r="S638" t="s">
        <v>23</v>
      </c>
      <c r="T638">
        <f t="shared" si="39"/>
        <v>1</v>
      </c>
      <c r="U638">
        <v>0</v>
      </c>
      <c r="V638">
        <v>0</v>
      </c>
      <c r="W638">
        <v>0</v>
      </c>
    </row>
    <row r="639" spans="1:23" x14ac:dyDescent="0.35">
      <c r="A639" s="7" t="s">
        <v>730</v>
      </c>
      <c r="B639" t="s">
        <v>731</v>
      </c>
      <c r="C639" s="1">
        <v>45713</v>
      </c>
      <c r="D639">
        <v>58</v>
      </c>
      <c r="E639" t="str">
        <f t="shared" si="36"/>
        <v>55+</v>
      </c>
      <c r="F639" t="s">
        <v>291</v>
      </c>
      <c r="G639" t="s">
        <v>19</v>
      </c>
      <c r="H639" t="s">
        <v>20</v>
      </c>
      <c r="I639">
        <v>2</v>
      </c>
      <c r="J639" t="s">
        <v>21</v>
      </c>
      <c r="K639">
        <v>7</v>
      </c>
      <c r="L639" t="str">
        <f t="shared" si="37"/>
        <v>6-12 months</v>
      </c>
      <c r="M639" t="s">
        <v>55</v>
      </c>
      <c r="N639">
        <v>16000</v>
      </c>
      <c r="O639">
        <v>10</v>
      </c>
      <c r="P639">
        <v>160000</v>
      </c>
      <c r="Q639">
        <f t="shared" si="38"/>
        <v>16000</v>
      </c>
      <c r="R639" s="13">
        <v>19.079999999999998</v>
      </c>
      <c r="S639" t="s">
        <v>23</v>
      </c>
      <c r="T639">
        <f t="shared" si="39"/>
        <v>1</v>
      </c>
      <c r="U639">
        <v>0</v>
      </c>
      <c r="V639">
        <v>0</v>
      </c>
      <c r="W639">
        <v>0</v>
      </c>
    </row>
    <row r="640" spans="1:23" x14ac:dyDescent="0.35">
      <c r="A640" s="7" t="s">
        <v>730</v>
      </c>
      <c r="B640" t="s">
        <v>731</v>
      </c>
      <c r="C640" s="1">
        <v>45713</v>
      </c>
      <c r="D640">
        <v>58</v>
      </c>
      <c r="E640" t="str">
        <f t="shared" si="36"/>
        <v>55+</v>
      </c>
      <c r="F640" t="s">
        <v>291</v>
      </c>
      <c r="G640" t="s">
        <v>27</v>
      </c>
      <c r="H640" t="s">
        <v>20</v>
      </c>
      <c r="I640">
        <v>2</v>
      </c>
      <c r="J640" t="s">
        <v>21</v>
      </c>
      <c r="K640">
        <v>7</v>
      </c>
      <c r="L640" t="str">
        <f t="shared" si="37"/>
        <v>6-12 months</v>
      </c>
      <c r="M640" t="s">
        <v>53</v>
      </c>
      <c r="N640">
        <v>3500</v>
      </c>
      <c r="O640">
        <v>13</v>
      </c>
      <c r="P640">
        <v>45500</v>
      </c>
      <c r="Q640">
        <f t="shared" si="38"/>
        <v>3500</v>
      </c>
      <c r="R640" s="13">
        <v>74.03</v>
      </c>
      <c r="S640" t="s">
        <v>23</v>
      </c>
      <c r="T640">
        <f t="shared" si="39"/>
        <v>1</v>
      </c>
      <c r="U640">
        <v>0</v>
      </c>
      <c r="V640">
        <v>0</v>
      </c>
      <c r="W640">
        <v>0</v>
      </c>
    </row>
    <row r="641" spans="1:23" x14ac:dyDescent="0.35">
      <c r="A641" s="7" t="s">
        <v>730</v>
      </c>
      <c r="B641" t="s">
        <v>731</v>
      </c>
      <c r="C641" s="1">
        <v>45713</v>
      </c>
      <c r="D641">
        <v>58</v>
      </c>
      <c r="E641" t="str">
        <f t="shared" si="36"/>
        <v>55+</v>
      </c>
      <c r="F641" t="s">
        <v>291</v>
      </c>
      <c r="G641" t="s">
        <v>33</v>
      </c>
      <c r="H641" t="s">
        <v>20</v>
      </c>
      <c r="I641">
        <v>2</v>
      </c>
      <c r="J641" t="s">
        <v>21</v>
      </c>
      <c r="K641">
        <v>7</v>
      </c>
      <c r="L641" t="str">
        <f t="shared" si="37"/>
        <v>6-12 months</v>
      </c>
      <c r="M641" t="s">
        <v>35</v>
      </c>
      <c r="N641">
        <v>20000</v>
      </c>
      <c r="O641">
        <v>18</v>
      </c>
      <c r="P641">
        <v>360000</v>
      </c>
      <c r="Q641">
        <f t="shared" si="38"/>
        <v>20000</v>
      </c>
      <c r="R641" s="13">
        <v>151.81</v>
      </c>
      <c r="S641" t="s">
        <v>23</v>
      </c>
      <c r="T641">
        <f t="shared" si="39"/>
        <v>1</v>
      </c>
      <c r="U641">
        <v>0</v>
      </c>
      <c r="V641">
        <v>0</v>
      </c>
      <c r="W641">
        <v>0</v>
      </c>
    </row>
    <row r="642" spans="1:23" x14ac:dyDescent="0.35">
      <c r="A642" s="7" t="s">
        <v>732</v>
      </c>
      <c r="B642" t="s">
        <v>733</v>
      </c>
      <c r="C642" s="1">
        <v>45741</v>
      </c>
      <c r="D642">
        <v>53</v>
      </c>
      <c r="E642" t="str">
        <f t="shared" si="36"/>
        <v>45-54</v>
      </c>
      <c r="F642" t="s">
        <v>207</v>
      </c>
      <c r="G642" t="s">
        <v>19</v>
      </c>
      <c r="H642" t="s">
        <v>20</v>
      </c>
      <c r="I642">
        <v>3</v>
      </c>
      <c r="J642" t="s">
        <v>47</v>
      </c>
      <c r="K642">
        <v>8</v>
      </c>
      <c r="L642" t="str">
        <f t="shared" si="37"/>
        <v>6-12 months</v>
      </c>
      <c r="M642" t="s">
        <v>55</v>
      </c>
      <c r="N642">
        <v>16000</v>
      </c>
      <c r="O642">
        <v>17</v>
      </c>
      <c r="P642">
        <v>272000</v>
      </c>
      <c r="Q642">
        <f t="shared" si="38"/>
        <v>16000</v>
      </c>
      <c r="R642" s="13">
        <v>22.31</v>
      </c>
      <c r="S642" t="s">
        <v>36</v>
      </c>
      <c r="T642">
        <f t="shared" si="39"/>
        <v>0</v>
      </c>
      <c r="U642">
        <v>0</v>
      </c>
      <c r="V642">
        <v>0</v>
      </c>
      <c r="W642">
        <v>0</v>
      </c>
    </row>
    <row r="643" spans="1:23" x14ac:dyDescent="0.35">
      <c r="A643" s="7" t="s">
        <v>732</v>
      </c>
      <c r="B643" t="s">
        <v>733</v>
      </c>
      <c r="C643" s="1">
        <v>45741</v>
      </c>
      <c r="D643">
        <v>53</v>
      </c>
      <c r="E643" t="str">
        <f t="shared" ref="E643:E706" si="40">IF(D643&lt;25,"Under25",IF(D643&lt;35,"25-34",IF(D643&lt;45,"35-44",IF(D643&lt;55,"45-54","55+"))) )</f>
        <v>45-54</v>
      </c>
      <c r="F643" t="s">
        <v>207</v>
      </c>
      <c r="G643" t="s">
        <v>33</v>
      </c>
      <c r="H643" t="s">
        <v>20</v>
      </c>
      <c r="I643">
        <v>3</v>
      </c>
      <c r="J643" t="s">
        <v>47</v>
      </c>
      <c r="K643">
        <v>8</v>
      </c>
      <c r="L643" t="str">
        <f t="shared" ref="L643:L706" si="41">IF(K643&lt;6,"0-5 months",IF(K643&lt;13,"6-12 months",IF(K643&lt;25,"1-2 years","2+years")))</f>
        <v>6-12 months</v>
      </c>
      <c r="M643" t="s">
        <v>35</v>
      </c>
      <c r="N643">
        <v>20000</v>
      </c>
      <c r="O643">
        <v>20</v>
      </c>
      <c r="P643">
        <v>400000</v>
      </c>
      <c r="Q643">
        <f t="shared" ref="Q643:Q706" si="42">P643/O643</f>
        <v>20000</v>
      </c>
      <c r="R643" s="13">
        <v>96.99</v>
      </c>
      <c r="S643" t="s">
        <v>36</v>
      </c>
      <c r="T643">
        <f t="shared" ref="T643:T706" si="43">IF(S643="yes",1,0)</f>
        <v>0</v>
      </c>
      <c r="U643">
        <v>0</v>
      </c>
      <c r="V643">
        <v>0</v>
      </c>
      <c r="W643">
        <v>0</v>
      </c>
    </row>
    <row r="644" spans="1:23" x14ac:dyDescent="0.35">
      <c r="A644" s="7" t="s">
        <v>732</v>
      </c>
      <c r="B644" t="s">
        <v>733</v>
      </c>
      <c r="C644" s="1">
        <v>45741</v>
      </c>
      <c r="D644">
        <v>53</v>
      </c>
      <c r="E644" t="str">
        <f t="shared" si="40"/>
        <v>45-54</v>
      </c>
      <c r="F644" t="s">
        <v>207</v>
      </c>
      <c r="G644" t="s">
        <v>38</v>
      </c>
      <c r="H644" t="s">
        <v>20</v>
      </c>
      <c r="I644">
        <v>3</v>
      </c>
      <c r="J644" t="s">
        <v>47</v>
      </c>
      <c r="K644">
        <v>8</v>
      </c>
      <c r="L644" t="str">
        <f t="shared" si="41"/>
        <v>6-12 months</v>
      </c>
      <c r="M644" t="s">
        <v>62</v>
      </c>
      <c r="N644">
        <v>30000</v>
      </c>
      <c r="O644">
        <v>11</v>
      </c>
      <c r="P644">
        <v>330000</v>
      </c>
      <c r="Q644">
        <f t="shared" si="42"/>
        <v>30000</v>
      </c>
      <c r="R644" s="13">
        <v>85.7</v>
      </c>
      <c r="S644" t="s">
        <v>36</v>
      </c>
      <c r="T644">
        <f t="shared" si="43"/>
        <v>0</v>
      </c>
      <c r="U644">
        <v>0</v>
      </c>
      <c r="V644">
        <v>0</v>
      </c>
      <c r="W644">
        <v>0</v>
      </c>
    </row>
    <row r="645" spans="1:23" x14ac:dyDescent="0.35">
      <c r="A645" s="7" t="s">
        <v>734</v>
      </c>
      <c r="B645" t="s">
        <v>735</v>
      </c>
      <c r="C645" s="1">
        <v>45713</v>
      </c>
      <c r="D645">
        <v>61</v>
      </c>
      <c r="E645" t="str">
        <f t="shared" si="40"/>
        <v>55+</v>
      </c>
      <c r="F645" t="s">
        <v>135</v>
      </c>
      <c r="G645" t="s">
        <v>19</v>
      </c>
      <c r="H645" t="s">
        <v>28</v>
      </c>
      <c r="I645">
        <v>4</v>
      </c>
      <c r="J645" t="s">
        <v>109</v>
      </c>
      <c r="K645">
        <v>34</v>
      </c>
      <c r="L645" t="str">
        <f t="shared" si="41"/>
        <v>2+years</v>
      </c>
      <c r="M645" t="s">
        <v>43</v>
      </c>
      <c r="N645">
        <v>4500</v>
      </c>
      <c r="O645">
        <v>1</v>
      </c>
      <c r="P645">
        <v>4500</v>
      </c>
      <c r="Q645">
        <f t="shared" si="42"/>
        <v>4500</v>
      </c>
      <c r="R645" s="13">
        <v>0.82</v>
      </c>
      <c r="S645" t="s">
        <v>36</v>
      </c>
      <c r="T645">
        <f t="shared" si="43"/>
        <v>0</v>
      </c>
      <c r="U645">
        <v>0</v>
      </c>
      <c r="V645">
        <v>0</v>
      </c>
      <c r="W645">
        <v>0</v>
      </c>
    </row>
    <row r="646" spans="1:23" x14ac:dyDescent="0.35">
      <c r="A646" s="7" t="s">
        <v>734</v>
      </c>
      <c r="B646" t="s">
        <v>735</v>
      </c>
      <c r="C646" s="1">
        <v>45713</v>
      </c>
      <c r="D646">
        <v>61</v>
      </c>
      <c r="E646" t="str">
        <f t="shared" si="40"/>
        <v>55+</v>
      </c>
      <c r="F646" t="s">
        <v>135</v>
      </c>
      <c r="G646" t="s">
        <v>33</v>
      </c>
      <c r="H646" t="s">
        <v>28</v>
      </c>
      <c r="I646">
        <v>4</v>
      </c>
      <c r="J646" t="s">
        <v>109</v>
      </c>
      <c r="K646">
        <v>34</v>
      </c>
      <c r="L646" t="str">
        <f t="shared" si="41"/>
        <v>2+years</v>
      </c>
      <c r="M646" t="s">
        <v>54</v>
      </c>
      <c r="N646">
        <v>150000</v>
      </c>
      <c r="O646">
        <v>4</v>
      </c>
      <c r="P646">
        <v>600000</v>
      </c>
      <c r="Q646">
        <f t="shared" si="42"/>
        <v>150000</v>
      </c>
      <c r="R646" s="13">
        <v>125.28</v>
      </c>
      <c r="S646" t="s">
        <v>36</v>
      </c>
      <c r="T646">
        <f t="shared" si="43"/>
        <v>0</v>
      </c>
      <c r="U646">
        <v>0</v>
      </c>
      <c r="V646">
        <v>0</v>
      </c>
      <c r="W646">
        <v>0</v>
      </c>
    </row>
    <row r="647" spans="1:23" x14ac:dyDescent="0.35">
      <c r="A647" s="7" t="s">
        <v>734</v>
      </c>
      <c r="B647" t="s">
        <v>735</v>
      </c>
      <c r="C647" s="1">
        <v>45713</v>
      </c>
      <c r="D647">
        <v>61</v>
      </c>
      <c r="E647" t="str">
        <f t="shared" si="40"/>
        <v>55+</v>
      </c>
      <c r="F647" t="s">
        <v>135</v>
      </c>
      <c r="G647" t="s">
        <v>27</v>
      </c>
      <c r="H647" t="s">
        <v>28</v>
      </c>
      <c r="I647">
        <v>4</v>
      </c>
      <c r="J647" t="s">
        <v>109</v>
      </c>
      <c r="K647">
        <v>34</v>
      </c>
      <c r="L647" t="str">
        <f t="shared" si="41"/>
        <v>2+years</v>
      </c>
      <c r="M647" t="s">
        <v>69</v>
      </c>
      <c r="N647">
        <v>350</v>
      </c>
      <c r="O647">
        <v>14</v>
      </c>
      <c r="P647">
        <v>4900</v>
      </c>
      <c r="Q647">
        <f t="shared" si="42"/>
        <v>350</v>
      </c>
      <c r="R647" s="13">
        <v>160.01</v>
      </c>
      <c r="S647" t="s">
        <v>36</v>
      </c>
      <c r="T647">
        <f t="shared" si="43"/>
        <v>0</v>
      </c>
      <c r="U647">
        <v>0</v>
      </c>
      <c r="V647">
        <v>0</v>
      </c>
      <c r="W647">
        <v>0</v>
      </c>
    </row>
    <row r="648" spans="1:23" x14ac:dyDescent="0.35">
      <c r="A648" s="7" t="s">
        <v>736</v>
      </c>
      <c r="B648" t="s">
        <v>737</v>
      </c>
      <c r="C648" s="1">
        <v>45713</v>
      </c>
      <c r="D648">
        <v>21</v>
      </c>
      <c r="E648" t="str">
        <f t="shared" si="40"/>
        <v>Under25</v>
      </c>
      <c r="F648" t="s">
        <v>152</v>
      </c>
      <c r="G648" t="s">
        <v>33</v>
      </c>
      <c r="H648" t="s">
        <v>28</v>
      </c>
      <c r="I648">
        <v>1</v>
      </c>
      <c r="J648" t="s">
        <v>34</v>
      </c>
      <c r="K648">
        <v>36</v>
      </c>
      <c r="L648" t="str">
        <f t="shared" si="41"/>
        <v>2+years</v>
      </c>
      <c r="M648" t="s">
        <v>59</v>
      </c>
      <c r="N648">
        <v>24000</v>
      </c>
      <c r="O648">
        <v>18</v>
      </c>
      <c r="P648">
        <v>432000</v>
      </c>
      <c r="Q648">
        <f t="shared" si="42"/>
        <v>24000</v>
      </c>
      <c r="R648" s="13">
        <v>60.41</v>
      </c>
      <c r="S648" t="s">
        <v>36</v>
      </c>
      <c r="T648">
        <f t="shared" si="43"/>
        <v>0</v>
      </c>
      <c r="U648">
        <v>0</v>
      </c>
      <c r="V648">
        <v>0</v>
      </c>
      <c r="W648">
        <v>0</v>
      </c>
    </row>
    <row r="649" spans="1:23" x14ac:dyDescent="0.35">
      <c r="A649" s="7" t="s">
        <v>736</v>
      </c>
      <c r="B649" t="s">
        <v>737</v>
      </c>
      <c r="C649" s="1">
        <v>45713</v>
      </c>
      <c r="D649">
        <v>21</v>
      </c>
      <c r="E649" t="str">
        <f t="shared" si="40"/>
        <v>Under25</v>
      </c>
      <c r="F649" t="s">
        <v>152</v>
      </c>
      <c r="G649" t="s">
        <v>19</v>
      </c>
      <c r="H649" t="s">
        <v>28</v>
      </c>
      <c r="I649">
        <v>1</v>
      </c>
      <c r="J649" t="s">
        <v>34</v>
      </c>
      <c r="K649">
        <v>36</v>
      </c>
      <c r="L649" t="str">
        <f t="shared" si="41"/>
        <v>2+years</v>
      </c>
      <c r="M649" t="s">
        <v>48</v>
      </c>
      <c r="N649">
        <v>9000</v>
      </c>
      <c r="O649">
        <v>4</v>
      </c>
      <c r="P649">
        <v>36000</v>
      </c>
      <c r="Q649">
        <f t="shared" si="42"/>
        <v>9000</v>
      </c>
      <c r="R649" s="13">
        <v>153.52000000000001</v>
      </c>
      <c r="S649" t="s">
        <v>36</v>
      </c>
      <c r="T649">
        <f t="shared" si="43"/>
        <v>0</v>
      </c>
      <c r="U649">
        <v>0</v>
      </c>
      <c r="V649">
        <v>0</v>
      </c>
      <c r="W649">
        <v>0</v>
      </c>
    </row>
    <row r="650" spans="1:23" x14ac:dyDescent="0.35">
      <c r="A650" s="7" t="s">
        <v>736</v>
      </c>
      <c r="B650" t="s">
        <v>737</v>
      </c>
      <c r="C650" s="1">
        <v>45713</v>
      </c>
      <c r="D650">
        <v>21</v>
      </c>
      <c r="E650" t="str">
        <f t="shared" si="40"/>
        <v>Under25</v>
      </c>
      <c r="F650" t="s">
        <v>152</v>
      </c>
      <c r="G650" t="s">
        <v>38</v>
      </c>
      <c r="H650" t="s">
        <v>28</v>
      </c>
      <c r="I650">
        <v>1</v>
      </c>
      <c r="J650" t="s">
        <v>34</v>
      </c>
      <c r="K650">
        <v>36</v>
      </c>
      <c r="L650" t="str">
        <f t="shared" si="41"/>
        <v>2+years</v>
      </c>
      <c r="M650" t="s">
        <v>62</v>
      </c>
      <c r="N650">
        <v>30000</v>
      </c>
      <c r="O650">
        <v>19</v>
      </c>
      <c r="P650">
        <v>570000</v>
      </c>
      <c r="Q650">
        <f t="shared" si="42"/>
        <v>30000</v>
      </c>
      <c r="R650" s="13">
        <v>68.599999999999994</v>
      </c>
      <c r="S650" t="s">
        <v>36</v>
      </c>
      <c r="T650">
        <f t="shared" si="43"/>
        <v>0</v>
      </c>
      <c r="U650">
        <v>0</v>
      </c>
      <c r="V650">
        <v>0</v>
      </c>
      <c r="W650">
        <v>0</v>
      </c>
    </row>
    <row r="651" spans="1:23" x14ac:dyDescent="0.35">
      <c r="A651" s="7" t="s">
        <v>738</v>
      </c>
      <c r="B651" t="s">
        <v>739</v>
      </c>
      <c r="C651" s="1">
        <v>45741</v>
      </c>
      <c r="D651">
        <v>38</v>
      </c>
      <c r="E651" t="str">
        <f t="shared" si="40"/>
        <v>35-44</v>
      </c>
      <c r="F651" t="s">
        <v>116</v>
      </c>
      <c r="G651" t="s">
        <v>19</v>
      </c>
      <c r="H651" t="s">
        <v>28</v>
      </c>
      <c r="I651">
        <v>4</v>
      </c>
      <c r="J651" t="s">
        <v>109</v>
      </c>
      <c r="K651">
        <v>54</v>
      </c>
      <c r="L651" t="str">
        <f t="shared" si="41"/>
        <v>2+years</v>
      </c>
      <c r="M651" t="s">
        <v>22</v>
      </c>
      <c r="N651">
        <v>35000</v>
      </c>
      <c r="O651">
        <v>15</v>
      </c>
      <c r="P651">
        <v>525000</v>
      </c>
      <c r="Q651">
        <f t="shared" si="42"/>
        <v>35000</v>
      </c>
      <c r="R651" s="13">
        <v>31.5</v>
      </c>
      <c r="S651" t="s">
        <v>36</v>
      </c>
      <c r="T651">
        <f t="shared" si="43"/>
        <v>0</v>
      </c>
      <c r="U651">
        <v>0</v>
      </c>
      <c r="V651">
        <v>0</v>
      </c>
      <c r="W651">
        <v>0</v>
      </c>
    </row>
    <row r="652" spans="1:23" x14ac:dyDescent="0.35">
      <c r="A652" s="7" t="s">
        <v>740</v>
      </c>
      <c r="B652" t="s">
        <v>741</v>
      </c>
      <c r="C652" s="1">
        <v>45682</v>
      </c>
      <c r="D652">
        <v>58</v>
      </c>
      <c r="E652" t="str">
        <f t="shared" si="40"/>
        <v>55+</v>
      </c>
      <c r="F652" t="s">
        <v>32</v>
      </c>
      <c r="G652" t="s">
        <v>33</v>
      </c>
      <c r="H652" t="s">
        <v>28</v>
      </c>
      <c r="I652">
        <v>5</v>
      </c>
      <c r="J652" t="s">
        <v>52</v>
      </c>
      <c r="K652">
        <v>60</v>
      </c>
      <c r="L652" t="str">
        <f t="shared" si="41"/>
        <v>2+years</v>
      </c>
      <c r="M652" t="s">
        <v>68</v>
      </c>
      <c r="N652">
        <v>14500</v>
      </c>
      <c r="O652">
        <v>11</v>
      </c>
      <c r="P652">
        <v>159500</v>
      </c>
      <c r="Q652">
        <f t="shared" si="42"/>
        <v>14500</v>
      </c>
      <c r="R652" s="13">
        <v>115.69</v>
      </c>
      <c r="S652" t="s">
        <v>23</v>
      </c>
      <c r="T652">
        <f t="shared" si="43"/>
        <v>1</v>
      </c>
      <c r="U652">
        <v>0</v>
      </c>
      <c r="V652">
        <v>0</v>
      </c>
      <c r="W652">
        <v>0</v>
      </c>
    </row>
    <row r="653" spans="1:23" x14ac:dyDescent="0.35">
      <c r="A653" s="7" t="s">
        <v>740</v>
      </c>
      <c r="B653" t="s">
        <v>741</v>
      </c>
      <c r="C653" s="1">
        <v>45682</v>
      </c>
      <c r="D653">
        <v>58</v>
      </c>
      <c r="E653" t="str">
        <f t="shared" si="40"/>
        <v>55+</v>
      </c>
      <c r="F653" t="s">
        <v>32</v>
      </c>
      <c r="G653" t="s">
        <v>27</v>
      </c>
      <c r="H653" t="s">
        <v>28</v>
      </c>
      <c r="I653">
        <v>5</v>
      </c>
      <c r="J653" t="s">
        <v>52</v>
      </c>
      <c r="K653">
        <v>60</v>
      </c>
      <c r="L653" t="str">
        <f t="shared" si="41"/>
        <v>2+years</v>
      </c>
      <c r="M653" t="s">
        <v>53</v>
      </c>
      <c r="N653">
        <v>3500</v>
      </c>
      <c r="O653">
        <v>5</v>
      </c>
      <c r="P653">
        <v>17500</v>
      </c>
      <c r="Q653">
        <f t="shared" si="42"/>
        <v>3500</v>
      </c>
      <c r="R653" s="13">
        <v>13.71</v>
      </c>
      <c r="S653" t="s">
        <v>23</v>
      </c>
      <c r="T653">
        <f t="shared" si="43"/>
        <v>1</v>
      </c>
      <c r="U653">
        <v>0</v>
      </c>
      <c r="V653">
        <v>0</v>
      </c>
      <c r="W653">
        <v>0</v>
      </c>
    </row>
    <row r="654" spans="1:23" x14ac:dyDescent="0.35">
      <c r="A654" s="7" t="s">
        <v>740</v>
      </c>
      <c r="B654" t="s">
        <v>741</v>
      </c>
      <c r="C654" s="1">
        <v>45682</v>
      </c>
      <c r="D654">
        <v>58</v>
      </c>
      <c r="E654" t="str">
        <f t="shared" si="40"/>
        <v>55+</v>
      </c>
      <c r="F654" t="s">
        <v>32</v>
      </c>
      <c r="G654" t="s">
        <v>38</v>
      </c>
      <c r="H654" t="s">
        <v>28</v>
      </c>
      <c r="I654">
        <v>5</v>
      </c>
      <c r="J654" t="s">
        <v>52</v>
      </c>
      <c r="K654">
        <v>60</v>
      </c>
      <c r="L654" t="str">
        <f t="shared" si="41"/>
        <v>2+years</v>
      </c>
      <c r="M654" t="s">
        <v>62</v>
      </c>
      <c r="N654">
        <v>30000</v>
      </c>
      <c r="O654">
        <v>11</v>
      </c>
      <c r="P654">
        <v>330000</v>
      </c>
      <c r="Q654">
        <f t="shared" si="42"/>
        <v>30000</v>
      </c>
      <c r="R654" s="13">
        <v>168.23</v>
      </c>
      <c r="S654" t="s">
        <v>23</v>
      </c>
      <c r="T654">
        <f t="shared" si="43"/>
        <v>1</v>
      </c>
      <c r="U654">
        <v>0</v>
      </c>
      <c r="V654">
        <v>0</v>
      </c>
      <c r="W654">
        <v>0</v>
      </c>
    </row>
    <row r="655" spans="1:23" x14ac:dyDescent="0.35">
      <c r="A655" s="7" t="s">
        <v>742</v>
      </c>
      <c r="B655" t="s">
        <v>743</v>
      </c>
      <c r="C655" s="1">
        <v>45682</v>
      </c>
      <c r="D655">
        <v>37</v>
      </c>
      <c r="E655" t="str">
        <f t="shared" si="40"/>
        <v>35-44</v>
      </c>
      <c r="F655" t="s">
        <v>58</v>
      </c>
      <c r="G655" t="s">
        <v>38</v>
      </c>
      <c r="H655" t="s">
        <v>20</v>
      </c>
      <c r="I655">
        <v>3</v>
      </c>
      <c r="J655" t="s">
        <v>47</v>
      </c>
      <c r="K655">
        <v>39</v>
      </c>
      <c r="L655" t="str">
        <f t="shared" si="41"/>
        <v>2+years</v>
      </c>
      <c r="M655" t="s">
        <v>68</v>
      </c>
      <c r="N655">
        <v>14500</v>
      </c>
      <c r="O655">
        <v>8</v>
      </c>
      <c r="P655">
        <v>116000</v>
      </c>
      <c r="Q655">
        <f t="shared" si="42"/>
        <v>14500</v>
      </c>
      <c r="R655" s="13">
        <v>17.82</v>
      </c>
      <c r="S655" t="s">
        <v>36</v>
      </c>
      <c r="T655">
        <f t="shared" si="43"/>
        <v>0</v>
      </c>
      <c r="U655">
        <v>0</v>
      </c>
      <c r="V655">
        <v>0</v>
      </c>
      <c r="W655">
        <v>0</v>
      </c>
    </row>
    <row r="656" spans="1:23" x14ac:dyDescent="0.35">
      <c r="A656" s="7" t="s">
        <v>742</v>
      </c>
      <c r="B656" t="s">
        <v>743</v>
      </c>
      <c r="C656" s="1">
        <v>45682</v>
      </c>
      <c r="D656">
        <v>37</v>
      </c>
      <c r="E656" t="str">
        <f t="shared" si="40"/>
        <v>35-44</v>
      </c>
      <c r="F656" t="s">
        <v>58</v>
      </c>
      <c r="G656" t="s">
        <v>19</v>
      </c>
      <c r="H656" t="s">
        <v>20</v>
      </c>
      <c r="I656">
        <v>3</v>
      </c>
      <c r="J656" t="s">
        <v>47</v>
      </c>
      <c r="K656">
        <v>39</v>
      </c>
      <c r="L656" t="str">
        <f t="shared" si="41"/>
        <v>2+years</v>
      </c>
      <c r="M656" t="s">
        <v>48</v>
      </c>
      <c r="N656">
        <v>9000</v>
      </c>
      <c r="O656">
        <v>10</v>
      </c>
      <c r="P656">
        <v>90000</v>
      </c>
      <c r="Q656">
        <f t="shared" si="42"/>
        <v>9000</v>
      </c>
      <c r="R656" s="13">
        <v>90.66</v>
      </c>
      <c r="S656" t="s">
        <v>36</v>
      </c>
      <c r="T656">
        <f t="shared" si="43"/>
        <v>0</v>
      </c>
      <c r="U656">
        <v>0</v>
      </c>
      <c r="V656">
        <v>0</v>
      </c>
      <c r="W656">
        <v>0</v>
      </c>
    </row>
    <row r="657" spans="1:23" x14ac:dyDescent="0.35">
      <c r="A657" s="7" t="s">
        <v>744</v>
      </c>
      <c r="B657" t="s">
        <v>745</v>
      </c>
      <c r="C657" s="1">
        <v>45682</v>
      </c>
      <c r="D657">
        <v>54</v>
      </c>
      <c r="E657" t="str">
        <f t="shared" si="40"/>
        <v>45-54</v>
      </c>
      <c r="F657" t="s">
        <v>126</v>
      </c>
      <c r="G657" t="s">
        <v>38</v>
      </c>
      <c r="H657" t="s">
        <v>20</v>
      </c>
      <c r="I657">
        <v>2</v>
      </c>
      <c r="J657" t="s">
        <v>21</v>
      </c>
      <c r="K657">
        <v>24</v>
      </c>
      <c r="L657" t="str">
        <f t="shared" si="41"/>
        <v>1-2 years</v>
      </c>
      <c r="M657" t="s">
        <v>59</v>
      </c>
      <c r="N657">
        <v>24000</v>
      </c>
      <c r="O657">
        <v>11</v>
      </c>
      <c r="P657">
        <v>264000</v>
      </c>
      <c r="Q657">
        <f t="shared" si="42"/>
        <v>24000</v>
      </c>
      <c r="R657" s="13">
        <v>31.24</v>
      </c>
      <c r="S657" t="s">
        <v>36</v>
      </c>
      <c r="T657">
        <f t="shared" si="43"/>
        <v>0</v>
      </c>
      <c r="U657">
        <v>0</v>
      </c>
      <c r="V657">
        <v>0</v>
      </c>
      <c r="W657">
        <v>0</v>
      </c>
    </row>
    <row r="658" spans="1:23" x14ac:dyDescent="0.35">
      <c r="A658" s="7" t="s">
        <v>744</v>
      </c>
      <c r="B658" t="s">
        <v>745</v>
      </c>
      <c r="C658" s="1">
        <v>45682</v>
      </c>
      <c r="D658">
        <v>54</v>
      </c>
      <c r="E658" t="str">
        <f t="shared" si="40"/>
        <v>45-54</v>
      </c>
      <c r="F658" t="s">
        <v>126</v>
      </c>
      <c r="G658" t="s">
        <v>19</v>
      </c>
      <c r="H658" t="s">
        <v>20</v>
      </c>
      <c r="I658">
        <v>2</v>
      </c>
      <c r="J658" t="s">
        <v>21</v>
      </c>
      <c r="K658">
        <v>24</v>
      </c>
      <c r="L658" t="str">
        <f t="shared" si="41"/>
        <v>1-2 years</v>
      </c>
      <c r="M658" t="s">
        <v>22</v>
      </c>
      <c r="N658">
        <v>35000</v>
      </c>
      <c r="O658">
        <v>17</v>
      </c>
      <c r="P658">
        <v>595000</v>
      </c>
      <c r="Q658">
        <f t="shared" si="42"/>
        <v>35000</v>
      </c>
      <c r="R658" s="13">
        <v>146.62</v>
      </c>
      <c r="S658" t="s">
        <v>36</v>
      </c>
      <c r="T658">
        <f t="shared" si="43"/>
        <v>0</v>
      </c>
      <c r="U658">
        <v>0</v>
      </c>
      <c r="V658">
        <v>0</v>
      </c>
      <c r="W658">
        <v>0</v>
      </c>
    </row>
    <row r="659" spans="1:23" x14ac:dyDescent="0.35">
      <c r="A659" s="7" t="s">
        <v>746</v>
      </c>
      <c r="B659" t="s">
        <v>747</v>
      </c>
      <c r="C659" s="1">
        <v>45713</v>
      </c>
      <c r="D659">
        <v>57</v>
      </c>
      <c r="E659" t="str">
        <f t="shared" si="40"/>
        <v>55+</v>
      </c>
      <c r="F659" t="s">
        <v>51</v>
      </c>
      <c r="G659" t="s">
        <v>27</v>
      </c>
      <c r="H659" t="s">
        <v>20</v>
      </c>
      <c r="I659">
        <v>2</v>
      </c>
      <c r="J659" t="s">
        <v>21</v>
      </c>
      <c r="K659">
        <v>53</v>
      </c>
      <c r="L659" t="str">
        <f t="shared" si="41"/>
        <v>2+years</v>
      </c>
      <c r="M659" t="s">
        <v>187</v>
      </c>
      <c r="N659">
        <v>6500</v>
      </c>
      <c r="O659">
        <v>10</v>
      </c>
      <c r="P659">
        <v>65000</v>
      </c>
      <c r="Q659">
        <f t="shared" si="42"/>
        <v>6500</v>
      </c>
      <c r="R659" s="13">
        <v>23.61</v>
      </c>
      <c r="S659" t="s">
        <v>36</v>
      </c>
      <c r="T659">
        <f t="shared" si="43"/>
        <v>0</v>
      </c>
      <c r="U659">
        <v>0</v>
      </c>
      <c r="V659">
        <v>0</v>
      </c>
      <c r="W659">
        <v>0</v>
      </c>
    </row>
    <row r="660" spans="1:23" x14ac:dyDescent="0.35">
      <c r="A660" s="7" t="s">
        <v>746</v>
      </c>
      <c r="B660" t="s">
        <v>747</v>
      </c>
      <c r="C660" s="1">
        <v>45713</v>
      </c>
      <c r="D660">
        <v>57</v>
      </c>
      <c r="E660" t="str">
        <f t="shared" si="40"/>
        <v>55+</v>
      </c>
      <c r="F660" t="s">
        <v>51</v>
      </c>
      <c r="G660" t="s">
        <v>33</v>
      </c>
      <c r="H660" t="s">
        <v>20</v>
      </c>
      <c r="I660">
        <v>2</v>
      </c>
      <c r="J660" t="s">
        <v>21</v>
      </c>
      <c r="K660">
        <v>53</v>
      </c>
      <c r="L660" t="str">
        <f t="shared" si="41"/>
        <v>2+years</v>
      </c>
      <c r="M660" t="s">
        <v>39</v>
      </c>
      <c r="N660">
        <v>9000</v>
      </c>
      <c r="O660">
        <v>20</v>
      </c>
      <c r="P660">
        <v>180000</v>
      </c>
      <c r="Q660">
        <f t="shared" si="42"/>
        <v>9000</v>
      </c>
      <c r="R660" s="13">
        <v>137.57</v>
      </c>
      <c r="S660" t="s">
        <v>36</v>
      </c>
      <c r="T660">
        <f t="shared" si="43"/>
        <v>0</v>
      </c>
      <c r="U660">
        <v>0</v>
      </c>
      <c r="V660">
        <v>0</v>
      </c>
      <c r="W660">
        <v>0</v>
      </c>
    </row>
    <row r="661" spans="1:23" x14ac:dyDescent="0.35">
      <c r="A661" s="7" t="s">
        <v>748</v>
      </c>
      <c r="B661" t="s">
        <v>749</v>
      </c>
      <c r="C661" s="1">
        <v>45741</v>
      </c>
      <c r="D661">
        <v>58</v>
      </c>
      <c r="E661" t="str">
        <f t="shared" si="40"/>
        <v>55+</v>
      </c>
      <c r="F661" t="s">
        <v>32</v>
      </c>
      <c r="G661" t="s">
        <v>19</v>
      </c>
      <c r="H661" t="s">
        <v>20</v>
      </c>
      <c r="I661">
        <v>1</v>
      </c>
      <c r="J661" t="s">
        <v>34</v>
      </c>
      <c r="K661">
        <v>7</v>
      </c>
      <c r="L661" t="str">
        <f t="shared" si="41"/>
        <v>6-12 months</v>
      </c>
      <c r="M661" t="s">
        <v>43</v>
      </c>
      <c r="N661">
        <v>4500</v>
      </c>
      <c r="O661">
        <v>9</v>
      </c>
      <c r="P661">
        <v>40500</v>
      </c>
      <c r="Q661">
        <f t="shared" si="42"/>
        <v>4500</v>
      </c>
      <c r="R661" s="13">
        <v>38.909999999999997</v>
      </c>
      <c r="S661" t="s">
        <v>36</v>
      </c>
      <c r="T661">
        <f t="shared" si="43"/>
        <v>0</v>
      </c>
      <c r="U661">
        <v>0</v>
      </c>
      <c r="V661">
        <v>0</v>
      </c>
      <c r="W661">
        <v>0</v>
      </c>
    </row>
    <row r="662" spans="1:23" x14ac:dyDescent="0.35">
      <c r="A662" s="7" t="s">
        <v>748</v>
      </c>
      <c r="B662" t="s">
        <v>749</v>
      </c>
      <c r="C662" s="1">
        <v>45741</v>
      </c>
      <c r="D662">
        <v>58</v>
      </c>
      <c r="E662" t="str">
        <f t="shared" si="40"/>
        <v>55+</v>
      </c>
      <c r="F662" t="s">
        <v>32</v>
      </c>
      <c r="G662" t="s">
        <v>27</v>
      </c>
      <c r="H662" t="s">
        <v>20</v>
      </c>
      <c r="I662">
        <v>1</v>
      </c>
      <c r="J662" t="s">
        <v>34</v>
      </c>
      <c r="K662">
        <v>7</v>
      </c>
      <c r="L662" t="str">
        <f t="shared" si="41"/>
        <v>6-12 months</v>
      </c>
      <c r="M662" t="s">
        <v>187</v>
      </c>
      <c r="N662">
        <v>6500</v>
      </c>
      <c r="O662">
        <v>15</v>
      </c>
      <c r="P662">
        <v>97500</v>
      </c>
      <c r="Q662">
        <f t="shared" si="42"/>
        <v>6500</v>
      </c>
      <c r="R662" s="13">
        <v>64.17</v>
      </c>
      <c r="S662" t="s">
        <v>36</v>
      </c>
      <c r="T662">
        <f t="shared" si="43"/>
        <v>0</v>
      </c>
      <c r="U662">
        <v>0</v>
      </c>
      <c r="V662">
        <v>0</v>
      </c>
      <c r="W662">
        <v>0</v>
      </c>
    </row>
    <row r="663" spans="1:23" x14ac:dyDescent="0.35">
      <c r="A663" s="7" t="s">
        <v>750</v>
      </c>
      <c r="B663" t="s">
        <v>751</v>
      </c>
      <c r="C663" s="1">
        <v>45682</v>
      </c>
      <c r="D663">
        <v>50</v>
      </c>
      <c r="E663" t="str">
        <f t="shared" si="40"/>
        <v>45-54</v>
      </c>
      <c r="F663" t="s">
        <v>51</v>
      </c>
      <c r="G663" t="s">
        <v>38</v>
      </c>
      <c r="H663" t="s">
        <v>20</v>
      </c>
      <c r="I663">
        <v>1</v>
      </c>
      <c r="J663" t="s">
        <v>34</v>
      </c>
      <c r="K663">
        <v>18</v>
      </c>
      <c r="L663" t="str">
        <f t="shared" si="41"/>
        <v>1-2 years</v>
      </c>
      <c r="M663" t="s">
        <v>59</v>
      </c>
      <c r="N663">
        <v>24000</v>
      </c>
      <c r="O663">
        <v>5</v>
      </c>
      <c r="P663">
        <v>120000</v>
      </c>
      <c r="Q663">
        <f t="shared" si="42"/>
        <v>24000</v>
      </c>
      <c r="R663" s="13">
        <v>64.040000000000006</v>
      </c>
      <c r="S663" t="s">
        <v>36</v>
      </c>
      <c r="T663">
        <f t="shared" si="43"/>
        <v>0</v>
      </c>
      <c r="U663">
        <v>0</v>
      </c>
      <c r="V663">
        <v>0</v>
      </c>
      <c r="W663">
        <v>0</v>
      </c>
    </row>
    <row r="664" spans="1:23" x14ac:dyDescent="0.35">
      <c r="A664" s="7" t="s">
        <v>750</v>
      </c>
      <c r="B664" t="s">
        <v>751</v>
      </c>
      <c r="C664" s="1">
        <v>45682</v>
      </c>
      <c r="D664">
        <v>50</v>
      </c>
      <c r="E664" t="str">
        <f t="shared" si="40"/>
        <v>45-54</v>
      </c>
      <c r="F664" t="s">
        <v>51</v>
      </c>
      <c r="G664" t="s">
        <v>27</v>
      </c>
      <c r="H664" t="s">
        <v>20</v>
      </c>
      <c r="I664">
        <v>1</v>
      </c>
      <c r="J664" t="s">
        <v>34</v>
      </c>
      <c r="K664">
        <v>18</v>
      </c>
      <c r="L664" t="str">
        <f t="shared" si="41"/>
        <v>1-2 years</v>
      </c>
      <c r="M664" t="s">
        <v>37</v>
      </c>
      <c r="N664">
        <v>500</v>
      </c>
      <c r="O664">
        <v>6</v>
      </c>
      <c r="P664">
        <v>3000</v>
      </c>
      <c r="Q664">
        <f t="shared" si="42"/>
        <v>500</v>
      </c>
      <c r="R664" s="13">
        <v>115.03</v>
      </c>
      <c r="S664" t="s">
        <v>36</v>
      </c>
      <c r="T664">
        <f t="shared" si="43"/>
        <v>0</v>
      </c>
      <c r="U664">
        <v>0</v>
      </c>
      <c r="V664">
        <v>0</v>
      </c>
      <c r="W664">
        <v>0</v>
      </c>
    </row>
    <row r="665" spans="1:23" x14ac:dyDescent="0.35">
      <c r="A665" s="7" t="s">
        <v>750</v>
      </c>
      <c r="B665" t="s">
        <v>751</v>
      </c>
      <c r="C665" s="1">
        <v>45682</v>
      </c>
      <c r="D665">
        <v>50</v>
      </c>
      <c r="E665" t="str">
        <f t="shared" si="40"/>
        <v>45-54</v>
      </c>
      <c r="F665" t="s">
        <v>51</v>
      </c>
      <c r="G665" t="s">
        <v>19</v>
      </c>
      <c r="H665" t="s">
        <v>20</v>
      </c>
      <c r="I665">
        <v>1</v>
      </c>
      <c r="J665" t="s">
        <v>34</v>
      </c>
      <c r="K665">
        <v>18</v>
      </c>
      <c r="L665" t="str">
        <f t="shared" si="41"/>
        <v>1-2 years</v>
      </c>
      <c r="M665" t="s">
        <v>55</v>
      </c>
      <c r="N665">
        <v>16000</v>
      </c>
      <c r="O665">
        <v>11</v>
      </c>
      <c r="P665">
        <v>176000</v>
      </c>
      <c r="Q665">
        <f t="shared" si="42"/>
        <v>16000</v>
      </c>
      <c r="R665" s="13">
        <v>62.62</v>
      </c>
      <c r="S665" t="s">
        <v>36</v>
      </c>
      <c r="T665">
        <f t="shared" si="43"/>
        <v>0</v>
      </c>
      <c r="U665">
        <v>0</v>
      </c>
      <c r="V665">
        <v>0</v>
      </c>
      <c r="W665">
        <v>0</v>
      </c>
    </row>
    <row r="666" spans="1:23" x14ac:dyDescent="0.35">
      <c r="A666" s="7" t="s">
        <v>752</v>
      </c>
      <c r="B666" t="s">
        <v>753</v>
      </c>
      <c r="C666" s="1">
        <v>45713</v>
      </c>
      <c r="D666">
        <v>72</v>
      </c>
      <c r="E666" t="str">
        <f t="shared" si="40"/>
        <v>55+</v>
      </c>
      <c r="F666" t="s">
        <v>46</v>
      </c>
      <c r="G666" t="s">
        <v>27</v>
      </c>
      <c r="H666" t="s">
        <v>20</v>
      </c>
      <c r="I666">
        <v>1</v>
      </c>
      <c r="J666" t="s">
        <v>34</v>
      </c>
      <c r="K666">
        <v>2</v>
      </c>
      <c r="L666" t="str">
        <f t="shared" si="41"/>
        <v>0-5 months</v>
      </c>
      <c r="M666" t="s">
        <v>83</v>
      </c>
      <c r="N666">
        <v>7500</v>
      </c>
      <c r="O666">
        <v>20</v>
      </c>
      <c r="P666">
        <v>150000</v>
      </c>
      <c r="Q666">
        <f t="shared" si="42"/>
        <v>7500</v>
      </c>
      <c r="R666" s="13">
        <v>36.21</v>
      </c>
      <c r="S666" t="s">
        <v>23</v>
      </c>
      <c r="T666">
        <f t="shared" si="43"/>
        <v>1</v>
      </c>
      <c r="U666">
        <v>0</v>
      </c>
      <c r="V666">
        <v>0</v>
      </c>
      <c r="W666">
        <v>0</v>
      </c>
    </row>
    <row r="667" spans="1:23" x14ac:dyDescent="0.35">
      <c r="A667" s="7" t="s">
        <v>754</v>
      </c>
      <c r="B667" t="s">
        <v>128</v>
      </c>
      <c r="C667" s="1">
        <v>45713</v>
      </c>
      <c r="D667">
        <v>61</v>
      </c>
      <c r="E667" t="str">
        <f t="shared" si="40"/>
        <v>55+</v>
      </c>
      <c r="F667" t="s">
        <v>144</v>
      </c>
      <c r="G667" t="s">
        <v>19</v>
      </c>
      <c r="H667" t="s">
        <v>28</v>
      </c>
      <c r="I667">
        <v>5</v>
      </c>
      <c r="J667" t="s">
        <v>52</v>
      </c>
      <c r="K667">
        <v>53</v>
      </c>
      <c r="L667" t="str">
        <f t="shared" si="41"/>
        <v>2+years</v>
      </c>
      <c r="M667" t="s">
        <v>22</v>
      </c>
      <c r="N667">
        <v>35000</v>
      </c>
      <c r="O667">
        <v>10</v>
      </c>
      <c r="P667">
        <v>350000</v>
      </c>
      <c r="Q667">
        <f t="shared" si="42"/>
        <v>35000</v>
      </c>
      <c r="R667" s="13">
        <v>19.899999999999999</v>
      </c>
      <c r="S667" t="s">
        <v>23</v>
      </c>
      <c r="T667">
        <f t="shared" si="43"/>
        <v>1</v>
      </c>
      <c r="U667">
        <v>0</v>
      </c>
      <c r="V667">
        <v>0</v>
      </c>
      <c r="W667">
        <v>0</v>
      </c>
    </row>
    <row r="668" spans="1:23" x14ac:dyDescent="0.35">
      <c r="A668" s="7" t="s">
        <v>754</v>
      </c>
      <c r="B668" t="s">
        <v>128</v>
      </c>
      <c r="C668" s="1">
        <v>45713</v>
      </c>
      <c r="D668">
        <v>61</v>
      </c>
      <c r="E668" t="str">
        <f t="shared" si="40"/>
        <v>55+</v>
      </c>
      <c r="F668" t="s">
        <v>144</v>
      </c>
      <c r="G668" t="s">
        <v>38</v>
      </c>
      <c r="H668" t="s">
        <v>28</v>
      </c>
      <c r="I668">
        <v>5</v>
      </c>
      <c r="J668" t="s">
        <v>52</v>
      </c>
      <c r="K668">
        <v>53</v>
      </c>
      <c r="L668" t="str">
        <f t="shared" si="41"/>
        <v>2+years</v>
      </c>
      <c r="M668" t="s">
        <v>68</v>
      </c>
      <c r="N668">
        <v>14500</v>
      </c>
      <c r="O668">
        <v>8</v>
      </c>
      <c r="P668">
        <v>116000</v>
      </c>
      <c r="Q668">
        <f t="shared" si="42"/>
        <v>14500</v>
      </c>
      <c r="R668" s="13">
        <v>94.37</v>
      </c>
      <c r="S668" t="s">
        <v>23</v>
      </c>
      <c r="T668">
        <f t="shared" si="43"/>
        <v>1</v>
      </c>
      <c r="U668">
        <v>0</v>
      </c>
      <c r="V668">
        <v>0</v>
      </c>
      <c r="W668">
        <v>0</v>
      </c>
    </row>
    <row r="669" spans="1:23" x14ac:dyDescent="0.35">
      <c r="A669" s="7" t="s">
        <v>755</v>
      </c>
      <c r="B669" t="s">
        <v>756</v>
      </c>
      <c r="C669" s="1">
        <v>45741</v>
      </c>
      <c r="D669">
        <v>49</v>
      </c>
      <c r="E669" t="str">
        <f t="shared" si="40"/>
        <v>45-54</v>
      </c>
      <c r="F669" t="s">
        <v>42</v>
      </c>
      <c r="G669" t="s">
        <v>38</v>
      </c>
      <c r="H669" t="s">
        <v>28</v>
      </c>
      <c r="I669">
        <v>3</v>
      </c>
      <c r="J669" t="s">
        <v>47</v>
      </c>
      <c r="K669">
        <v>12</v>
      </c>
      <c r="L669" t="str">
        <f t="shared" si="41"/>
        <v>6-12 months</v>
      </c>
      <c r="M669" t="s">
        <v>68</v>
      </c>
      <c r="N669">
        <v>14500</v>
      </c>
      <c r="O669">
        <v>16</v>
      </c>
      <c r="P669">
        <v>232000</v>
      </c>
      <c r="Q669">
        <f t="shared" si="42"/>
        <v>14500</v>
      </c>
      <c r="R669" s="13">
        <v>23.02</v>
      </c>
      <c r="S669" t="s">
        <v>36</v>
      </c>
      <c r="T669">
        <f t="shared" si="43"/>
        <v>0</v>
      </c>
      <c r="U669">
        <v>0</v>
      </c>
      <c r="V669">
        <v>0</v>
      </c>
      <c r="W669">
        <v>0</v>
      </c>
    </row>
    <row r="670" spans="1:23" x14ac:dyDescent="0.35">
      <c r="A670" s="7" t="s">
        <v>757</v>
      </c>
      <c r="B670" t="s">
        <v>758</v>
      </c>
      <c r="C670" s="1">
        <v>45713</v>
      </c>
      <c r="D670">
        <v>37</v>
      </c>
      <c r="E670" t="str">
        <f t="shared" si="40"/>
        <v>35-44</v>
      </c>
      <c r="F670" t="s">
        <v>96</v>
      </c>
      <c r="G670" t="s">
        <v>38</v>
      </c>
      <c r="H670" t="s">
        <v>28</v>
      </c>
      <c r="I670">
        <v>5</v>
      </c>
      <c r="J670" t="s">
        <v>52</v>
      </c>
      <c r="K670">
        <v>39</v>
      </c>
      <c r="L670" t="str">
        <f t="shared" si="41"/>
        <v>2+years</v>
      </c>
      <c r="M670" t="s">
        <v>62</v>
      </c>
      <c r="N670">
        <v>30000</v>
      </c>
      <c r="O670">
        <v>13</v>
      </c>
      <c r="P670">
        <v>390000</v>
      </c>
      <c r="Q670">
        <f t="shared" si="42"/>
        <v>30000</v>
      </c>
      <c r="R670" s="13">
        <v>106.78</v>
      </c>
      <c r="S670" t="s">
        <v>23</v>
      </c>
      <c r="T670">
        <f t="shared" si="43"/>
        <v>1</v>
      </c>
      <c r="U670">
        <v>0</v>
      </c>
      <c r="V670">
        <v>0</v>
      </c>
      <c r="W670">
        <v>0</v>
      </c>
    </row>
    <row r="671" spans="1:23" x14ac:dyDescent="0.35">
      <c r="A671" s="7" t="s">
        <v>757</v>
      </c>
      <c r="B671" t="s">
        <v>758</v>
      </c>
      <c r="C671" s="1">
        <v>45713</v>
      </c>
      <c r="D671">
        <v>37</v>
      </c>
      <c r="E671" t="str">
        <f t="shared" si="40"/>
        <v>35-44</v>
      </c>
      <c r="F671" t="s">
        <v>96</v>
      </c>
      <c r="G671" t="s">
        <v>19</v>
      </c>
      <c r="H671" t="s">
        <v>28</v>
      </c>
      <c r="I671">
        <v>5</v>
      </c>
      <c r="J671" t="s">
        <v>52</v>
      </c>
      <c r="K671">
        <v>39</v>
      </c>
      <c r="L671" t="str">
        <f t="shared" si="41"/>
        <v>2+years</v>
      </c>
      <c r="M671" t="s">
        <v>22</v>
      </c>
      <c r="N671">
        <v>35000</v>
      </c>
      <c r="O671">
        <v>8</v>
      </c>
      <c r="P671">
        <v>280000</v>
      </c>
      <c r="Q671">
        <f t="shared" si="42"/>
        <v>35000</v>
      </c>
      <c r="R671" s="13">
        <v>48.1</v>
      </c>
      <c r="S671" t="s">
        <v>23</v>
      </c>
      <c r="T671">
        <f t="shared" si="43"/>
        <v>1</v>
      </c>
      <c r="U671">
        <v>0</v>
      </c>
      <c r="V671">
        <v>0</v>
      </c>
      <c r="W671">
        <v>0</v>
      </c>
    </row>
    <row r="672" spans="1:23" x14ac:dyDescent="0.35">
      <c r="A672" s="7" t="s">
        <v>757</v>
      </c>
      <c r="B672" t="s">
        <v>758</v>
      </c>
      <c r="C672" s="1">
        <v>45713</v>
      </c>
      <c r="D672">
        <v>37</v>
      </c>
      <c r="E672" t="str">
        <f t="shared" si="40"/>
        <v>35-44</v>
      </c>
      <c r="F672" t="s">
        <v>96</v>
      </c>
      <c r="G672" t="s">
        <v>27</v>
      </c>
      <c r="H672" t="s">
        <v>28</v>
      </c>
      <c r="I672">
        <v>5</v>
      </c>
      <c r="J672" t="s">
        <v>52</v>
      </c>
      <c r="K672">
        <v>39</v>
      </c>
      <c r="L672" t="str">
        <f t="shared" si="41"/>
        <v>2+years</v>
      </c>
      <c r="M672" t="s">
        <v>187</v>
      </c>
      <c r="N672">
        <v>6500</v>
      </c>
      <c r="O672">
        <v>16</v>
      </c>
      <c r="P672">
        <v>104000</v>
      </c>
      <c r="Q672">
        <f t="shared" si="42"/>
        <v>6500</v>
      </c>
      <c r="R672" s="13">
        <v>32.22</v>
      </c>
      <c r="S672" t="s">
        <v>23</v>
      </c>
      <c r="T672">
        <f t="shared" si="43"/>
        <v>1</v>
      </c>
      <c r="U672">
        <v>0</v>
      </c>
      <c r="V672">
        <v>0</v>
      </c>
      <c r="W672">
        <v>0</v>
      </c>
    </row>
    <row r="673" spans="1:23" x14ac:dyDescent="0.35">
      <c r="A673" s="7" t="s">
        <v>759</v>
      </c>
      <c r="B673" t="s">
        <v>760</v>
      </c>
      <c r="C673" s="1">
        <v>45713</v>
      </c>
      <c r="D673">
        <v>24</v>
      </c>
      <c r="E673" t="str">
        <f t="shared" si="40"/>
        <v>Under25</v>
      </c>
      <c r="F673" t="s">
        <v>152</v>
      </c>
      <c r="G673" t="s">
        <v>19</v>
      </c>
      <c r="H673" t="s">
        <v>20</v>
      </c>
      <c r="I673">
        <v>4</v>
      </c>
      <c r="J673" t="s">
        <v>109</v>
      </c>
      <c r="K673">
        <v>53</v>
      </c>
      <c r="L673" t="str">
        <f t="shared" si="41"/>
        <v>2+years</v>
      </c>
      <c r="M673" t="s">
        <v>55</v>
      </c>
      <c r="N673">
        <v>16000</v>
      </c>
      <c r="O673">
        <v>19</v>
      </c>
      <c r="P673">
        <v>304000</v>
      </c>
      <c r="Q673">
        <f t="shared" si="42"/>
        <v>16000</v>
      </c>
      <c r="R673" s="13">
        <v>148</v>
      </c>
      <c r="S673" t="s">
        <v>36</v>
      </c>
      <c r="T673">
        <f t="shared" si="43"/>
        <v>0</v>
      </c>
      <c r="U673">
        <v>0</v>
      </c>
      <c r="V673">
        <v>0</v>
      </c>
      <c r="W673">
        <v>0</v>
      </c>
    </row>
    <row r="674" spans="1:23" x14ac:dyDescent="0.35">
      <c r="A674" s="7" t="s">
        <v>759</v>
      </c>
      <c r="B674" t="s">
        <v>760</v>
      </c>
      <c r="C674" s="1">
        <v>45713</v>
      </c>
      <c r="D674">
        <v>24</v>
      </c>
      <c r="E674" t="str">
        <f t="shared" si="40"/>
        <v>Under25</v>
      </c>
      <c r="F674" t="s">
        <v>152</v>
      </c>
      <c r="G674" t="s">
        <v>38</v>
      </c>
      <c r="H674" t="s">
        <v>20</v>
      </c>
      <c r="I674">
        <v>4</v>
      </c>
      <c r="J674" t="s">
        <v>109</v>
      </c>
      <c r="K674">
        <v>53</v>
      </c>
      <c r="L674" t="str">
        <f t="shared" si="41"/>
        <v>2+years</v>
      </c>
      <c r="M674" t="s">
        <v>68</v>
      </c>
      <c r="N674">
        <v>14500</v>
      </c>
      <c r="O674">
        <v>20</v>
      </c>
      <c r="P674">
        <v>290000</v>
      </c>
      <c r="Q674">
        <f t="shared" si="42"/>
        <v>14500</v>
      </c>
      <c r="R674" s="13">
        <v>23.31</v>
      </c>
      <c r="S674" t="s">
        <v>36</v>
      </c>
      <c r="T674">
        <f t="shared" si="43"/>
        <v>0</v>
      </c>
      <c r="U674">
        <v>0</v>
      </c>
      <c r="V674">
        <v>0</v>
      </c>
      <c r="W674">
        <v>0</v>
      </c>
    </row>
    <row r="675" spans="1:23" x14ac:dyDescent="0.35">
      <c r="A675" s="7" t="s">
        <v>761</v>
      </c>
      <c r="B675" t="s">
        <v>762</v>
      </c>
      <c r="C675" s="1">
        <v>45741</v>
      </c>
      <c r="D675">
        <v>57</v>
      </c>
      <c r="E675" t="str">
        <f t="shared" si="40"/>
        <v>55+</v>
      </c>
      <c r="F675" t="s">
        <v>91</v>
      </c>
      <c r="G675" t="s">
        <v>27</v>
      </c>
      <c r="H675" t="s">
        <v>28</v>
      </c>
      <c r="I675">
        <v>4</v>
      </c>
      <c r="J675" t="s">
        <v>109</v>
      </c>
      <c r="K675">
        <v>12</v>
      </c>
      <c r="L675" t="str">
        <f t="shared" si="41"/>
        <v>6-12 months</v>
      </c>
      <c r="M675" t="s">
        <v>97</v>
      </c>
      <c r="N675">
        <v>900</v>
      </c>
      <c r="O675">
        <v>5</v>
      </c>
      <c r="P675">
        <v>4500</v>
      </c>
      <c r="Q675">
        <f t="shared" si="42"/>
        <v>900</v>
      </c>
      <c r="R675" s="13">
        <v>18.559999999999999</v>
      </c>
      <c r="S675" t="s">
        <v>23</v>
      </c>
      <c r="T675">
        <f t="shared" si="43"/>
        <v>1</v>
      </c>
      <c r="U675">
        <v>0</v>
      </c>
      <c r="V675">
        <v>0</v>
      </c>
      <c r="W675">
        <v>0</v>
      </c>
    </row>
    <row r="676" spans="1:23" x14ac:dyDescent="0.35">
      <c r="A676" s="7" t="s">
        <v>761</v>
      </c>
      <c r="B676" t="s">
        <v>762</v>
      </c>
      <c r="C676" s="1">
        <v>45741</v>
      </c>
      <c r="D676">
        <v>57</v>
      </c>
      <c r="E676" t="str">
        <f t="shared" si="40"/>
        <v>55+</v>
      </c>
      <c r="F676" t="s">
        <v>91</v>
      </c>
      <c r="G676" t="s">
        <v>19</v>
      </c>
      <c r="H676" t="s">
        <v>28</v>
      </c>
      <c r="I676">
        <v>4</v>
      </c>
      <c r="J676" t="s">
        <v>109</v>
      </c>
      <c r="K676">
        <v>12</v>
      </c>
      <c r="L676" t="str">
        <f t="shared" si="41"/>
        <v>6-12 months</v>
      </c>
      <c r="M676" t="s">
        <v>55</v>
      </c>
      <c r="N676">
        <v>16000</v>
      </c>
      <c r="O676">
        <v>5</v>
      </c>
      <c r="P676">
        <v>80000</v>
      </c>
      <c r="Q676">
        <f t="shared" si="42"/>
        <v>16000</v>
      </c>
      <c r="R676" s="13">
        <v>151.54</v>
      </c>
      <c r="S676" t="s">
        <v>23</v>
      </c>
      <c r="T676">
        <f t="shared" si="43"/>
        <v>1</v>
      </c>
      <c r="U676">
        <v>0</v>
      </c>
      <c r="V676">
        <v>0</v>
      </c>
      <c r="W676">
        <v>0</v>
      </c>
    </row>
    <row r="677" spans="1:23" x14ac:dyDescent="0.35">
      <c r="A677" s="7" t="s">
        <v>761</v>
      </c>
      <c r="B677" t="s">
        <v>762</v>
      </c>
      <c r="C677" s="1">
        <v>45741</v>
      </c>
      <c r="D677">
        <v>57</v>
      </c>
      <c r="E677" t="str">
        <f t="shared" si="40"/>
        <v>55+</v>
      </c>
      <c r="F677" t="s">
        <v>91</v>
      </c>
      <c r="G677" t="s">
        <v>33</v>
      </c>
      <c r="H677" t="s">
        <v>28</v>
      </c>
      <c r="I677">
        <v>4</v>
      </c>
      <c r="J677" t="s">
        <v>109</v>
      </c>
      <c r="K677">
        <v>12</v>
      </c>
      <c r="L677" t="str">
        <f t="shared" si="41"/>
        <v>6-12 months</v>
      </c>
      <c r="M677" t="s">
        <v>54</v>
      </c>
      <c r="N677">
        <v>150000</v>
      </c>
      <c r="O677">
        <v>13</v>
      </c>
      <c r="P677">
        <v>1950000</v>
      </c>
      <c r="Q677">
        <f t="shared" si="42"/>
        <v>150000</v>
      </c>
      <c r="R677" s="13">
        <v>106.49</v>
      </c>
      <c r="S677" t="s">
        <v>23</v>
      </c>
      <c r="T677">
        <f t="shared" si="43"/>
        <v>1</v>
      </c>
      <c r="U677">
        <v>0</v>
      </c>
      <c r="V677">
        <v>0</v>
      </c>
      <c r="W677">
        <v>0</v>
      </c>
    </row>
    <row r="678" spans="1:23" x14ac:dyDescent="0.35">
      <c r="A678" s="7" t="s">
        <v>763</v>
      </c>
      <c r="B678" t="s">
        <v>764</v>
      </c>
      <c r="C678" s="1">
        <v>45741</v>
      </c>
      <c r="D678">
        <v>41</v>
      </c>
      <c r="E678" t="str">
        <f t="shared" si="40"/>
        <v>35-44</v>
      </c>
      <c r="F678" t="s">
        <v>75</v>
      </c>
      <c r="G678" t="s">
        <v>38</v>
      </c>
      <c r="H678" t="s">
        <v>28</v>
      </c>
      <c r="I678">
        <v>4</v>
      </c>
      <c r="J678" t="s">
        <v>109</v>
      </c>
      <c r="K678">
        <v>20</v>
      </c>
      <c r="L678" t="str">
        <f t="shared" si="41"/>
        <v>1-2 years</v>
      </c>
      <c r="M678" t="s">
        <v>39</v>
      </c>
      <c r="N678">
        <v>9000</v>
      </c>
      <c r="O678">
        <v>17</v>
      </c>
      <c r="P678">
        <v>153000</v>
      </c>
      <c r="Q678">
        <f t="shared" si="42"/>
        <v>9000</v>
      </c>
      <c r="R678" s="13">
        <v>122.49</v>
      </c>
      <c r="S678" t="s">
        <v>36</v>
      </c>
      <c r="T678">
        <f t="shared" si="43"/>
        <v>0</v>
      </c>
      <c r="U678">
        <v>0</v>
      </c>
      <c r="V678">
        <v>0</v>
      </c>
      <c r="W678">
        <v>0</v>
      </c>
    </row>
    <row r="679" spans="1:23" x14ac:dyDescent="0.35">
      <c r="A679" s="7" t="s">
        <v>763</v>
      </c>
      <c r="B679" t="s">
        <v>764</v>
      </c>
      <c r="C679" s="1">
        <v>45741</v>
      </c>
      <c r="D679">
        <v>41</v>
      </c>
      <c r="E679" t="str">
        <f t="shared" si="40"/>
        <v>35-44</v>
      </c>
      <c r="F679" t="s">
        <v>75</v>
      </c>
      <c r="G679" t="s">
        <v>33</v>
      </c>
      <c r="H679" t="s">
        <v>28</v>
      </c>
      <c r="I679">
        <v>4</v>
      </c>
      <c r="J679" t="s">
        <v>109</v>
      </c>
      <c r="K679">
        <v>20</v>
      </c>
      <c r="L679" t="str">
        <f t="shared" si="41"/>
        <v>1-2 years</v>
      </c>
      <c r="M679" t="s">
        <v>100</v>
      </c>
      <c r="N679">
        <v>75000</v>
      </c>
      <c r="O679">
        <v>10</v>
      </c>
      <c r="P679">
        <v>750000</v>
      </c>
      <c r="Q679">
        <f t="shared" si="42"/>
        <v>75000</v>
      </c>
      <c r="R679" s="13">
        <v>169.6</v>
      </c>
      <c r="S679" t="s">
        <v>36</v>
      </c>
      <c r="T679">
        <f t="shared" si="43"/>
        <v>0</v>
      </c>
      <c r="U679">
        <v>0</v>
      </c>
      <c r="V679">
        <v>0</v>
      </c>
      <c r="W679">
        <v>0</v>
      </c>
    </row>
    <row r="680" spans="1:23" x14ac:dyDescent="0.35">
      <c r="A680" s="7" t="s">
        <v>765</v>
      </c>
      <c r="B680" t="s">
        <v>766</v>
      </c>
      <c r="C680" s="1">
        <v>45741</v>
      </c>
      <c r="D680">
        <v>63</v>
      </c>
      <c r="E680" t="str">
        <f t="shared" si="40"/>
        <v>55+</v>
      </c>
      <c r="F680" t="s">
        <v>46</v>
      </c>
      <c r="G680" t="s">
        <v>19</v>
      </c>
      <c r="H680" t="s">
        <v>20</v>
      </c>
      <c r="I680">
        <v>1</v>
      </c>
      <c r="J680" t="s">
        <v>34</v>
      </c>
      <c r="K680">
        <v>46</v>
      </c>
      <c r="L680" t="str">
        <f t="shared" si="41"/>
        <v>2+years</v>
      </c>
      <c r="M680" t="s">
        <v>22</v>
      </c>
      <c r="N680">
        <v>35000</v>
      </c>
      <c r="O680">
        <v>13</v>
      </c>
      <c r="P680">
        <v>455000</v>
      </c>
      <c r="Q680">
        <f t="shared" si="42"/>
        <v>35000</v>
      </c>
      <c r="R680" s="13">
        <v>140.59</v>
      </c>
      <c r="S680" t="s">
        <v>36</v>
      </c>
      <c r="T680">
        <f t="shared" si="43"/>
        <v>0</v>
      </c>
      <c r="U680">
        <v>0</v>
      </c>
      <c r="V680">
        <v>0</v>
      </c>
      <c r="W680">
        <v>0</v>
      </c>
    </row>
    <row r="681" spans="1:23" x14ac:dyDescent="0.35">
      <c r="A681" s="7" t="s">
        <v>767</v>
      </c>
      <c r="B681" t="s">
        <v>768</v>
      </c>
      <c r="C681" s="1">
        <v>45713</v>
      </c>
      <c r="D681">
        <v>64</v>
      </c>
      <c r="E681" t="str">
        <f t="shared" si="40"/>
        <v>55+</v>
      </c>
      <c r="F681" t="s">
        <v>78</v>
      </c>
      <c r="G681" t="s">
        <v>27</v>
      </c>
      <c r="H681" t="s">
        <v>28</v>
      </c>
      <c r="I681">
        <v>2</v>
      </c>
      <c r="J681" t="s">
        <v>21</v>
      </c>
      <c r="K681">
        <v>28</v>
      </c>
      <c r="L681" t="str">
        <f t="shared" si="41"/>
        <v>2+years</v>
      </c>
      <c r="M681" t="s">
        <v>53</v>
      </c>
      <c r="N681">
        <v>3500</v>
      </c>
      <c r="O681">
        <v>5</v>
      </c>
      <c r="P681">
        <v>17500</v>
      </c>
      <c r="Q681">
        <f t="shared" si="42"/>
        <v>3500</v>
      </c>
      <c r="R681" s="13">
        <v>168.07</v>
      </c>
      <c r="S681" t="s">
        <v>36</v>
      </c>
      <c r="T681">
        <f t="shared" si="43"/>
        <v>0</v>
      </c>
      <c r="U681">
        <v>0</v>
      </c>
      <c r="V681">
        <v>0</v>
      </c>
      <c r="W681">
        <v>0</v>
      </c>
    </row>
    <row r="682" spans="1:23" x14ac:dyDescent="0.35">
      <c r="A682" s="7" t="s">
        <v>769</v>
      </c>
      <c r="B682" t="s">
        <v>770</v>
      </c>
      <c r="C682" s="1">
        <v>45682</v>
      </c>
      <c r="D682">
        <v>32</v>
      </c>
      <c r="E682" t="str">
        <f t="shared" si="40"/>
        <v>25-34</v>
      </c>
      <c r="F682" t="s">
        <v>135</v>
      </c>
      <c r="G682" t="s">
        <v>27</v>
      </c>
      <c r="H682" t="s">
        <v>20</v>
      </c>
      <c r="I682">
        <v>2</v>
      </c>
      <c r="J682" t="s">
        <v>21</v>
      </c>
      <c r="K682">
        <v>5</v>
      </c>
      <c r="L682" t="str">
        <f t="shared" si="41"/>
        <v>0-5 months</v>
      </c>
      <c r="M682" t="s">
        <v>79</v>
      </c>
      <c r="N682">
        <v>1000</v>
      </c>
      <c r="O682">
        <v>14</v>
      </c>
      <c r="P682">
        <v>14000</v>
      </c>
      <c r="Q682">
        <f t="shared" si="42"/>
        <v>1000</v>
      </c>
      <c r="R682" s="13">
        <v>27.88</v>
      </c>
      <c r="S682" t="s">
        <v>36</v>
      </c>
      <c r="T682">
        <f t="shared" si="43"/>
        <v>0</v>
      </c>
      <c r="U682">
        <v>0</v>
      </c>
      <c r="V682">
        <v>0</v>
      </c>
      <c r="W682">
        <v>0</v>
      </c>
    </row>
    <row r="683" spans="1:23" x14ac:dyDescent="0.35">
      <c r="A683" s="7" t="s">
        <v>769</v>
      </c>
      <c r="B683" t="s">
        <v>770</v>
      </c>
      <c r="C683" s="1">
        <v>45682</v>
      </c>
      <c r="D683">
        <v>32</v>
      </c>
      <c r="E683" t="str">
        <f t="shared" si="40"/>
        <v>25-34</v>
      </c>
      <c r="F683" t="s">
        <v>135</v>
      </c>
      <c r="G683" t="s">
        <v>38</v>
      </c>
      <c r="H683" t="s">
        <v>20</v>
      </c>
      <c r="I683">
        <v>2</v>
      </c>
      <c r="J683" t="s">
        <v>21</v>
      </c>
      <c r="K683">
        <v>5</v>
      </c>
      <c r="L683" t="str">
        <f t="shared" si="41"/>
        <v>0-5 months</v>
      </c>
      <c r="M683" t="s">
        <v>68</v>
      </c>
      <c r="N683">
        <v>14500</v>
      </c>
      <c r="O683">
        <v>20</v>
      </c>
      <c r="P683">
        <v>290000</v>
      </c>
      <c r="Q683">
        <f t="shared" si="42"/>
        <v>14500</v>
      </c>
      <c r="R683" s="13">
        <v>178.77</v>
      </c>
      <c r="S683" t="s">
        <v>36</v>
      </c>
      <c r="T683">
        <f t="shared" si="43"/>
        <v>0</v>
      </c>
      <c r="U683">
        <v>0</v>
      </c>
      <c r="V683">
        <v>0</v>
      </c>
      <c r="W683">
        <v>0</v>
      </c>
    </row>
    <row r="684" spans="1:23" x14ac:dyDescent="0.35">
      <c r="A684" s="7" t="s">
        <v>771</v>
      </c>
      <c r="B684" t="s">
        <v>772</v>
      </c>
      <c r="C684" s="1">
        <v>45713</v>
      </c>
      <c r="D684">
        <v>39</v>
      </c>
      <c r="E684" t="str">
        <f t="shared" si="40"/>
        <v>35-44</v>
      </c>
      <c r="F684" t="s">
        <v>32</v>
      </c>
      <c r="G684" t="s">
        <v>27</v>
      </c>
      <c r="H684" t="s">
        <v>28</v>
      </c>
      <c r="I684">
        <v>4</v>
      </c>
      <c r="J684" t="s">
        <v>109</v>
      </c>
      <c r="K684">
        <v>36</v>
      </c>
      <c r="L684" t="str">
        <f t="shared" si="41"/>
        <v>2+years</v>
      </c>
      <c r="M684" t="s">
        <v>97</v>
      </c>
      <c r="N684">
        <v>900</v>
      </c>
      <c r="O684">
        <v>8</v>
      </c>
      <c r="P684">
        <v>7200</v>
      </c>
      <c r="Q684">
        <f t="shared" si="42"/>
        <v>900</v>
      </c>
      <c r="R684" s="13">
        <v>115.8</v>
      </c>
      <c r="S684" t="s">
        <v>36</v>
      </c>
      <c r="T684">
        <f t="shared" si="43"/>
        <v>0</v>
      </c>
      <c r="U684">
        <v>0</v>
      </c>
      <c r="V684">
        <v>0</v>
      </c>
      <c r="W684">
        <v>0</v>
      </c>
    </row>
    <row r="685" spans="1:23" x14ac:dyDescent="0.35">
      <c r="A685" s="7" t="s">
        <v>773</v>
      </c>
      <c r="B685" t="s">
        <v>774</v>
      </c>
      <c r="C685" s="1">
        <v>45682</v>
      </c>
      <c r="D685">
        <v>50</v>
      </c>
      <c r="E685" t="str">
        <f t="shared" si="40"/>
        <v>45-54</v>
      </c>
      <c r="F685" t="s">
        <v>105</v>
      </c>
      <c r="G685" t="s">
        <v>38</v>
      </c>
      <c r="H685" t="s">
        <v>28</v>
      </c>
      <c r="I685">
        <v>5</v>
      </c>
      <c r="J685" t="s">
        <v>52</v>
      </c>
      <c r="K685">
        <v>3</v>
      </c>
      <c r="L685" t="str">
        <f t="shared" si="41"/>
        <v>0-5 months</v>
      </c>
      <c r="M685" t="s">
        <v>68</v>
      </c>
      <c r="N685">
        <v>14500</v>
      </c>
      <c r="O685">
        <v>3</v>
      </c>
      <c r="P685">
        <v>43500</v>
      </c>
      <c r="Q685">
        <f t="shared" si="42"/>
        <v>14500</v>
      </c>
      <c r="R685" s="13">
        <v>192.37</v>
      </c>
      <c r="S685" t="s">
        <v>36</v>
      </c>
      <c r="T685">
        <f t="shared" si="43"/>
        <v>0</v>
      </c>
      <c r="U685">
        <v>0</v>
      </c>
      <c r="V685">
        <v>0</v>
      </c>
      <c r="W685">
        <v>0</v>
      </c>
    </row>
    <row r="686" spans="1:23" x14ac:dyDescent="0.35">
      <c r="A686" s="7" t="s">
        <v>773</v>
      </c>
      <c r="B686" t="s">
        <v>774</v>
      </c>
      <c r="C686" s="1">
        <v>45682</v>
      </c>
      <c r="D686">
        <v>50</v>
      </c>
      <c r="E686" t="str">
        <f t="shared" si="40"/>
        <v>45-54</v>
      </c>
      <c r="F686" t="s">
        <v>105</v>
      </c>
      <c r="G686" t="s">
        <v>33</v>
      </c>
      <c r="H686" t="s">
        <v>28</v>
      </c>
      <c r="I686">
        <v>5</v>
      </c>
      <c r="J686" t="s">
        <v>52</v>
      </c>
      <c r="K686">
        <v>3</v>
      </c>
      <c r="L686" t="str">
        <f t="shared" si="41"/>
        <v>0-5 months</v>
      </c>
      <c r="M686" t="s">
        <v>62</v>
      </c>
      <c r="N686">
        <v>30000</v>
      </c>
      <c r="O686">
        <v>17</v>
      </c>
      <c r="P686">
        <v>510000</v>
      </c>
      <c r="Q686">
        <f t="shared" si="42"/>
        <v>30000</v>
      </c>
      <c r="R686" s="13">
        <v>146.16999999999999</v>
      </c>
      <c r="S686" t="s">
        <v>36</v>
      </c>
      <c r="T686">
        <f t="shared" si="43"/>
        <v>0</v>
      </c>
      <c r="U686">
        <v>0</v>
      </c>
      <c r="V686">
        <v>0</v>
      </c>
      <c r="W686">
        <v>0</v>
      </c>
    </row>
    <row r="687" spans="1:23" x14ac:dyDescent="0.35">
      <c r="A687" s="7" t="s">
        <v>775</v>
      </c>
      <c r="B687" t="s">
        <v>776</v>
      </c>
      <c r="C687" s="1">
        <v>45682</v>
      </c>
      <c r="D687">
        <v>75</v>
      </c>
      <c r="E687" t="str">
        <f t="shared" si="40"/>
        <v>55+</v>
      </c>
      <c r="F687" t="s">
        <v>72</v>
      </c>
      <c r="G687" t="s">
        <v>38</v>
      </c>
      <c r="H687" t="s">
        <v>20</v>
      </c>
      <c r="I687">
        <v>2</v>
      </c>
      <c r="J687" t="s">
        <v>21</v>
      </c>
      <c r="K687">
        <v>34</v>
      </c>
      <c r="L687" t="str">
        <f t="shared" si="41"/>
        <v>2+years</v>
      </c>
      <c r="M687" t="s">
        <v>59</v>
      </c>
      <c r="N687">
        <v>24000</v>
      </c>
      <c r="O687">
        <v>11</v>
      </c>
      <c r="P687">
        <v>264000</v>
      </c>
      <c r="Q687">
        <f t="shared" si="42"/>
        <v>24000</v>
      </c>
      <c r="R687" s="13">
        <v>11.03</v>
      </c>
      <c r="S687" t="s">
        <v>36</v>
      </c>
      <c r="T687">
        <f t="shared" si="43"/>
        <v>0</v>
      </c>
      <c r="U687">
        <v>0</v>
      </c>
      <c r="V687">
        <v>0</v>
      </c>
      <c r="W687">
        <v>0</v>
      </c>
    </row>
    <row r="688" spans="1:23" x14ac:dyDescent="0.35">
      <c r="A688" s="7" t="s">
        <v>775</v>
      </c>
      <c r="B688" t="s">
        <v>776</v>
      </c>
      <c r="C688" s="1">
        <v>45682</v>
      </c>
      <c r="D688">
        <v>75</v>
      </c>
      <c r="E688" t="str">
        <f t="shared" si="40"/>
        <v>55+</v>
      </c>
      <c r="F688" t="s">
        <v>72</v>
      </c>
      <c r="G688" t="s">
        <v>33</v>
      </c>
      <c r="H688" t="s">
        <v>20</v>
      </c>
      <c r="I688">
        <v>2</v>
      </c>
      <c r="J688" t="s">
        <v>21</v>
      </c>
      <c r="K688">
        <v>34</v>
      </c>
      <c r="L688" t="str">
        <f t="shared" si="41"/>
        <v>2+years</v>
      </c>
      <c r="M688" t="s">
        <v>39</v>
      </c>
      <c r="N688">
        <v>9000</v>
      </c>
      <c r="O688">
        <v>17</v>
      </c>
      <c r="P688">
        <v>153000</v>
      </c>
      <c r="Q688">
        <f t="shared" si="42"/>
        <v>9000</v>
      </c>
      <c r="R688" s="13">
        <v>94.04</v>
      </c>
      <c r="S688" t="s">
        <v>36</v>
      </c>
      <c r="T688">
        <f t="shared" si="43"/>
        <v>0</v>
      </c>
      <c r="U688">
        <v>0</v>
      </c>
      <c r="V688">
        <v>0</v>
      </c>
      <c r="W688">
        <v>0</v>
      </c>
    </row>
    <row r="689" spans="1:23" x14ac:dyDescent="0.35">
      <c r="A689" s="7" t="s">
        <v>775</v>
      </c>
      <c r="B689" t="s">
        <v>776</v>
      </c>
      <c r="C689" s="1">
        <v>45682</v>
      </c>
      <c r="D689">
        <v>75</v>
      </c>
      <c r="E689" t="str">
        <f t="shared" si="40"/>
        <v>55+</v>
      </c>
      <c r="F689" t="s">
        <v>72</v>
      </c>
      <c r="G689" t="s">
        <v>19</v>
      </c>
      <c r="H689" t="s">
        <v>20</v>
      </c>
      <c r="I689">
        <v>2</v>
      </c>
      <c r="J689" t="s">
        <v>21</v>
      </c>
      <c r="K689">
        <v>34</v>
      </c>
      <c r="L689" t="str">
        <f t="shared" si="41"/>
        <v>2+years</v>
      </c>
      <c r="M689" t="s">
        <v>22</v>
      </c>
      <c r="N689">
        <v>35000</v>
      </c>
      <c r="O689">
        <v>11</v>
      </c>
      <c r="P689">
        <v>385000</v>
      </c>
      <c r="Q689">
        <f t="shared" si="42"/>
        <v>35000</v>
      </c>
      <c r="R689" s="13">
        <v>115.01</v>
      </c>
      <c r="S689" t="s">
        <v>36</v>
      </c>
      <c r="T689">
        <f t="shared" si="43"/>
        <v>0</v>
      </c>
      <c r="U689">
        <v>0</v>
      </c>
      <c r="V689">
        <v>0</v>
      </c>
      <c r="W689">
        <v>0</v>
      </c>
    </row>
    <row r="690" spans="1:23" x14ac:dyDescent="0.35">
      <c r="A690" s="7" t="s">
        <v>777</v>
      </c>
      <c r="B690" t="s">
        <v>778</v>
      </c>
      <c r="C690" s="1">
        <v>45682</v>
      </c>
      <c r="D690">
        <v>61</v>
      </c>
      <c r="E690" t="str">
        <f t="shared" si="40"/>
        <v>55+</v>
      </c>
      <c r="F690" t="s">
        <v>96</v>
      </c>
      <c r="G690" t="s">
        <v>33</v>
      </c>
      <c r="H690" t="s">
        <v>28</v>
      </c>
      <c r="I690">
        <v>5</v>
      </c>
      <c r="J690" t="s">
        <v>52</v>
      </c>
      <c r="K690">
        <v>11</v>
      </c>
      <c r="L690" t="str">
        <f t="shared" si="41"/>
        <v>6-12 months</v>
      </c>
      <c r="M690" t="s">
        <v>62</v>
      </c>
      <c r="N690">
        <v>30000</v>
      </c>
      <c r="O690">
        <v>10</v>
      </c>
      <c r="P690">
        <v>300000</v>
      </c>
      <c r="Q690">
        <f t="shared" si="42"/>
        <v>30000</v>
      </c>
      <c r="R690" s="13">
        <v>114.79</v>
      </c>
      <c r="S690" t="s">
        <v>36</v>
      </c>
      <c r="T690">
        <f t="shared" si="43"/>
        <v>0</v>
      </c>
      <c r="U690">
        <v>0</v>
      </c>
      <c r="V690">
        <v>0</v>
      </c>
      <c r="W690">
        <v>0</v>
      </c>
    </row>
    <row r="691" spans="1:23" x14ac:dyDescent="0.35">
      <c r="A691" s="7" t="s">
        <v>777</v>
      </c>
      <c r="B691" t="s">
        <v>778</v>
      </c>
      <c r="C691" s="1">
        <v>45682</v>
      </c>
      <c r="D691">
        <v>61</v>
      </c>
      <c r="E691" t="str">
        <f t="shared" si="40"/>
        <v>55+</v>
      </c>
      <c r="F691" t="s">
        <v>96</v>
      </c>
      <c r="G691" t="s">
        <v>38</v>
      </c>
      <c r="H691" t="s">
        <v>28</v>
      </c>
      <c r="I691">
        <v>5</v>
      </c>
      <c r="J691" t="s">
        <v>52</v>
      </c>
      <c r="K691">
        <v>11</v>
      </c>
      <c r="L691" t="str">
        <f t="shared" si="41"/>
        <v>6-12 months</v>
      </c>
      <c r="M691" t="s">
        <v>59</v>
      </c>
      <c r="N691">
        <v>24000</v>
      </c>
      <c r="O691">
        <v>16</v>
      </c>
      <c r="P691">
        <v>384000</v>
      </c>
      <c r="Q691">
        <f t="shared" si="42"/>
        <v>24000</v>
      </c>
      <c r="R691" s="13">
        <v>5.95</v>
      </c>
      <c r="S691" t="s">
        <v>36</v>
      </c>
      <c r="T691">
        <f t="shared" si="43"/>
        <v>0</v>
      </c>
      <c r="U691">
        <v>0</v>
      </c>
      <c r="V691">
        <v>0</v>
      </c>
      <c r="W691">
        <v>0</v>
      </c>
    </row>
    <row r="692" spans="1:23" x14ac:dyDescent="0.35">
      <c r="A692" s="7" t="s">
        <v>777</v>
      </c>
      <c r="B692" t="s">
        <v>778</v>
      </c>
      <c r="C692" s="1">
        <v>45682</v>
      </c>
      <c r="D692">
        <v>61</v>
      </c>
      <c r="E692" t="str">
        <f t="shared" si="40"/>
        <v>55+</v>
      </c>
      <c r="F692" t="s">
        <v>96</v>
      </c>
      <c r="G692" t="s">
        <v>19</v>
      </c>
      <c r="H692" t="s">
        <v>28</v>
      </c>
      <c r="I692">
        <v>5</v>
      </c>
      <c r="J692" t="s">
        <v>52</v>
      </c>
      <c r="K692">
        <v>11</v>
      </c>
      <c r="L692" t="str">
        <f t="shared" si="41"/>
        <v>6-12 months</v>
      </c>
      <c r="M692" t="s">
        <v>55</v>
      </c>
      <c r="N692">
        <v>16000</v>
      </c>
      <c r="O692">
        <v>3</v>
      </c>
      <c r="P692">
        <v>48000</v>
      </c>
      <c r="Q692">
        <f t="shared" si="42"/>
        <v>16000</v>
      </c>
      <c r="R692" s="13">
        <v>25.8</v>
      </c>
      <c r="S692" t="s">
        <v>36</v>
      </c>
      <c r="T692">
        <f t="shared" si="43"/>
        <v>0</v>
      </c>
      <c r="U692">
        <v>0</v>
      </c>
      <c r="V692">
        <v>0</v>
      </c>
      <c r="W692">
        <v>0</v>
      </c>
    </row>
    <row r="693" spans="1:23" x14ac:dyDescent="0.35">
      <c r="A693" s="7" t="s">
        <v>779</v>
      </c>
      <c r="B693" t="s">
        <v>780</v>
      </c>
      <c r="C693" s="1">
        <v>45741</v>
      </c>
      <c r="D693">
        <v>48</v>
      </c>
      <c r="E693" t="str">
        <f t="shared" si="40"/>
        <v>45-54</v>
      </c>
      <c r="F693" t="s">
        <v>135</v>
      </c>
      <c r="G693" t="s">
        <v>19</v>
      </c>
      <c r="H693" t="s">
        <v>28</v>
      </c>
      <c r="I693">
        <v>1</v>
      </c>
      <c r="J693" t="s">
        <v>34</v>
      </c>
      <c r="K693">
        <v>18</v>
      </c>
      <c r="L693" t="str">
        <f t="shared" si="41"/>
        <v>1-2 years</v>
      </c>
      <c r="M693" t="s">
        <v>22</v>
      </c>
      <c r="N693">
        <v>35000</v>
      </c>
      <c r="O693">
        <v>6</v>
      </c>
      <c r="P693">
        <v>210000</v>
      </c>
      <c r="Q693">
        <f t="shared" si="42"/>
        <v>35000</v>
      </c>
      <c r="R693" s="13">
        <v>74.27</v>
      </c>
      <c r="S693" t="s">
        <v>36</v>
      </c>
      <c r="T693">
        <f t="shared" si="43"/>
        <v>0</v>
      </c>
      <c r="U693">
        <v>0</v>
      </c>
      <c r="V693">
        <v>0</v>
      </c>
      <c r="W693">
        <v>0</v>
      </c>
    </row>
    <row r="694" spans="1:23" x14ac:dyDescent="0.35">
      <c r="A694" s="7" t="s">
        <v>779</v>
      </c>
      <c r="B694" t="s">
        <v>780</v>
      </c>
      <c r="C694" s="1">
        <v>45741</v>
      </c>
      <c r="D694">
        <v>48</v>
      </c>
      <c r="E694" t="str">
        <f t="shared" si="40"/>
        <v>45-54</v>
      </c>
      <c r="F694" t="s">
        <v>135</v>
      </c>
      <c r="G694" t="s">
        <v>33</v>
      </c>
      <c r="H694" t="s">
        <v>28</v>
      </c>
      <c r="I694">
        <v>1</v>
      </c>
      <c r="J694" t="s">
        <v>34</v>
      </c>
      <c r="K694">
        <v>18</v>
      </c>
      <c r="L694" t="str">
        <f t="shared" si="41"/>
        <v>1-2 years</v>
      </c>
      <c r="M694" t="s">
        <v>59</v>
      </c>
      <c r="N694">
        <v>24000</v>
      </c>
      <c r="O694">
        <v>8</v>
      </c>
      <c r="P694">
        <v>192000</v>
      </c>
      <c r="Q694">
        <f t="shared" si="42"/>
        <v>24000</v>
      </c>
      <c r="R694" s="13">
        <v>156.61000000000001</v>
      </c>
      <c r="S694" t="s">
        <v>36</v>
      </c>
      <c r="T694">
        <f t="shared" si="43"/>
        <v>0</v>
      </c>
      <c r="U694">
        <v>0</v>
      </c>
      <c r="V694">
        <v>0</v>
      </c>
      <c r="W694">
        <v>0</v>
      </c>
    </row>
    <row r="695" spans="1:23" x14ac:dyDescent="0.35">
      <c r="A695" s="7" t="s">
        <v>779</v>
      </c>
      <c r="B695" t="s">
        <v>780</v>
      </c>
      <c r="C695" s="1">
        <v>45741</v>
      </c>
      <c r="D695">
        <v>48</v>
      </c>
      <c r="E695" t="str">
        <f t="shared" si="40"/>
        <v>45-54</v>
      </c>
      <c r="F695" t="s">
        <v>135</v>
      </c>
      <c r="G695" t="s">
        <v>38</v>
      </c>
      <c r="H695" t="s">
        <v>28</v>
      </c>
      <c r="I695">
        <v>1</v>
      </c>
      <c r="J695" t="s">
        <v>34</v>
      </c>
      <c r="K695">
        <v>18</v>
      </c>
      <c r="L695" t="str">
        <f t="shared" si="41"/>
        <v>1-2 years</v>
      </c>
      <c r="M695" t="s">
        <v>68</v>
      </c>
      <c r="N695">
        <v>14500</v>
      </c>
      <c r="O695">
        <v>17</v>
      </c>
      <c r="P695">
        <v>246500</v>
      </c>
      <c r="Q695">
        <f t="shared" si="42"/>
        <v>14500</v>
      </c>
      <c r="R695" s="13">
        <v>36.57</v>
      </c>
      <c r="S695" t="s">
        <v>36</v>
      </c>
      <c r="T695">
        <f t="shared" si="43"/>
        <v>0</v>
      </c>
      <c r="U695">
        <v>0</v>
      </c>
      <c r="V695">
        <v>0</v>
      </c>
      <c r="W695">
        <v>0</v>
      </c>
    </row>
    <row r="696" spans="1:23" x14ac:dyDescent="0.35">
      <c r="A696" s="7" t="s">
        <v>781</v>
      </c>
      <c r="B696" t="s">
        <v>782</v>
      </c>
      <c r="C696" s="1">
        <v>45713</v>
      </c>
      <c r="D696">
        <v>59</v>
      </c>
      <c r="E696" t="str">
        <f t="shared" si="40"/>
        <v>55+</v>
      </c>
      <c r="F696" t="s">
        <v>291</v>
      </c>
      <c r="G696" t="s">
        <v>27</v>
      </c>
      <c r="H696" t="s">
        <v>20</v>
      </c>
      <c r="I696">
        <v>4</v>
      </c>
      <c r="J696" t="s">
        <v>109</v>
      </c>
      <c r="K696">
        <v>39</v>
      </c>
      <c r="L696" t="str">
        <f t="shared" si="41"/>
        <v>2+years</v>
      </c>
      <c r="M696" t="s">
        <v>29</v>
      </c>
      <c r="N696">
        <v>5500</v>
      </c>
      <c r="O696">
        <v>6</v>
      </c>
      <c r="P696">
        <v>33000</v>
      </c>
      <c r="Q696">
        <f t="shared" si="42"/>
        <v>5500</v>
      </c>
      <c r="R696" s="13">
        <v>145.34</v>
      </c>
      <c r="S696" t="s">
        <v>36</v>
      </c>
      <c r="T696">
        <f t="shared" si="43"/>
        <v>0</v>
      </c>
      <c r="U696">
        <v>0</v>
      </c>
      <c r="V696">
        <v>0</v>
      </c>
      <c r="W696">
        <v>0</v>
      </c>
    </row>
    <row r="697" spans="1:23" x14ac:dyDescent="0.35">
      <c r="A697" s="7" t="s">
        <v>781</v>
      </c>
      <c r="B697" t="s">
        <v>782</v>
      </c>
      <c r="C697" s="1">
        <v>45713</v>
      </c>
      <c r="D697">
        <v>59</v>
      </c>
      <c r="E697" t="str">
        <f t="shared" si="40"/>
        <v>55+</v>
      </c>
      <c r="F697" t="s">
        <v>291</v>
      </c>
      <c r="G697" t="s">
        <v>38</v>
      </c>
      <c r="H697" t="s">
        <v>20</v>
      </c>
      <c r="I697">
        <v>4</v>
      </c>
      <c r="J697" t="s">
        <v>109</v>
      </c>
      <c r="K697">
        <v>39</v>
      </c>
      <c r="L697" t="str">
        <f t="shared" si="41"/>
        <v>2+years</v>
      </c>
      <c r="M697" t="s">
        <v>35</v>
      </c>
      <c r="N697">
        <v>20000</v>
      </c>
      <c r="O697">
        <v>12</v>
      </c>
      <c r="P697">
        <v>240000</v>
      </c>
      <c r="Q697">
        <f t="shared" si="42"/>
        <v>20000</v>
      </c>
      <c r="R697" s="13">
        <v>115.76</v>
      </c>
      <c r="S697" t="s">
        <v>36</v>
      </c>
      <c r="T697">
        <f t="shared" si="43"/>
        <v>0</v>
      </c>
      <c r="U697">
        <v>0</v>
      </c>
      <c r="V697">
        <v>0</v>
      </c>
      <c r="W697">
        <v>0</v>
      </c>
    </row>
    <row r="698" spans="1:23" x14ac:dyDescent="0.35">
      <c r="A698" s="7" t="s">
        <v>783</v>
      </c>
      <c r="B698" t="s">
        <v>784</v>
      </c>
      <c r="C698" s="1">
        <v>45713</v>
      </c>
      <c r="D698">
        <v>49</v>
      </c>
      <c r="E698" t="str">
        <f t="shared" si="40"/>
        <v>45-54</v>
      </c>
      <c r="F698" t="s">
        <v>170</v>
      </c>
      <c r="G698" t="s">
        <v>19</v>
      </c>
      <c r="H698" t="s">
        <v>20</v>
      </c>
      <c r="I698">
        <v>4</v>
      </c>
      <c r="J698" t="s">
        <v>109</v>
      </c>
      <c r="K698">
        <v>11</v>
      </c>
      <c r="L698" t="str">
        <f t="shared" si="41"/>
        <v>6-12 months</v>
      </c>
      <c r="M698" t="s">
        <v>22</v>
      </c>
      <c r="N698">
        <v>35000</v>
      </c>
      <c r="O698">
        <v>5</v>
      </c>
      <c r="P698">
        <v>175000</v>
      </c>
      <c r="Q698">
        <f t="shared" si="42"/>
        <v>35000</v>
      </c>
      <c r="R698" s="13">
        <v>95.18</v>
      </c>
      <c r="S698" t="s">
        <v>36</v>
      </c>
      <c r="T698">
        <f t="shared" si="43"/>
        <v>0</v>
      </c>
      <c r="U698">
        <v>0</v>
      </c>
      <c r="V698">
        <v>0</v>
      </c>
      <c r="W698">
        <v>0</v>
      </c>
    </row>
    <row r="699" spans="1:23" x14ac:dyDescent="0.35">
      <c r="A699" s="7" t="s">
        <v>783</v>
      </c>
      <c r="B699" t="s">
        <v>784</v>
      </c>
      <c r="C699" s="1">
        <v>45713</v>
      </c>
      <c r="D699">
        <v>49</v>
      </c>
      <c r="E699" t="str">
        <f t="shared" si="40"/>
        <v>45-54</v>
      </c>
      <c r="F699" t="s">
        <v>170</v>
      </c>
      <c r="G699" t="s">
        <v>27</v>
      </c>
      <c r="H699" t="s">
        <v>20</v>
      </c>
      <c r="I699">
        <v>4</v>
      </c>
      <c r="J699" t="s">
        <v>109</v>
      </c>
      <c r="K699">
        <v>11</v>
      </c>
      <c r="L699" t="str">
        <f t="shared" si="41"/>
        <v>6-12 months</v>
      </c>
      <c r="M699" t="s">
        <v>187</v>
      </c>
      <c r="N699">
        <v>6500</v>
      </c>
      <c r="O699">
        <v>1</v>
      </c>
      <c r="P699">
        <v>6500</v>
      </c>
      <c r="Q699">
        <f t="shared" si="42"/>
        <v>6500</v>
      </c>
      <c r="R699" s="13">
        <v>174.12</v>
      </c>
      <c r="S699" t="s">
        <v>36</v>
      </c>
      <c r="T699">
        <f t="shared" si="43"/>
        <v>0</v>
      </c>
      <c r="U699">
        <v>0</v>
      </c>
      <c r="V699">
        <v>0</v>
      </c>
      <c r="W699">
        <v>0</v>
      </c>
    </row>
    <row r="700" spans="1:23" x14ac:dyDescent="0.35">
      <c r="A700" s="7" t="s">
        <v>785</v>
      </c>
      <c r="B700" t="s">
        <v>786</v>
      </c>
      <c r="C700" s="1">
        <v>45682</v>
      </c>
      <c r="D700">
        <v>73</v>
      </c>
      <c r="E700" t="str">
        <f t="shared" si="40"/>
        <v>55+</v>
      </c>
      <c r="F700" t="s">
        <v>58</v>
      </c>
      <c r="G700" t="s">
        <v>33</v>
      </c>
      <c r="H700" t="s">
        <v>28</v>
      </c>
      <c r="I700">
        <v>1</v>
      </c>
      <c r="J700" t="s">
        <v>34</v>
      </c>
      <c r="K700">
        <v>34</v>
      </c>
      <c r="L700" t="str">
        <f t="shared" si="41"/>
        <v>2+years</v>
      </c>
      <c r="M700" t="s">
        <v>110</v>
      </c>
      <c r="N700">
        <v>25000</v>
      </c>
      <c r="O700">
        <v>4</v>
      </c>
      <c r="P700">
        <v>100000</v>
      </c>
      <c r="Q700">
        <f t="shared" si="42"/>
        <v>25000</v>
      </c>
      <c r="R700" s="13">
        <v>54.43</v>
      </c>
      <c r="S700" t="s">
        <v>36</v>
      </c>
      <c r="T700">
        <f t="shared" si="43"/>
        <v>0</v>
      </c>
      <c r="U700">
        <v>0</v>
      </c>
      <c r="V700">
        <v>0</v>
      </c>
      <c r="W700">
        <v>0</v>
      </c>
    </row>
    <row r="701" spans="1:23" x14ac:dyDescent="0.35">
      <c r="A701" s="7" t="s">
        <v>785</v>
      </c>
      <c r="B701" t="s">
        <v>786</v>
      </c>
      <c r="C701" s="1">
        <v>45682</v>
      </c>
      <c r="D701">
        <v>73</v>
      </c>
      <c r="E701" t="str">
        <f t="shared" si="40"/>
        <v>55+</v>
      </c>
      <c r="F701" t="s">
        <v>58</v>
      </c>
      <c r="G701" t="s">
        <v>19</v>
      </c>
      <c r="H701" t="s">
        <v>28</v>
      </c>
      <c r="I701">
        <v>1</v>
      </c>
      <c r="J701" t="s">
        <v>34</v>
      </c>
      <c r="K701">
        <v>34</v>
      </c>
      <c r="L701" t="str">
        <f t="shared" si="41"/>
        <v>2+years</v>
      </c>
      <c r="M701" t="s">
        <v>48</v>
      </c>
      <c r="N701">
        <v>9000</v>
      </c>
      <c r="O701">
        <v>13</v>
      </c>
      <c r="P701">
        <v>117000</v>
      </c>
      <c r="Q701">
        <f t="shared" si="42"/>
        <v>9000</v>
      </c>
      <c r="R701" s="13">
        <v>131.04</v>
      </c>
      <c r="S701" t="s">
        <v>36</v>
      </c>
      <c r="T701">
        <f t="shared" si="43"/>
        <v>0</v>
      </c>
      <c r="U701">
        <v>0</v>
      </c>
      <c r="V701">
        <v>0</v>
      </c>
      <c r="W701">
        <v>0</v>
      </c>
    </row>
    <row r="702" spans="1:23" x14ac:dyDescent="0.35">
      <c r="A702" s="7" t="s">
        <v>785</v>
      </c>
      <c r="B702" t="s">
        <v>786</v>
      </c>
      <c r="C702" s="1">
        <v>45682</v>
      </c>
      <c r="D702">
        <v>73</v>
      </c>
      <c r="E702" t="str">
        <f t="shared" si="40"/>
        <v>55+</v>
      </c>
      <c r="F702" t="s">
        <v>58</v>
      </c>
      <c r="G702" t="s">
        <v>27</v>
      </c>
      <c r="H702" t="s">
        <v>28</v>
      </c>
      <c r="I702">
        <v>1</v>
      </c>
      <c r="J702" t="s">
        <v>34</v>
      </c>
      <c r="K702">
        <v>34</v>
      </c>
      <c r="L702" t="str">
        <f t="shared" si="41"/>
        <v>2+years</v>
      </c>
      <c r="M702" t="s">
        <v>29</v>
      </c>
      <c r="N702">
        <v>5500</v>
      </c>
      <c r="O702">
        <v>8</v>
      </c>
      <c r="P702">
        <v>44000</v>
      </c>
      <c r="Q702">
        <f t="shared" si="42"/>
        <v>5500</v>
      </c>
      <c r="R702" s="13">
        <v>154.74</v>
      </c>
      <c r="S702" t="s">
        <v>36</v>
      </c>
      <c r="T702">
        <f t="shared" si="43"/>
        <v>0</v>
      </c>
      <c r="U702">
        <v>0</v>
      </c>
      <c r="V702">
        <v>0</v>
      </c>
      <c r="W702">
        <v>0</v>
      </c>
    </row>
    <row r="703" spans="1:23" x14ac:dyDescent="0.35">
      <c r="A703" s="7" t="s">
        <v>787</v>
      </c>
      <c r="B703" t="s">
        <v>788</v>
      </c>
      <c r="C703" s="1">
        <v>45682</v>
      </c>
      <c r="D703">
        <v>59</v>
      </c>
      <c r="E703" t="str">
        <f t="shared" si="40"/>
        <v>55+</v>
      </c>
      <c r="F703" t="s">
        <v>126</v>
      </c>
      <c r="G703" t="s">
        <v>27</v>
      </c>
      <c r="H703" t="s">
        <v>28</v>
      </c>
      <c r="I703">
        <v>1</v>
      </c>
      <c r="J703" t="s">
        <v>34</v>
      </c>
      <c r="K703">
        <v>36</v>
      </c>
      <c r="L703" t="str">
        <f t="shared" si="41"/>
        <v>2+years</v>
      </c>
      <c r="M703" t="s">
        <v>79</v>
      </c>
      <c r="N703">
        <v>1000</v>
      </c>
      <c r="O703">
        <v>15</v>
      </c>
      <c r="P703">
        <v>15000</v>
      </c>
      <c r="Q703">
        <f t="shared" si="42"/>
        <v>1000</v>
      </c>
      <c r="R703" s="13">
        <v>105.29</v>
      </c>
      <c r="S703" t="s">
        <v>36</v>
      </c>
      <c r="T703">
        <f t="shared" si="43"/>
        <v>0</v>
      </c>
      <c r="U703">
        <v>0</v>
      </c>
      <c r="V703">
        <v>0</v>
      </c>
      <c r="W703">
        <v>0</v>
      </c>
    </row>
    <row r="704" spans="1:23" x14ac:dyDescent="0.35">
      <c r="A704" s="7" t="s">
        <v>789</v>
      </c>
      <c r="B704" t="s">
        <v>790</v>
      </c>
      <c r="C704" s="1">
        <v>45682</v>
      </c>
      <c r="D704">
        <v>44</v>
      </c>
      <c r="E704" t="str">
        <f t="shared" si="40"/>
        <v>35-44</v>
      </c>
      <c r="F704" t="s">
        <v>96</v>
      </c>
      <c r="G704" t="s">
        <v>19</v>
      </c>
      <c r="H704" t="s">
        <v>28</v>
      </c>
      <c r="I704">
        <v>1</v>
      </c>
      <c r="J704" t="s">
        <v>34</v>
      </c>
      <c r="K704">
        <v>13</v>
      </c>
      <c r="L704" t="str">
        <f t="shared" si="41"/>
        <v>1-2 years</v>
      </c>
      <c r="M704" t="s">
        <v>55</v>
      </c>
      <c r="N704">
        <v>16000</v>
      </c>
      <c r="O704">
        <v>4</v>
      </c>
      <c r="P704">
        <v>64000</v>
      </c>
      <c r="Q704">
        <f t="shared" si="42"/>
        <v>16000</v>
      </c>
      <c r="R704" s="13">
        <v>141.76</v>
      </c>
      <c r="S704" t="s">
        <v>36</v>
      </c>
      <c r="T704">
        <f t="shared" si="43"/>
        <v>0</v>
      </c>
      <c r="U704">
        <v>0</v>
      </c>
      <c r="V704">
        <v>0</v>
      </c>
      <c r="W704">
        <v>0</v>
      </c>
    </row>
    <row r="705" spans="1:23" x14ac:dyDescent="0.35">
      <c r="A705" s="7" t="s">
        <v>791</v>
      </c>
      <c r="B705" t="s">
        <v>792</v>
      </c>
      <c r="C705" s="1">
        <v>45682</v>
      </c>
      <c r="D705">
        <v>32</v>
      </c>
      <c r="E705" t="str">
        <f t="shared" si="40"/>
        <v>25-34</v>
      </c>
      <c r="F705" t="s">
        <v>58</v>
      </c>
      <c r="G705" t="s">
        <v>38</v>
      </c>
      <c r="H705" t="s">
        <v>20</v>
      </c>
      <c r="I705">
        <v>2</v>
      </c>
      <c r="J705" t="s">
        <v>21</v>
      </c>
      <c r="K705">
        <v>58</v>
      </c>
      <c r="L705" t="str">
        <f t="shared" si="41"/>
        <v>2+years</v>
      </c>
      <c r="M705" t="s">
        <v>62</v>
      </c>
      <c r="N705">
        <v>30000</v>
      </c>
      <c r="O705">
        <v>11</v>
      </c>
      <c r="P705">
        <v>330000</v>
      </c>
      <c r="Q705">
        <f t="shared" si="42"/>
        <v>30000</v>
      </c>
      <c r="R705" s="13">
        <v>153.99</v>
      </c>
      <c r="S705" t="s">
        <v>23</v>
      </c>
      <c r="T705">
        <f t="shared" si="43"/>
        <v>1</v>
      </c>
      <c r="U705">
        <v>0</v>
      </c>
      <c r="V705">
        <v>0</v>
      </c>
      <c r="W705">
        <v>0</v>
      </c>
    </row>
    <row r="706" spans="1:23" x14ac:dyDescent="0.35">
      <c r="A706" s="7" t="s">
        <v>791</v>
      </c>
      <c r="B706" t="s">
        <v>792</v>
      </c>
      <c r="C706" s="1">
        <v>45682</v>
      </c>
      <c r="D706">
        <v>32</v>
      </c>
      <c r="E706" t="str">
        <f t="shared" si="40"/>
        <v>25-34</v>
      </c>
      <c r="F706" t="s">
        <v>58</v>
      </c>
      <c r="G706" t="s">
        <v>33</v>
      </c>
      <c r="H706" t="s">
        <v>20</v>
      </c>
      <c r="I706">
        <v>2</v>
      </c>
      <c r="J706" t="s">
        <v>21</v>
      </c>
      <c r="K706">
        <v>58</v>
      </c>
      <c r="L706" t="str">
        <f t="shared" si="41"/>
        <v>2+years</v>
      </c>
      <c r="M706" t="s">
        <v>59</v>
      </c>
      <c r="N706">
        <v>24000</v>
      </c>
      <c r="O706">
        <v>3</v>
      </c>
      <c r="P706">
        <v>72000</v>
      </c>
      <c r="Q706">
        <f t="shared" si="42"/>
        <v>24000</v>
      </c>
      <c r="R706" s="13">
        <v>32.81</v>
      </c>
      <c r="S706" t="s">
        <v>23</v>
      </c>
      <c r="T706">
        <f t="shared" si="43"/>
        <v>1</v>
      </c>
      <c r="U706">
        <v>0</v>
      </c>
      <c r="V706">
        <v>0</v>
      </c>
      <c r="W706">
        <v>0</v>
      </c>
    </row>
    <row r="707" spans="1:23" x14ac:dyDescent="0.35">
      <c r="A707" s="7" t="s">
        <v>791</v>
      </c>
      <c r="B707" t="s">
        <v>792</v>
      </c>
      <c r="C707" s="1">
        <v>45682</v>
      </c>
      <c r="D707">
        <v>32</v>
      </c>
      <c r="E707" t="str">
        <f t="shared" ref="E707:E770" si="44">IF(D707&lt;25,"Under25",IF(D707&lt;35,"25-34",IF(D707&lt;45,"35-44",IF(D707&lt;55,"45-54","55+"))) )</f>
        <v>25-34</v>
      </c>
      <c r="F707" t="s">
        <v>58</v>
      </c>
      <c r="G707" t="s">
        <v>19</v>
      </c>
      <c r="H707" t="s">
        <v>20</v>
      </c>
      <c r="I707">
        <v>2</v>
      </c>
      <c r="J707" t="s">
        <v>21</v>
      </c>
      <c r="K707">
        <v>58</v>
      </c>
      <c r="L707" t="str">
        <f t="shared" ref="L707:L770" si="45">IF(K707&lt;6,"0-5 months",IF(K707&lt;13,"6-12 months",IF(K707&lt;25,"1-2 years","2+years")))</f>
        <v>2+years</v>
      </c>
      <c r="M707" t="s">
        <v>48</v>
      </c>
      <c r="N707">
        <v>9000</v>
      </c>
      <c r="O707">
        <v>13</v>
      </c>
      <c r="P707">
        <v>117000</v>
      </c>
      <c r="Q707">
        <f t="shared" ref="Q707:Q770" si="46">P707/O707</f>
        <v>9000</v>
      </c>
      <c r="R707" s="13">
        <v>155.53</v>
      </c>
      <c r="S707" t="s">
        <v>23</v>
      </c>
      <c r="T707">
        <f t="shared" ref="T707:T770" si="47">IF(S707="yes",1,0)</f>
        <v>1</v>
      </c>
      <c r="U707">
        <v>0</v>
      </c>
      <c r="V707">
        <v>0</v>
      </c>
      <c r="W707">
        <v>0</v>
      </c>
    </row>
    <row r="708" spans="1:23" x14ac:dyDescent="0.35">
      <c r="A708" s="7" t="s">
        <v>793</v>
      </c>
      <c r="B708" t="s">
        <v>794</v>
      </c>
      <c r="C708" s="1">
        <v>45741</v>
      </c>
      <c r="D708">
        <v>58</v>
      </c>
      <c r="E708" t="str">
        <f t="shared" si="44"/>
        <v>55+</v>
      </c>
      <c r="F708" t="s">
        <v>46</v>
      </c>
      <c r="G708" t="s">
        <v>19</v>
      </c>
      <c r="H708" t="s">
        <v>28</v>
      </c>
      <c r="I708">
        <v>2</v>
      </c>
      <c r="J708" t="s">
        <v>21</v>
      </c>
      <c r="K708">
        <v>53</v>
      </c>
      <c r="L708" t="str">
        <f t="shared" si="45"/>
        <v>2+years</v>
      </c>
      <c r="M708" t="s">
        <v>22</v>
      </c>
      <c r="N708">
        <v>35000</v>
      </c>
      <c r="O708">
        <v>16</v>
      </c>
      <c r="P708">
        <v>560000</v>
      </c>
      <c r="Q708">
        <f t="shared" si="46"/>
        <v>35000</v>
      </c>
      <c r="R708" s="13">
        <v>36.1</v>
      </c>
      <c r="S708" t="s">
        <v>36</v>
      </c>
      <c r="T708">
        <f t="shared" si="47"/>
        <v>0</v>
      </c>
      <c r="U708">
        <v>0</v>
      </c>
      <c r="V708">
        <v>0</v>
      </c>
      <c r="W708">
        <v>0</v>
      </c>
    </row>
    <row r="709" spans="1:23" x14ac:dyDescent="0.35">
      <c r="A709" s="7" t="s">
        <v>793</v>
      </c>
      <c r="B709" t="s">
        <v>794</v>
      </c>
      <c r="C709" s="1">
        <v>45741</v>
      </c>
      <c r="D709">
        <v>58</v>
      </c>
      <c r="E709" t="str">
        <f t="shared" si="44"/>
        <v>55+</v>
      </c>
      <c r="F709" t="s">
        <v>46</v>
      </c>
      <c r="G709" t="s">
        <v>33</v>
      </c>
      <c r="H709" t="s">
        <v>28</v>
      </c>
      <c r="I709">
        <v>2</v>
      </c>
      <c r="J709" t="s">
        <v>21</v>
      </c>
      <c r="K709">
        <v>53</v>
      </c>
      <c r="L709" t="str">
        <f t="shared" si="45"/>
        <v>2+years</v>
      </c>
      <c r="M709" t="s">
        <v>35</v>
      </c>
      <c r="N709">
        <v>20000</v>
      </c>
      <c r="O709">
        <v>14</v>
      </c>
      <c r="P709">
        <v>280000</v>
      </c>
      <c r="Q709">
        <f t="shared" si="46"/>
        <v>20000</v>
      </c>
      <c r="R709" s="13">
        <v>29.2</v>
      </c>
      <c r="S709" t="s">
        <v>36</v>
      </c>
      <c r="T709">
        <f t="shared" si="47"/>
        <v>0</v>
      </c>
      <c r="U709">
        <v>0</v>
      </c>
      <c r="V709">
        <v>0</v>
      </c>
      <c r="W709">
        <v>0</v>
      </c>
    </row>
    <row r="710" spans="1:23" x14ac:dyDescent="0.35">
      <c r="A710" s="7" t="s">
        <v>795</v>
      </c>
      <c r="B710" t="s">
        <v>796</v>
      </c>
      <c r="C710" s="1">
        <v>45682</v>
      </c>
      <c r="D710">
        <v>29</v>
      </c>
      <c r="E710" t="str">
        <f t="shared" si="44"/>
        <v>25-34</v>
      </c>
      <c r="F710" t="s">
        <v>192</v>
      </c>
      <c r="G710" t="s">
        <v>27</v>
      </c>
      <c r="H710" t="s">
        <v>28</v>
      </c>
      <c r="I710">
        <v>1</v>
      </c>
      <c r="J710" t="s">
        <v>34</v>
      </c>
      <c r="K710">
        <v>7</v>
      </c>
      <c r="L710" t="str">
        <f t="shared" si="45"/>
        <v>6-12 months</v>
      </c>
      <c r="M710" t="s">
        <v>29</v>
      </c>
      <c r="N710">
        <v>5500</v>
      </c>
      <c r="O710">
        <v>1</v>
      </c>
      <c r="P710">
        <v>5500</v>
      </c>
      <c r="Q710">
        <f t="shared" si="46"/>
        <v>5500</v>
      </c>
      <c r="R710" s="13">
        <v>30.2</v>
      </c>
      <c r="S710" t="s">
        <v>23</v>
      </c>
      <c r="T710">
        <f t="shared" si="47"/>
        <v>1</v>
      </c>
      <c r="U710">
        <v>0</v>
      </c>
      <c r="V710">
        <v>0</v>
      </c>
      <c r="W710">
        <v>0</v>
      </c>
    </row>
    <row r="711" spans="1:23" x14ac:dyDescent="0.35">
      <c r="A711" s="7" t="s">
        <v>795</v>
      </c>
      <c r="B711" t="s">
        <v>796</v>
      </c>
      <c r="C711" s="1">
        <v>45682</v>
      </c>
      <c r="D711">
        <v>29</v>
      </c>
      <c r="E711" t="str">
        <f t="shared" si="44"/>
        <v>25-34</v>
      </c>
      <c r="F711" t="s">
        <v>192</v>
      </c>
      <c r="G711" t="s">
        <v>38</v>
      </c>
      <c r="H711" t="s">
        <v>28</v>
      </c>
      <c r="I711">
        <v>1</v>
      </c>
      <c r="J711" t="s">
        <v>34</v>
      </c>
      <c r="K711">
        <v>7</v>
      </c>
      <c r="L711" t="str">
        <f t="shared" si="45"/>
        <v>6-12 months</v>
      </c>
      <c r="M711" t="s">
        <v>39</v>
      </c>
      <c r="N711">
        <v>9000</v>
      </c>
      <c r="O711">
        <v>9</v>
      </c>
      <c r="P711">
        <v>81000</v>
      </c>
      <c r="Q711">
        <f t="shared" si="46"/>
        <v>9000</v>
      </c>
      <c r="R711" s="13">
        <v>133.09</v>
      </c>
      <c r="S711" t="s">
        <v>23</v>
      </c>
      <c r="T711">
        <f t="shared" si="47"/>
        <v>1</v>
      </c>
      <c r="U711">
        <v>0</v>
      </c>
      <c r="V711">
        <v>0</v>
      </c>
      <c r="W711">
        <v>0</v>
      </c>
    </row>
    <row r="712" spans="1:23" x14ac:dyDescent="0.35">
      <c r="A712" s="7" t="s">
        <v>797</v>
      </c>
      <c r="B712" t="s">
        <v>798</v>
      </c>
      <c r="C712" s="1">
        <v>45713</v>
      </c>
      <c r="D712">
        <v>58</v>
      </c>
      <c r="E712" t="str">
        <f t="shared" si="44"/>
        <v>55+</v>
      </c>
      <c r="F712" t="s">
        <v>78</v>
      </c>
      <c r="G712" t="s">
        <v>38</v>
      </c>
      <c r="H712" t="s">
        <v>20</v>
      </c>
      <c r="I712">
        <v>4</v>
      </c>
      <c r="J712" t="s">
        <v>109</v>
      </c>
      <c r="K712">
        <v>33</v>
      </c>
      <c r="L712" t="str">
        <f t="shared" si="45"/>
        <v>2+years</v>
      </c>
      <c r="M712" t="s">
        <v>39</v>
      </c>
      <c r="N712">
        <v>9000</v>
      </c>
      <c r="O712">
        <v>16</v>
      </c>
      <c r="P712">
        <v>144000</v>
      </c>
      <c r="Q712">
        <f t="shared" si="46"/>
        <v>9000</v>
      </c>
      <c r="R712" s="13">
        <v>77.19</v>
      </c>
      <c r="S712" t="s">
        <v>36</v>
      </c>
      <c r="T712">
        <f t="shared" si="47"/>
        <v>0</v>
      </c>
      <c r="U712">
        <v>0</v>
      </c>
      <c r="V712">
        <v>0</v>
      </c>
      <c r="W712">
        <v>0</v>
      </c>
    </row>
    <row r="713" spans="1:23" x14ac:dyDescent="0.35">
      <c r="A713" s="7" t="s">
        <v>797</v>
      </c>
      <c r="B713" t="s">
        <v>798</v>
      </c>
      <c r="C713" s="1">
        <v>45713</v>
      </c>
      <c r="D713">
        <v>58</v>
      </c>
      <c r="E713" t="str">
        <f t="shared" si="44"/>
        <v>55+</v>
      </c>
      <c r="F713" t="s">
        <v>78</v>
      </c>
      <c r="G713" t="s">
        <v>33</v>
      </c>
      <c r="H713" t="s">
        <v>20</v>
      </c>
      <c r="I713">
        <v>4</v>
      </c>
      <c r="J713" t="s">
        <v>109</v>
      </c>
      <c r="K713">
        <v>33</v>
      </c>
      <c r="L713" t="str">
        <f t="shared" si="45"/>
        <v>2+years</v>
      </c>
      <c r="M713" t="s">
        <v>35</v>
      </c>
      <c r="N713">
        <v>20000</v>
      </c>
      <c r="O713">
        <v>12</v>
      </c>
      <c r="P713">
        <v>240000</v>
      </c>
      <c r="Q713">
        <f t="shared" si="46"/>
        <v>20000</v>
      </c>
      <c r="R713" s="13">
        <v>113.67</v>
      </c>
      <c r="S713" t="s">
        <v>36</v>
      </c>
      <c r="T713">
        <f t="shared" si="47"/>
        <v>0</v>
      </c>
      <c r="U713">
        <v>0</v>
      </c>
      <c r="V713">
        <v>0</v>
      </c>
      <c r="W713">
        <v>0</v>
      </c>
    </row>
    <row r="714" spans="1:23" x14ac:dyDescent="0.35">
      <c r="A714" s="7" t="s">
        <v>797</v>
      </c>
      <c r="B714" t="s">
        <v>798</v>
      </c>
      <c r="C714" s="1">
        <v>45713</v>
      </c>
      <c r="D714">
        <v>58</v>
      </c>
      <c r="E714" t="str">
        <f t="shared" si="44"/>
        <v>55+</v>
      </c>
      <c r="F714" t="s">
        <v>78</v>
      </c>
      <c r="G714" t="s">
        <v>27</v>
      </c>
      <c r="H714" t="s">
        <v>20</v>
      </c>
      <c r="I714">
        <v>4</v>
      </c>
      <c r="J714" t="s">
        <v>109</v>
      </c>
      <c r="K714">
        <v>33</v>
      </c>
      <c r="L714" t="str">
        <f t="shared" si="45"/>
        <v>2+years</v>
      </c>
      <c r="M714" t="s">
        <v>53</v>
      </c>
      <c r="N714">
        <v>3500</v>
      </c>
      <c r="O714">
        <v>13</v>
      </c>
      <c r="P714">
        <v>45500</v>
      </c>
      <c r="Q714">
        <f t="shared" si="46"/>
        <v>3500</v>
      </c>
      <c r="R714" s="13">
        <v>136.53</v>
      </c>
      <c r="S714" t="s">
        <v>36</v>
      </c>
      <c r="T714">
        <f t="shared" si="47"/>
        <v>0</v>
      </c>
      <c r="U714">
        <v>0</v>
      </c>
      <c r="V714">
        <v>0</v>
      </c>
      <c r="W714">
        <v>0</v>
      </c>
    </row>
    <row r="715" spans="1:23" x14ac:dyDescent="0.35">
      <c r="A715" s="7" t="s">
        <v>799</v>
      </c>
      <c r="B715" t="s">
        <v>800</v>
      </c>
      <c r="C715" s="1">
        <v>45713</v>
      </c>
      <c r="D715">
        <v>27</v>
      </c>
      <c r="E715" t="str">
        <f t="shared" si="44"/>
        <v>25-34</v>
      </c>
      <c r="F715" t="s">
        <v>42</v>
      </c>
      <c r="G715" t="s">
        <v>38</v>
      </c>
      <c r="H715" t="s">
        <v>28</v>
      </c>
      <c r="I715">
        <v>3</v>
      </c>
      <c r="J715" t="s">
        <v>47</v>
      </c>
      <c r="K715">
        <v>6</v>
      </c>
      <c r="L715" t="str">
        <f t="shared" si="45"/>
        <v>6-12 months</v>
      </c>
      <c r="M715" t="s">
        <v>68</v>
      </c>
      <c r="N715">
        <v>14500</v>
      </c>
      <c r="O715">
        <v>10</v>
      </c>
      <c r="P715">
        <v>145000</v>
      </c>
      <c r="Q715">
        <f t="shared" si="46"/>
        <v>14500</v>
      </c>
      <c r="R715" s="13">
        <v>132.32</v>
      </c>
      <c r="S715" t="s">
        <v>36</v>
      </c>
      <c r="T715">
        <f t="shared" si="47"/>
        <v>0</v>
      </c>
      <c r="U715">
        <v>0</v>
      </c>
      <c r="V715">
        <v>0</v>
      </c>
      <c r="W715">
        <v>0</v>
      </c>
    </row>
    <row r="716" spans="1:23" x14ac:dyDescent="0.35">
      <c r="A716" s="7" t="s">
        <v>801</v>
      </c>
      <c r="B716" t="s">
        <v>802</v>
      </c>
      <c r="C716" s="1">
        <v>45713</v>
      </c>
      <c r="D716">
        <v>29</v>
      </c>
      <c r="E716" t="str">
        <f t="shared" si="44"/>
        <v>25-34</v>
      </c>
      <c r="F716" t="s">
        <v>147</v>
      </c>
      <c r="G716" t="s">
        <v>19</v>
      </c>
      <c r="H716" t="s">
        <v>28</v>
      </c>
      <c r="I716">
        <v>2</v>
      </c>
      <c r="J716" t="s">
        <v>21</v>
      </c>
      <c r="K716">
        <v>6</v>
      </c>
      <c r="L716" t="str">
        <f t="shared" si="45"/>
        <v>6-12 months</v>
      </c>
      <c r="M716" t="s">
        <v>22</v>
      </c>
      <c r="N716">
        <v>35000</v>
      </c>
      <c r="O716">
        <v>18</v>
      </c>
      <c r="P716">
        <v>630000</v>
      </c>
      <c r="Q716">
        <f t="shared" si="46"/>
        <v>35000</v>
      </c>
      <c r="R716" s="13">
        <v>78.06</v>
      </c>
      <c r="S716" t="s">
        <v>23</v>
      </c>
      <c r="T716">
        <f t="shared" si="47"/>
        <v>1</v>
      </c>
      <c r="U716">
        <v>0</v>
      </c>
      <c r="V716">
        <v>0</v>
      </c>
      <c r="W716">
        <v>0</v>
      </c>
    </row>
    <row r="717" spans="1:23" x14ac:dyDescent="0.35">
      <c r="A717" s="7" t="s">
        <v>803</v>
      </c>
      <c r="B717" t="s">
        <v>804</v>
      </c>
      <c r="C717" s="1">
        <v>45682</v>
      </c>
      <c r="D717">
        <v>79</v>
      </c>
      <c r="E717" t="str">
        <f t="shared" si="44"/>
        <v>55+</v>
      </c>
      <c r="F717" t="s">
        <v>82</v>
      </c>
      <c r="G717" t="s">
        <v>38</v>
      </c>
      <c r="H717" t="s">
        <v>28</v>
      </c>
      <c r="I717">
        <v>3</v>
      </c>
      <c r="J717" t="s">
        <v>47</v>
      </c>
      <c r="K717">
        <v>2</v>
      </c>
      <c r="L717" t="str">
        <f t="shared" si="45"/>
        <v>0-5 months</v>
      </c>
      <c r="M717" t="s">
        <v>35</v>
      </c>
      <c r="N717">
        <v>20000</v>
      </c>
      <c r="O717">
        <v>17</v>
      </c>
      <c r="P717">
        <v>340000</v>
      </c>
      <c r="Q717">
        <f t="shared" si="46"/>
        <v>20000</v>
      </c>
      <c r="R717" s="13">
        <v>161.52000000000001</v>
      </c>
      <c r="S717" t="s">
        <v>23</v>
      </c>
      <c r="T717">
        <f t="shared" si="47"/>
        <v>1</v>
      </c>
      <c r="U717">
        <v>0</v>
      </c>
      <c r="V717">
        <v>0</v>
      </c>
      <c r="W717">
        <v>0</v>
      </c>
    </row>
    <row r="718" spans="1:23" x14ac:dyDescent="0.35">
      <c r="A718" s="7" t="s">
        <v>803</v>
      </c>
      <c r="B718" t="s">
        <v>804</v>
      </c>
      <c r="C718" s="1">
        <v>45682</v>
      </c>
      <c r="D718">
        <v>79</v>
      </c>
      <c r="E718" t="str">
        <f t="shared" si="44"/>
        <v>55+</v>
      </c>
      <c r="F718" t="s">
        <v>82</v>
      </c>
      <c r="G718" t="s">
        <v>19</v>
      </c>
      <c r="H718" t="s">
        <v>28</v>
      </c>
      <c r="I718">
        <v>3</v>
      </c>
      <c r="J718" t="s">
        <v>47</v>
      </c>
      <c r="K718">
        <v>2</v>
      </c>
      <c r="L718" t="str">
        <f t="shared" si="45"/>
        <v>0-5 months</v>
      </c>
      <c r="M718" t="s">
        <v>22</v>
      </c>
      <c r="N718">
        <v>35000</v>
      </c>
      <c r="O718">
        <v>18</v>
      </c>
      <c r="P718">
        <v>630000</v>
      </c>
      <c r="Q718">
        <f t="shared" si="46"/>
        <v>35000</v>
      </c>
      <c r="R718" s="13">
        <v>188.05</v>
      </c>
      <c r="S718" t="s">
        <v>23</v>
      </c>
      <c r="T718">
        <f t="shared" si="47"/>
        <v>1</v>
      </c>
      <c r="U718">
        <v>0</v>
      </c>
      <c r="V718">
        <v>0</v>
      </c>
      <c r="W718">
        <v>0</v>
      </c>
    </row>
    <row r="719" spans="1:23" x14ac:dyDescent="0.35">
      <c r="A719" s="7" t="s">
        <v>803</v>
      </c>
      <c r="B719" t="s">
        <v>804</v>
      </c>
      <c r="C719" s="1">
        <v>45682</v>
      </c>
      <c r="D719">
        <v>79</v>
      </c>
      <c r="E719" t="str">
        <f t="shared" si="44"/>
        <v>55+</v>
      </c>
      <c r="F719" t="s">
        <v>82</v>
      </c>
      <c r="G719" t="s">
        <v>27</v>
      </c>
      <c r="H719" t="s">
        <v>28</v>
      </c>
      <c r="I719">
        <v>3</v>
      </c>
      <c r="J719" t="s">
        <v>47</v>
      </c>
      <c r="K719">
        <v>2</v>
      </c>
      <c r="L719" t="str">
        <f t="shared" si="45"/>
        <v>0-5 months</v>
      </c>
      <c r="M719" t="s">
        <v>159</v>
      </c>
      <c r="N719">
        <v>600</v>
      </c>
      <c r="O719">
        <v>8</v>
      </c>
      <c r="P719">
        <v>4800</v>
      </c>
      <c r="Q719">
        <f t="shared" si="46"/>
        <v>600</v>
      </c>
      <c r="R719" s="13">
        <v>148.34</v>
      </c>
      <c r="S719" t="s">
        <v>23</v>
      </c>
      <c r="T719">
        <f t="shared" si="47"/>
        <v>1</v>
      </c>
      <c r="U719">
        <v>0</v>
      </c>
      <c r="V719">
        <v>0</v>
      </c>
      <c r="W719">
        <v>0</v>
      </c>
    </row>
    <row r="720" spans="1:23" x14ac:dyDescent="0.35">
      <c r="A720" s="7" t="s">
        <v>805</v>
      </c>
      <c r="B720" t="s">
        <v>806</v>
      </c>
      <c r="C720" s="1">
        <v>45682</v>
      </c>
      <c r="D720">
        <v>20</v>
      </c>
      <c r="E720" t="str">
        <f t="shared" si="44"/>
        <v>Under25</v>
      </c>
      <c r="F720" t="s">
        <v>51</v>
      </c>
      <c r="G720" t="s">
        <v>38</v>
      </c>
      <c r="H720" t="s">
        <v>28</v>
      </c>
      <c r="I720">
        <v>4</v>
      </c>
      <c r="J720" t="s">
        <v>109</v>
      </c>
      <c r="K720">
        <v>42</v>
      </c>
      <c r="L720" t="str">
        <f t="shared" si="45"/>
        <v>2+years</v>
      </c>
      <c r="M720" t="s">
        <v>39</v>
      </c>
      <c r="N720">
        <v>9000</v>
      </c>
      <c r="O720">
        <v>2</v>
      </c>
      <c r="P720">
        <v>18000</v>
      </c>
      <c r="Q720">
        <f t="shared" si="46"/>
        <v>9000</v>
      </c>
      <c r="R720" s="13">
        <v>34.86</v>
      </c>
      <c r="S720" t="s">
        <v>36</v>
      </c>
      <c r="T720">
        <f t="shared" si="47"/>
        <v>0</v>
      </c>
      <c r="U720">
        <v>0</v>
      </c>
      <c r="V720">
        <v>0</v>
      </c>
      <c r="W720">
        <v>0</v>
      </c>
    </row>
    <row r="721" spans="1:23" x14ac:dyDescent="0.35">
      <c r="A721" s="7" t="s">
        <v>805</v>
      </c>
      <c r="B721" t="s">
        <v>806</v>
      </c>
      <c r="C721" s="1">
        <v>45682</v>
      </c>
      <c r="D721">
        <v>20</v>
      </c>
      <c r="E721" t="str">
        <f t="shared" si="44"/>
        <v>Under25</v>
      </c>
      <c r="F721" t="s">
        <v>51</v>
      </c>
      <c r="G721" t="s">
        <v>27</v>
      </c>
      <c r="H721" t="s">
        <v>28</v>
      </c>
      <c r="I721">
        <v>4</v>
      </c>
      <c r="J721" t="s">
        <v>109</v>
      </c>
      <c r="K721">
        <v>42</v>
      </c>
      <c r="L721" t="str">
        <f t="shared" si="45"/>
        <v>2+years</v>
      </c>
      <c r="M721" t="s">
        <v>37</v>
      </c>
      <c r="N721">
        <v>500</v>
      </c>
      <c r="O721">
        <v>4</v>
      </c>
      <c r="P721">
        <v>2000</v>
      </c>
      <c r="Q721">
        <f t="shared" si="46"/>
        <v>500</v>
      </c>
      <c r="R721" s="13">
        <v>164.24</v>
      </c>
      <c r="S721" t="s">
        <v>36</v>
      </c>
      <c r="T721">
        <f t="shared" si="47"/>
        <v>0</v>
      </c>
      <c r="U721">
        <v>0</v>
      </c>
      <c r="V721">
        <v>0</v>
      </c>
      <c r="W721">
        <v>0</v>
      </c>
    </row>
    <row r="722" spans="1:23" x14ac:dyDescent="0.35">
      <c r="A722" s="7" t="s">
        <v>805</v>
      </c>
      <c r="B722" t="s">
        <v>806</v>
      </c>
      <c r="C722" s="1">
        <v>45682</v>
      </c>
      <c r="D722">
        <v>20</v>
      </c>
      <c r="E722" t="str">
        <f t="shared" si="44"/>
        <v>Under25</v>
      </c>
      <c r="F722" t="s">
        <v>51</v>
      </c>
      <c r="G722" t="s">
        <v>33</v>
      </c>
      <c r="H722" t="s">
        <v>28</v>
      </c>
      <c r="I722">
        <v>4</v>
      </c>
      <c r="J722" t="s">
        <v>109</v>
      </c>
      <c r="K722">
        <v>42</v>
      </c>
      <c r="L722" t="str">
        <f t="shared" si="45"/>
        <v>2+years</v>
      </c>
      <c r="M722" t="s">
        <v>54</v>
      </c>
      <c r="N722">
        <v>150000</v>
      </c>
      <c r="O722">
        <v>19</v>
      </c>
      <c r="P722">
        <v>2850000</v>
      </c>
      <c r="Q722">
        <f t="shared" si="46"/>
        <v>150000</v>
      </c>
      <c r="R722" s="13">
        <v>122.44</v>
      </c>
      <c r="S722" t="s">
        <v>36</v>
      </c>
      <c r="T722">
        <f t="shared" si="47"/>
        <v>0</v>
      </c>
      <c r="U722">
        <v>0</v>
      </c>
      <c r="V722">
        <v>0</v>
      </c>
      <c r="W722">
        <v>0</v>
      </c>
    </row>
    <row r="723" spans="1:23" x14ac:dyDescent="0.35">
      <c r="A723" s="7" t="s">
        <v>807</v>
      </c>
      <c r="B723" t="s">
        <v>808</v>
      </c>
      <c r="C723" s="1">
        <v>45713</v>
      </c>
      <c r="D723">
        <v>29</v>
      </c>
      <c r="E723" t="str">
        <f t="shared" si="44"/>
        <v>25-34</v>
      </c>
      <c r="F723" t="s">
        <v>170</v>
      </c>
      <c r="G723" t="s">
        <v>33</v>
      </c>
      <c r="H723" t="s">
        <v>28</v>
      </c>
      <c r="I723">
        <v>1</v>
      </c>
      <c r="J723" t="s">
        <v>34</v>
      </c>
      <c r="K723">
        <v>39</v>
      </c>
      <c r="L723" t="str">
        <f t="shared" si="45"/>
        <v>2+years</v>
      </c>
      <c r="M723" t="s">
        <v>100</v>
      </c>
      <c r="N723">
        <v>75000</v>
      </c>
      <c r="O723">
        <v>19</v>
      </c>
      <c r="P723">
        <v>1425000</v>
      </c>
      <c r="Q723">
        <f t="shared" si="46"/>
        <v>75000</v>
      </c>
      <c r="R723" s="13">
        <v>65.180000000000007</v>
      </c>
      <c r="S723" t="s">
        <v>36</v>
      </c>
      <c r="T723">
        <f t="shared" si="47"/>
        <v>0</v>
      </c>
      <c r="U723">
        <v>0</v>
      </c>
      <c r="V723">
        <v>0</v>
      </c>
      <c r="W723">
        <v>0</v>
      </c>
    </row>
    <row r="724" spans="1:23" x14ac:dyDescent="0.35">
      <c r="A724" s="7" t="s">
        <v>807</v>
      </c>
      <c r="B724" t="s">
        <v>808</v>
      </c>
      <c r="C724" s="1">
        <v>45713</v>
      </c>
      <c r="D724">
        <v>29</v>
      </c>
      <c r="E724" t="str">
        <f t="shared" si="44"/>
        <v>25-34</v>
      </c>
      <c r="F724" t="s">
        <v>170</v>
      </c>
      <c r="G724" t="s">
        <v>27</v>
      </c>
      <c r="H724" t="s">
        <v>28</v>
      </c>
      <c r="I724">
        <v>1</v>
      </c>
      <c r="J724" t="s">
        <v>34</v>
      </c>
      <c r="K724">
        <v>39</v>
      </c>
      <c r="L724" t="str">
        <f t="shared" si="45"/>
        <v>2+years</v>
      </c>
      <c r="M724" t="s">
        <v>187</v>
      </c>
      <c r="N724">
        <v>6500</v>
      </c>
      <c r="O724">
        <v>7</v>
      </c>
      <c r="P724">
        <v>45500</v>
      </c>
      <c r="Q724">
        <f t="shared" si="46"/>
        <v>6500</v>
      </c>
      <c r="R724" s="13">
        <v>27.9</v>
      </c>
      <c r="S724" t="s">
        <v>36</v>
      </c>
      <c r="T724">
        <f t="shared" si="47"/>
        <v>0</v>
      </c>
      <c r="U724">
        <v>0</v>
      </c>
      <c r="V724">
        <v>0</v>
      </c>
      <c r="W724">
        <v>0</v>
      </c>
    </row>
    <row r="725" spans="1:23" x14ac:dyDescent="0.35">
      <c r="A725" s="7" t="s">
        <v>809</v>
      </c>
      <c r="B725" t="s">
        <v>810</v>
      </c>
      <c r="C725" s="1">
        <v>45741</v>
      </c>
      <c r="D725">
        <v>38</v>
      </c>
      <c r="E725" t="str">
        <f t="shared" si="44"/>
        <v>35-44</v>
      </c>
      <c r="F725" t="s">
        <v>152</v>
      </c>
      <c r="G725" t="s">
        <v>33</v>
      </c>
      <c r="H725" t="s">
        <v>20</v>
      </c>
      <c r="I725">
        <v>2</v>
      </c>
      <c r="J725" t="s">
        <v>21</v>
      </c>
      <c r="K725">
        <v>8</v>
      </c>
      <c r="L725" t="str">
        <f t="shared" si="45"/>
        <v>6-12 months</v>
      </c>
      <c r="M725" t="s">
        <v>62</v>
      </c>
      <c r="N725">
        <v>30000</v>
      </c>
      <c r="O725">
        <v>19</v>
      </c>
      <c r="P725">
        <v>570000</v>
      </c>
      <c r="Q725">
        <f t="shared" si="46"/>
        <v>30000</v>
      </c>
      <c r="R725" s="13">
        <v>88.01</v>
      </c>
      <c r="S725" t="s">
        <v>36</v>
      </c>
      <c r="T725">
        <f t="shared" si="47"/>
        <v>0</v>
      </c>
      <c r="U725">
        <v>0</v>
      </c>
      <c r="V725">
        <v>0</v>
      </c>
      <c r="W725">
        <v>0</v>
      </c>
    </row>
    <row r="726" spans="1:23" x14ac:dyDescent="0.35">
      <c r="A726" s="7" t="s">
        <v>811</v>
      </c>
      <c r="B726" t="s">
        <v>812</v>
      </c>
      <c r="C726" s="1">
        <v>45713</v>
      </c>
      <c r="D726">
        <v>33</v>
      </c>
      <c r="E726" t="str">
        <f t="shared" si="44"/>
        <v>25-34</v>
      </c>
      <c r="F726" t="s">
        <v>91</v>
      </c>
      <c r="G726" t="s">
        <v>38</v>
      </c>
      <c r="H726" t="s">
        <v>28</v>
      </c>
      <c r="I726">
        <v>1</v>
      </c>
      <c r="J726" t="s">
        <v>34</v>
      </c>
      <c r="K726">
        <v>50</v>
      </c>
      <c r="L726" t="str">
        <f t="shared" si="45"/>
        <v>2+years</v>
      </c>
      <c r="M726" t="s">
        <v>39</v>
      </c>
      <c r="N726">
        <v>9000</v>
      </c>
      <c r="O726">
        <v>3</v>
      </c>
      <c r="P726">
        <v>27000</v>
      </c>
      <c r="Q726">
        <f t="shared" si="46"/>
        <v>9000</v>
      </c>
      <c r="R726" s="13">
        <v>36.29</v>
      </c>
      <c r="S726" t="s">
        <v>36</v>
      </c>
      <c r="T726">
        <f t="shared" si="47"/>
        <v>0</v>
      </c>
      <c r="U726">
        <v>0</v>
      </c>
      <c r="V726">
        <v>0</v>
      </c>
      <c r="W726">
        <v>0</v>
      </c>
    </row>
    <row r="727" spans="1:23" x14ac:dyDescent="0.35">
      <c r="A727" s="7" t="s">
        <v>813</v>
      </c>
      <c r="B727" t="s">
        <v>814</v>
      </c>
      <c r="C727" s="1">
        <v>45713</v>
      </c>
      <c r="D727">
        <v>69</v>
      </c>
      <c r="E727" t="str">
        <f t="shared" si="44"/>
        <v>55+</v>
      </c>
      <c r="F727" t="s">
        <v>207</v>
      </c>
      <c r="G727" t="s">
        <v>19</v>
      </c>
      <c r="H727" t="s">
        <v>20</v>
      </c>
      <c r="I727">
        <v>3</v>
      </c>
      <c r="J727" t="s">
        <v>47</v>
      </c>
      <c r="K727">
        <v>14</v>
      </c>
      <c r="L727" t="str">
        <f t="shared" si="45"/>
        <v>1-2 years</v>
      </c>
      <c r="M727" t="s">
        <v>55</v>
      </c>
      <c r="N727">
        <v>16000</v>
      </c>
      <c r="O727">
        <v>16</v>
      </c>
      <c r="P727">
        <v>256000</v>
      </c>
      <c r="Q727">
        <f t="shared" si="46"/>
        <v>16000</v>
      </c>
      <c r="R727" s="13">
        <v>119.46</v>
      </c>
      <c r="S727" t="s">
        <v>36</v>
      </c>
      <c r="T727">
        <f t="shared" si="47"/>
        <v>0</v>
      </c>
      <c r="U727">
        <v>0</v>
      </c>
      <c r="V727">
        <v>0</v>
      </c>
      <c r="W727">
        <v>0</v>
      </c>
    </row>
    <row r="728" spans="1:23" x14ac:dyDescent="0.35">
      <c r="A728" s="7" t="s">
        <v>813</v>
      </c>
      <c r="B728" t="s">
        <v>814</v>
      </c>
      <c r="C728" s="1">
        <v>45713</v>
      </c>
      <c r="D728">
        <v>69</v>
      </c>
      <c r="E728" t="str">
        <f t="shared" si="44"/>
        <v>55+</v>
      </c>
      <c r="F728" t="s">
        <v>207</v>
      </c>
      <c r="G728" t="s">
        <v>38</v>
      </c>
      <c r="H728" t="s">
        <v>20</v>
      </c>
      <c r="I728">
        <v>3</v>
      </c>
      <c r="J728" t="s">
        <v>47</v>
      </c>
      <c r="K728">
        <v>14</v>
      </c>
      <c r="L728" t="str">
        <f t="shared" si="45"/>
        <v>1-2 years</v>
      </c>
      <c r="M728" t="s">
        <v>59</v>
      </c>
      <c r="N728">
        <v>24000</v>
      </c>
      <c r="O728">
        <v>10</v>
      </c>
      <c r="P728">
        <v>240000</v>
      </c>
      <c r="Q728">
        <f t="shared" si="46"/>
        <v>24000</v>
      </c>
      <c r="R728" s="13">
        <v>190.08</v>
      </c>
      <c r="S728" t="s">
        <v>36</v>
      </c>
      <c r="T728">
        <f t="shared" si="47"/>
        <v>0</v>
      </c>
      <c r="U728">
        <v>0</v>
      </c>
      <c r="V728">
        <v>0</v>
      </c>
      <c r="W728">
        <v>0</v>
      </c>
    </row>
    <row r="729" spans="1:23" x14ac:dyDescent="0.35">
      <c r="A729" s="7" t="s">
        <v>815</v>
      </c>
      <c r="B729" t="s">
        <v>816</v>
      </c>
      <c r="C729" s="1">
        <v>45682</v>
      </c>
      <c r="D729">
        <v>69</v>
      </c>
      <c r="E729" t="str">
        <f t="shared" si="44"/>
        <v>55+</v>
      </c>
      <c r="F729" t="s">
        <v>444</v>
      </c>
      <c r="G729" t="s">
        <v>33</v>
      </c>
      <c r="H729" t="s">
        <v>20</v>
      </c>
      <c r="I729">
        <v>5</v>
      </c>
      <c r="J729" t="s">
        <v>52</v>
      </c>
      <c r="K729">
        <v>13</v>
      </c>
      <c r="L729" t="str">
        <f t="shared" si="45"/>
        <v>1-2 years</v>
      </c>
      <c r="M729" t="s">
        <v>54</v>
      </c>
      <c r="N729">
        <v>150000</v>
      </c>
      <c r="O729">
        <v>7</v>
      </c>
      <c r="P729">
        <v>1050000</v>
      </c>
      <c r="Q729">
        <f t="shared" si="46"/>
        <v>150000</v>
      </c>
      <c r="R729" s="13">
        <v>154.18</v>
      </c>
      <c r="S729" t="s">
        <v>36</v>
      </c>
      <c r="T729">
        <f t="shared" si="47"/>
        <v>0</v>
      </c>
      <c r="U729">
        <v>0</v>
      </c>
      <c r="V729">
        <v>0</v>
      </c>
      <c r="W729">
        <v>0</v>
      </c>
    </row>
    <row r="730" spans="1:23" x14ac:dyDescent="0.35">
      <c r="A730" s="7" t="s">
        <v>815</v>
      </c>
      <c r="B730" t="s">
        <v>816</v>
      </c>
      <c r="C730" s="1">
        <v>45682</v>
      </c>
      <c r="D730">
        <v>69</v>
      </c>
      <c r="E730" t="str">
        <f t="shared" si="44"/>
        <v>55+</v>
      </c>
      <c r="F730" t="s">
        <v>444</v>
      </c>
      <c r="G730" t="s">
        <v>27</v>
      </c>
      <c r="H730" t="s">
        <v>20</v>
      </c>
      <c r="I730">
        <v>5</v>
      </c>
      <c r="J730" t="s">
        <v>52</v>
      </c>
      <c r="K730">
        <v>13</v>
      </c>
      <c r="L730" t="str">
        <f t="shared" si="45"/>
        <v>1-2 years</v>
      </c>
      <c r="M730" t="s">
        <v>37</v>
      </c>
      <c r="N730">
        <v>500</v>
      </c>
      <c r="O730">
        <v>4</v>
      </c>
      <c r="P730">
        <v>2000</v>
      </c>
      <c r="Q730">
        <f t="shared" si="46"/>
        <v>500</v>
      </c>
      <c r="R730" s="13">
        <v>11.09</v>
      </c>
      <c r="S730" t="s">
        <v>36</v>
      </c>
      <c r="T730">
        <f t="shared" si="47"/>
        <v>0</v>
      </c>
      <c r="U730">
        <v>0</v>
      </c>
      <c r="V730">
        <v>0</v>
      </c>
      <c r="W730">
        <v>0</v>
      </c>
    </row>
    <row r="731" spans="1:23" x14ac:dyDescent="0.35">
      <c r="A731" s="7" t="s">
        <v>815</v>
      </c>
      <c r="B731" t="s">
        <v>816</v>
      </c>
      <c r="C731" s="1">
        <v>45682</v>
      </c>
      <c r="D731">
        <v>69</v>
      </c>
      <c r="E731" t="str">
        <f t="shared" si="44"/>
        <v>55+</v>
      </c>
      <c r="F731" t="s">
        <v>444</v>
      </c>
      <c r="G731" t="s">
        <v>38</v>
      </c>
      <c r="H731" t="s">
        <v>20</v>
      </c>
      <c r="I731">
        <v>5</v>
      </c>
      <c r="J731" t="s">
        <v>52</v>
      </c>
      <c r="K731">
        <v>13</v>
      </c>
      <c r="L731" t="str">
        <f t="shared" si="45"/>
        <v>1-2 years</v>
      </c>
      <c r="M731" t="s">
        <v>35</v>
      </c>
      <c r="N731">
        <v>20000</v>
      </c>
      <c r="O731">
        <v>16</v>
      </c>
      <c r="P731">
        <v>320000</v>
      </c>
      <c r="Q731">
        <f t="shared" si="46"/>
        <v>20000</v>
      </c>
      <c r="R731" s="13">
        <v>137.21</v>
      </c>
      <c r="S731" t="s">
        <v>36</v>
      </c>
      <c r="T731">
        <f t="shared" si="47"/>
        <v>0</v>
      </c>
      <c r="U731">
        <v>0</v>
      </c>
      <c r="V731">
        <v>0</v>
      </c>
      <c r="W731">
        <v>0</v>
      </c>
    </row>
    <row r="732" spans="1:23" x14ac:dyDescent="0.35">
      <c r="A732" s="7" t="s">
        <v>817</v>
      </c>
      <c r="B732" t="s">
        <v>818</v>
      </c>
      <c r="C732" s="1">
        <v>45741</v>
      </c>
      <c r="D732">
        <v>38</v>
      </c>
      <c r="E732" t="str">
        <f t="shared" si="44"/>
        <v>35-44</v>
      </c>
      <c r="F732" t="s">
        <v>26</v>
      </c>
      <c r="G732" t="s">
        <v>27</v>
      </c>
      <c r="H732" t="s">
        <v>20</v>
      </c>
      <c r="I732">
        <v>3</v>
      </c>
      <c r="J732" t="s">
        <v>47</v>
      </c>
      <c r="K732">
        <v>4</v>
      </c>
      <c r="L732" t="str">
        <f t="shared" si="45"/>
        <v>0-5 months</v>
      </c>
      <c r="M732" t="s">
        <v>79</v>
      </c>
      <c r="N732">
        <v>1000</v>
      </c>
      <c r="O732">
        <v>18</v>
      </c>
      <c r="P732">
        <v>18000</v>
      </c>
      <c r="Q732">
        <f t="shared" si="46"/>
        <v>1000</v>
      </c>
      <c r="R732" s="13">
        <v>148.21</v>
      </c>
      <c r="S732" t="s">
        <v>23</v>
      </c>
      <c r="T732">
        <f t="shared" si="47"/>
        <v>1</v>
      </c>
      <c r="U732">
        <v>0</v>
      </c>
      <c r="V732">
        <v>0</v>
      </c>
      <c r="W732">
        <v>0</v>
      </c>
    </row>
    <row r="733" spans="1:23" x14ac:dyDescent="0.35">
      <c r="A733" s="7" t="s">
        <v>817</v>
      </c>
      <c r="B733" t="s">
        <v>818</v>
      </c>
      <c r="C733" s="1">
        <v>45741</v>
      </c>
      <c r="D733">
        <v>38</v>
      </c>
      <c r="E733" t="str">
        <f t="shared" si="44"/>
        <v>35-44</v>
      </c>
      <c r="F733" t="s">
        <v>26</v>
      </c>
      <c r="G733" t="s">
        <v>38</v>
      </c>
      <c r="H733" t="s">
        <v>20</v>
      </c>
      <c r="I733">
        <v>3</v>
      </c>
      <c r="J733" t="s">
        <v>47</v>
      </c>
      <c r="K733">
        <v>4</v>
      </c>
      <c r="L733" t="str">
        <f t="shared" si="45"/>
        <v>0-5 months</v>
      </c>
      <c r="M733" t="s">
        <v>35</v>
      </c>
      <c r="N733">
        <v>20000</v>
      </c>
      <c r="O733">
        <v>1</v>
      </c>
      <c r="P733">
        <v>20000</v>
      </c>
      <c r="Q733">
        <f t="shared" si="46"/>
        <v>20000</v>
      </c>
      <c r="R733" s="13">
        <v>32.03</v>
      </c>
      <c r="S733" t="s">
        <v>23</v>
      </c>
      <c r="T733">
        <f t="shared" si="47"/>
        <v>1</v>
      </c>
      <c r="U733">
        <v>0</v>
      </c>
      <c r="V733">
        <v>0</v>
      </c>
      <c r="W733">
        <v>0</v>
      </c>
    </row>
    <row r="734" spans="1:23" x14ac:dyDescent="0.35">
      <c r="A734" s="7" t="s">
        <v>819</v>
      </c>
      <c r="B734" t="s">
        <v>820</v>
      </c>
      <c r="C734" s="1">
        <v>45713</v>
      </c>
      <c r="D734">
        <v>30</v>
      </c>
      <c r="E734" t="str">
        <f t="shared" si="44"/>
        <v>25-34</v>
      </c>
      <c r="F734" t="s">
        <v>141</v>
      </c>
      <c r="G734" t="s">
        <v>19</v>
      </c>
      <c r="H734" t="s">
        <v>20</v>
      </c>
      <c r="I734">
        <v>5</v>
      </c>
      <c r="J734" t="s">
        <v>52</v>
      </c>
      <c r="K734">
        <v>47</v>
      </c>
      <c r="L734" t="str">
        <f t="shared" si="45"/>
        <v>2+years</v>
      </c>
      <c r="M734" t="s">
        <v>48</v>
      </c>
      <c r="N734">
        <v>9000</v>
      </c>
      <c r="O734">
        <v>4</v>
      </c>
      <c r="P734">
        <v>36000</v>
      </c>
      <c r="Q734">
        <f t="shared" si="46"/>
        <v>9000</v>
      </c>
      <c r="R734" s="13">
        <v>46.4</v>
      </c>
      <c r="S734" t="s">
        <v>36</v>
      </c>
      <c r="T734">
        <f t="shared" si="47"/>
        <v>0</v>
      </c>
      <c r="U734">
        <v>0</v>
      </c>
      <c r="V734">
        <v>0</v>
      </c>
      <c r="W734">
        <v>0</v>
      </c>
    </row>
    <row r="735" spans="1:23" x14ac:dyDescent="0.35">
      <c r="A735" s="7" t="s">
        <v>819</v>
      </c>
      <c r="B735" t="s">
        <v>820</v>
      </c>
      <c r="C735" s="1">
        <v>45713</v>
      </c>
      <c r="D735">
        <v>30</v>
      </c>
      <c r="E735" t="str">
        <f t="shared" si="44"/>
        <v>25-34</v>
      </c>
      <c r="F735" t="s">
        <v>141</v>
      </c>
      <c r="G735" t="s">
        <v>33</v>
      </c>
      <c r="H735" t="s">
        <v>20</v>
      </c>
      <c r="I735">
        <v>5</v>
      </c>
      <c r="J735" t="s">
        <v>52</v>
      </c>
      <c r="K735">
        <v>47</v>
      </c>
      <c r="L735" t="str">
        <f t="shared" si="45"/>
        <v>2+years</v>
      </c>
      <c r="M735" t="s">
        <v>110</v>
      </c>
      <c r="N735">
        <v>25000</v>
      </c>
      <c r="O735">
        <v>8</v>
      </c>
      <c r="P735">
        <v>200000</v>
      </c>
      <c r="Q735">
        <f t="shared" si="46"/>
        <v>25000</v>
      </c>
      <c r="R735" s="13">
        <v>45.94</v>
      </c>
      <c r="S735" t="s">
        <v>36</v>
      </c>
      <c r="T735">
        <f t="shared" si="47"/>
        <v>0</v>
      </c>
      <c r="U735">
        <v>0</v>
      </c>
      <c r="V735">
        <v>0</v>
      </c>
      <c r="W735">
        <v>0</v>
      </c>
    </row>
    <row r="736" spans="1:23" x14ac:dyDescent="0.35">
      <c r="A736" s="7" t="s">
        <v>821</v>
      </c>
      <c r="B736" t="s">
        <v>822</v>
      </c>
      <c r="C736" s="1">
        <v>45713</v>
      </c>
      <c r="D736">
        <v>41</v>
      </c>
      <c r="E736" t="str">
        <f t="shared" si="44"/>
        <v>35-44</v>
      </c>
      <c r="F736" t="s">
        <v>58</v>
      </c>
      <c r="G736" t="s">
        <v>19</v>
      </c>
      <c r="H736" t="s">
        <v>20</v>
      </c>
      <c r="I736">
        <v>5</v>
      </c>
      <c r="J736" t="s">
        <v>52</v>
      </c>
      <c r="K736">
        <v>5</v>
      </c>
      <c r="L736" t="str">
        <f t="shared" si="45"/>
        <v>0-5 months</v>
      </c>
      <c r="M736" t="s">
        <v>22</v>
      </c>
      <c r="N736">
        <v>35000</v>
      </c>
      <c r="O736">
        <v>12</v>
      </c>
      <c r="P736">
        <v>420000</v>
      </c>
      <c r="Q736">
        <f t="shared" si="46"/>
        <v>35000</v>
      </c>
      <c r="R736" s="13">
        <v>36.020000000000003</v>
      </c>
      <c r="S736" t="s">
        <v>36</v>
      </c>
      <c r="T736">
        <f t="shared" si="47"/>
        <v>0</v>
      </c>
      <c r="U736">
        <v>0</v>
      </c>
      <c r="V736">
        <v>0</v>
      </c>
      <c r="W736">
        <v>0</v>
      </c>
    </row>
    <row r="737" spans="1:23" x14ac:dyDescent="0.35">
      <c r="A737" s="7" t="s">
        <v>821</v>
      </c>
      <c r="B737" t="s">
        <v>822</v>
      </c>
      <c r="C737" s="1">
        <v>45713</v>
      </c>
      <c r="D737">
        <v>41</v>
      </c>
      <c r="E737" t="str">
        <f t="shared" si="44"/>
        <v>35-44</v>
      </c>
      <c r="F737" t="s">
        <v>58</v>
      </c>
      <c r="G737" t="s">
        <v>38</v>
      </c>
      <c r="H737" t="s">
        <v>20</v>
      </c>
      <c r="I737">
        <v>5</v>
      </c>
      <c r="J737" t="s">
        <v>52</v>
      </c>
      <c r="K737">
        <v>5</v>
      </c>
      <c r="L737" t="str">
        <f t="shared" si="45"/>
        <v>0-5 months</v>
      </c>
      <c r="M737" t="s">
        <v>35</v>
      </c>
      <c r="N737">
        <v>20000</v>
      </c>
      <c r="O737">
        <v>7</v>
      </c>
      <c r="P737">
        <v>140000</v>
      </c>
      <c r="Q737">
        <f t="shared" si="46"/>
        <v>20000</v>
      </c>
      <c r="R737" s="13">
        <v>91.82</v>
      </c>
      <c r="S737" t="s">
        <v>36</v>
      </c>
      <c r="T737">
        <f t="shared" si="47"/>
        <v>0</v>
      </c>
      <c r="U737">
        <v>0</v>
      </c>
      <c r="V737">
        <v>0</v>
      </c>
      <c r="W737">
        <v>0</v>
      </c>
    </row>
    <row r="738" spans="1:23" x14ac:dyDescent="0.35">
      <c r="A738" s="7" t="s">
        <v>823</v>
      </c>
      <c r="B738" t="s">
        <v>824</v>
      </c>
      <c r="C738" s="1">
        <v>45682</v>
      </c>
      <c r="D738">
        <v>50</v>
      </c>
      <c r="E738" t="str">
        <f t="shared" si="44"/>
        <v>45-54</v>
      </c>
      <c r="F738" t="s">
        <v>116</v>
      </c>
      <c r="G738" t="s">
        <v>27</v>
      </c>
      <c r="H738" t="s">
        <v>28</v>
      </c>
      <c r="I738">
        <v>5</v>
      </c>
      <c r="J738" t="s">
        <v>52</v>
      </c>
      <c r="K738">
        <v>9</v>
      </c>
      <c r="L738" t="str">
        <f t="shared" si="45"/>
        <v>6-12 months</v>
      </c>
      <c r="M738" t="s">
        <v>29</v>
      </c>
      <c r="N738">
        <v>5500</v>
      </c>
      <c r="O738">
        <v>11</v>
      </c>
      <c r="P738">
        <v>60500</v>
      </c>
      <c r="Q738">
        <f t="shared" si="46"/>
        <v>5500</v>
      </c>
      <c r="R738" s="13">
        <v>83.94</v>
      </c>
      <c r="S738" t="s">
        <v>23</v>
      </c>
      <c r="T738">
        <f t="shared" si="47"/>
        <v>1</v>
      </c>
      <c r="U738">
        <v>0</v>
      </c>
      <c r="V738">
        <v>0</v>
      </c>
      <c r="W738">
        <v>0</v>
      </c>
    </row>
    <row r="739" spans="1:23" x14ac:dyDescent="0.35">
      <c r="A739" s="7" t="s">
        <v>825</v>
      </c>
      <c r="B739" t="s">
        <v>826</v>
      </c>
      <c r="C739" s="1">
        <v>45713</v>
      </c>
      <c r="D739">
        <v>53</v>
      </c>
      <c r="E739" t="str">
        <f t="shared" si="44"/>
        <v>45-54</v>
      </c>
      <c r="F739" t="s">
        <v>26</v>
      </c>
      <c r="G739" t="s">
        <v>27</v>
      </c>
      <c r="H739" t="s">
        <v>20</v>
      </c>
      <c r="I739">
        <v>1</v>
      </c>
      <c r="J739" t="s">
        <v>34</v>
      </c>
      <c r="K739">
        <v>37</v>
      </c>
      <c r="L739" t="str">
        <f t="shared" si="45"/>
        <v>2+years</v>
      </c>
      <c r="M739" t="s">
        <v>29</v>
      </c>
      <c r="N739">
        <v>5500</v>
      </c>
      <c r="O739">
        <v>14</v>
      </c>
      <c r="P739">
        <v>77000</v>
      </c>
      <c r="Q739">
        <f t="shared" si="46"/>
        <v>5500</v>
      </c>
      <c r="R739" s="13">
        <v>56.19</v>
      </c>
      <c r="S739" t="s">
        <v>36</v>
      </c>
      <c r="T739">
        <f t="shared" si="47"/>
        <v>0</v>
      </c>
      <c r="U739">
        <v>0</v>
      </c>
      <c r="V739">
        <v>0</v>
      </c>
      <c r="W739">
        <v>0</v>
      </c>
    </row>
    <row r="740" spans="1:23" x14ac:dyDescent="0.35">
      <c r="A740" s="7" t="s">
        <v>825</v>
      </c>
      <c r="B740" t="s">
        <v>826</v>
      </c>
      <c r="C740" s="1">
        <v>45713</v>
      </c>
      <c r="D740">
        <v>53</v>
      </c>
      <c r="E740" t="str">
        <f t="shared" si="44"/>
        <v>45-54</v>
      </c>
      <c r="F740" t="s">
        <v>26</v>
      </c>
      <c r="G740" t="s">
        <v>38</v>
      </c>
      <c r="H740" t="s">
        <v>20</v>
      </c>
      <c r="I740">
        <v>1</v>
      </c>
      <c r="J740" t="s">
        <v>34</v>
      </c>
      <c r="K740">
        <v>37</v>
      </c>
      <c r="L740" t="str">
        <f t="shared" si="45"/>
        <v>2+years</v>
      </c>
      <c r="M740" t="s">
        <v>35</v>
      </c>
      <c r="N740">
        <v>20000</v>
      </c>
      <c r="O740">
        <v>14</v>
      </c>
      <c r="P740">
        <v>280000</v>
      </c>
      <c r="Q740">
        <f t="shared" si="46"/>
        <v>20000</v>
      </c>
      <c r="R740" s="13">
        <v>49.94</v>
      </c>
      <c r="S740" t="s">
        <v>36</v>
      </c>
      <c r="T740">
        <f t="shared" si="47"/>
        <v>0</v>
      </c>
      <c r="U740">
        <v>0</v>
      </c>
      <c r="V740">
        <v>0</v>
      </c>
      <c r="W740">
        <v>0</v>
      </c>
    </row>
    <row r="741" spans="1:23" x14ac:dyDescent="0.35">
      <c r="A741" s="7" t="s">
        <v>825</v>
      </c>
      <c r="B741" t="s">
        <v>826</v>
      </c>
      <c r="C741" s="1">
        <v>45713</v>
      </c>
      <c r="D741">
        <v>53</v>
      </c>
      <c r="E741" t="str">
        <f t="shared" si="44"/>
        <v>45-54</v>
      </c>
      <c r="F741" t="s">
        <v>26</v>
      </c>
      <c r="G741" t="s">
        <v>19</v>
      </c>
      <c r="H741" t="s">
        <v>20</v>
      </c>
      <c r="I741">
        <v>1</v>
      </c>
      <c r="J741" t="s">
        <v>34</v>
      </c>
      <c r="K741">
        <v>37</v>
      </c>
      <c r="L741" t="str">
        <f t="shared" si="45"/>
        <v>2+years</v>
      </c>
      <c r="M741" t="s">
        <v>43</v>
      </c>
      <c r="N741">
        <v>4500</v>
      </c>
      <c r="O741">
        <v>19</v>
      </c>
      <c r="P741">
        <v>85500</v>
      </c>
      <c r="Q741">
        <f t="shared" si="46"/>
        <v>4500</v>
      </c>
      <c r="R741" s="13">
        <v>178.42</v>
      </c>
      <c r="S741" t="s">
        <v>36</v>
      </c>
      <c r="T741">
        <f t="shared" si="47"/>
        <v>0</v>
      </c>
      <c r="U741">
        <v>0</v>
      </c>
      <c r="V741">
        <v>0</v>
      </c>
      <c r="W741">
        <v>0</v>
      </c>
    </row>
    <row r="742" spans="1:23" x14ac:dyDescent="0.35">
      <c r="A742" s="7" t="s">
        <v>827</v>
      </c>
      <c r="B742" t="s">
        <v>425</v>
      </c>
      <c r="C742" s="1">
        <v>45713</v>
      </c>
      <c r="D742">
        <v>16</v>
      </c>
      <c r="E742" t="str">
        <f t="shared" si="44"/>
        <v>Under25</v>
      </c>
      <c r="F742" t="s">
        <v>105</v>
      </c>
      <c r="G742" t="s">
        <v>27</v>
      </c>
      <c r="H742" t="s">
        <v>20</v>
      </c>
      <c r="I742">
        <v>5</v>
      </c>
      <c r="J742" t="s">
        <v>52</v>
      </c>
      <c r="K742">
        <v>3</v>
      </c>
      <c r="L742" t="str">
        <f t="shared" si="45"/>
        <v>0-5 months</v>
      </c>
      <c r="M742" t="s">
        <v>79</v>
      </c>
      <c r="N742">
        <v>1000</v>
      </c>
      <c r="O742">
        <v>8</v>
      </c>
      <c r="P742">
        <v>8000</v>
      </c>
      <c r="Q742">
        <f t="shared" si="46"/>
        <v>1000</v>
      </c>
      <c r="R742" s="13">
        <v>90.76</v>
      </c>
      <c r="S742" t="s">
        <v>23</v>
      </c>
      <c r="T742">
        <f t="shared" si="47"/>
        <v>1</v>
      </c>
      <c r="U742">
        <v>0</v>
      </c>
      <c r="V742">
        <v>0</v>
      </c>
      <c r="W742">
        <v>0</v>
      </c>
    </row>
    <row r="743" spans="1:23" x14ac:dyDescent="0.35">
      <c r="A743" s="7" t="s">
        <v>828</v>
      </c>
      <c r="B743" t="s">
        <v>829</v>
      </c>
      <c r="C743" s="1">
        <v>45741</v>
      </c>
      <c r="D743">
        <v>17</v>
      </c>
      <c r="E743" t="str">
        <f t="shared" si="44"/>
        <v>Under25</v>
      </c>
      <c r="F743" t="s">
        <v>105</v>
      </c>
      <c r="G743" t="s">
        <v>27</v>
      </c>
      <c r="H743" t="s">
        <v>20</v>
      </c>
      <c r="I743">
        <v>3</v>
      </c>
      <c r="J743" t="s">
        <v>47</v>
      </c>
      <c r="K743">
        <v>9</v>
      </c>
      <c r="L743" t="str">
        <f t="shared" si="45"/>
        <v>6-12 months</v>
      </c>
      <c r="M743" t="s">
        <v>37</v>
      </c>
      <c r="N743">
        <v>500</v>
      </c>
      <c r="O743">
        <v>15</v>
      </c>
      <c r="P743">
        <v>7500</v>
      </c>
      <c r="Q743">
        <f t="shared" si="46"/>
        <v>500</v>
      </c>
      <c r="R743" s="13">
        <v>32.78</v>
      </c>
      <c r="S743" t="s">
        <v>23</v>
      </c>
      <c r="T743">
        <f t="shared" si="47"/>
        <v>1</v>
      </c>
      <c r="U743">
        <v>0</v>
      </c>
      <c r="V743">
        <v>0</v>
      </c>
      <c r="W743">
        <v>0</v>
      </c>
    </row>
    <row r="744" spans="1:23" x14ac:dyDescent="0.35">
      <c r="A744" s="7" t="s">
        <v>830</v>
      </c>
      <c r="B744" t="s">
        <v>831</v>
      </c>
      <c r="C744" s="1">
        <v>45713</v>
      </c>
      <c r="D744">
        <v>74</v>
      </c>
      <c r="E744" t="str">
        <f t="shared" si="44"/>
        <v>55+</v>
      </c>
      <c r="F744" t="s">
        <v>32</v>
      </c>
      <c r="G744" t="s">
        <v>27</v>
      </c>
      <c r="H744" t="s">
        <v>20</v>
      </c>
      <c r="I744">
        <v>2</v>
      </c>
      <c r="J744" t="s">
        <v>21</v>
      </c>
      <c r="K744">
        <v>56</v>
      </c>
      <c r="L744" t="str">
        <f t="shared" si="45"/>
        <v>2+years</v>
      </c>
      <c r="M744" t="s">
        <v>97</v>
      </c>
      <c r="N744">
        <v>900</v>
      </c>
      <c r="O744">
        <v>3</v>
      </c>
      <c r="P744">
        <v>2700</v>
      </c>
      <c r="Q744">
        <f t="shared" si="46"/>
        <v>900</v>
      </c>
      <c r="R744" s="13">
        <v>172.15</v>
      </c>
      <c r="S744" t="s">
        <v>36</v>
      </c>
      <c r="T744">
        <f t="shared" si="47"/>
        <v>0</v>
      </c>
      <c r="U744">
        <v>0</v>
      </c>
      <c r="V744">
        <v>0</v>
      </c>
      <c r="W744">
        <v>0</v>
      </c>
    </row>
    <row r="745" spans="1:23" x14ac:dyDescent="0.35">
      <c r="A745" s="7" t="s">
        <v>830</v>
      </c>
      <c r="B745" t="s">
        <v>831</v>
      </c>
      <c r="C745" s="1">
        <v>45713</v>
      </c>
      <c r="D745">
        <v>74</v>
      </c>
      <c r="E745" t="str">
        <f t="shared" si="44"/>
        <v>55+</v>
      </c>
      <c r="F745" t="s">
        <v>32</v>
      </c>
      <c r="G745" t="s">
        <v>33</v>
      </c>
      <c r="H745" t="s">
        <v>20</v>
      </c>
      <c r="I745">
        <v>2</v>
      </c>
      <c r="J745" t="s">
        <v>21</v>
      </c>
      <c r="K745">
        <v>56</v>
      </c>
      <c r="L745" t="str">
        <f t="shared" si="45"/>
        <v>2+years</v>
      </c>
      <c r="M745" t="s">
        <v>100</v>
      </c>
      <c r="N745">
        <v>75000</v>
      </c>
      <c r="O745">
        <v>11</v>
      </c>
      <c r="P745">
        <v>825000</v>
      </c>
      <c r="Q745">
        <f t="shared" si="46"/>
        <v>75000</v>
      </c>
      <c r="R745" s="13">
        <v>178.74</v>
      </c>
      <c r="S745" t="s">
        <v>36</v>
      </c>
      <c r="T745">
        <f t="shared" si="47"/>
        <v>0</v>
      </c>
      <c r="U745">
        <v>0</v>
      </c>
      <c r="V745">
        <v>0</v>
      </c>
      <c r="W745">
        <v>0</v>
      </c>
    </row>
    <row r="746" spans="1:23" x14ac:dyDescent="0.35">
      <c r="A746" s="7" t="s">
        <v>832</v>
      </c>
      <c r="B746" t="s">
        <v>833</v>
      </c>
      <c r="C746" s="1">
        <v>45741</v>
      </c>
      <c r="D746">
        <v>20</v>
      </c>
      <c r="E746" t="str">
        <f t="shared" si="44"/>
        <v>Under25</v>
      </c>
      <c r="F746" t="s">
        <v>96</v>
      </c>
      <c r="G746" t="s">
        <v>38</v>
      </c>
      <c r="H746" t="s">
        <v>28</v>
      </c>
      <c r="I746">
        <v>5</v>
      </c>
      <c r="J746" t="s">
        <v>52</v>
      </c>
      <c r="K746">
        <v>49</v>
      </c>
      <c r="L746" t="str">
        <f t="shared" si="45"/>
        <v>2+years</v>
      </c>
      <c r="M746" t="s">
        <v>59</v>
      </c>
      <c r="N746">
        <v>24000</v>
      </c>
      <c r="O746">
        <v>2</v>
      </c>
      <c r="P746">
        <v>48000</v>
      </c>
      <c r="Q746">
        <f t="shared" si="46"/>
        <v>24000</v>
      </c>
      <c r="R746" s="13">
        <v>176.23</v>
      </c>
      <c r="S746" t="s">
        <v>36</v>
      </c>
      <c r="T746">
        <f t="shared" si="47"/>
        <v>0</v>
      </c>
      <c r="U746">
        <v>0</v>
      </c>
      <c r="V746">
        <v>0</v>
      </c>
      <c r="W746">
        <v>0</v>
      </c>
    </row>
    <row r="747" spans="1:23" x14ac:dyDescent="0.35">
      <c r="A747" s="7" t="s">
        <v>834</v>
      </c>
      <c r="B747" t="s">
        <v>835</v>
      </c>
      <c r="C747" s="1">
        <v>45741</v>
      </c>
      <c r="D747">
        <v>62</v>
      </c>
      <c r="E747" t="str">
        <f t="shared" si="44"/>
        <v>55+</v>
      </c>
      <c r="F747" t="s">
        <v>46</v>
      </c>
      <c r="G747" t="s">
        <v>33</v>
      </c>
      <c r="H747" t="s">
        <v>20</v>
      </c>
      <c r="I747">
        <v>4</v>
      </c>
      <c r="J747" t="s">
        <v>109</v>
      </c>
      <c r="K747">
        <v>25</v>
      </c>
      <c r="L747" t="str">
        <f t="shared" si="45"/>
        <v>2+years</v>
      </c>
      <c r="M747" t="s">
        <v>35</v>
      </c>
      <c r="N747">
        <v>20000</v>
      </c>
      <c r="O747">
        <v>7</v>
      </c>
      <c r="P747">
        <v>140000</v>
      </c>
      <c r="Q747">
        <f t="shared" si="46"/>
        <v>20000</v>
      </c>
      <c r="R747" s="13">
        <v>112.37</v>
      </c>
      <c r="S747" t="s">
        <v>36</v>
      </c>
      <c r="T747">
        <f t="shared" si="47"/>
        <v>0</v>
      </c>
      <c r="U747">
        <v>0</v>
      </c>
      <c r="V747">
        <v>0</v>
      </c>
      <c r="W747">
        <v>0</v>
      </c>
    </row>
    <row r="748" spans="1:23" x14ac:dyDescent="0.35">
      <c r="A748" s="7" t="s">
        <v>834</v>
      </c>
      <c r="B748" t="s">
        <v>835</v>
      </c>
      <c r="C748" s="1">
        <v>45741</v>
      </c>
      <c r="D748">
        <v>62</v>
      </c>
      <c r="E748" t="str">
        <f t="shared" si="44"/>
        <v>55+</v>
      </c>
      <c r="F748" t="s">
        <v>46</v>
      </c>
      <c r="G748" t="s">
        <v>38</v>
      </c>
      <c r="H748" t="s">
        <v>20</v>
      </c>
      <c r="I748">
        <v>4</v>
      </c>
      <c r="J748" t="s">
        <v>109</v>
      </c>
      <c r="K748">
        <v>25</v>
      </c>
      <c r="L748" t="str">
        <f t="shared" si="45"/>
        <v>2+years</v>
      </c>
      <c r="M748" t="s">
        <v>35</v>
      </c>
      <c r="N748">
        <v>20000</v>
      </c>
      <c r="O748">
        <v>8</v>
      </c>
      <c r="P748">
        <v>160000</v>
      </c>
      <c r="Q748">
        <f t="shared" si="46"/>
        <v>20000</v>
      </c>
      <c r="R748" s="13">
        <v>196.26</v>
      </c>
      <c r="S748" t="s">
        <v>36</v>
      </c>
      <c r="T748">
        <f t="shared" si="47"/>
        <v>0</v>
      </c>
      <c r="U748">
        <v>0</v>
      </c>
      <c r="V748">
        <v>0</v>
      </c>
      <c r="W748">
        <v>0</v>
      </c>
    </row>
    <row r="749" spans="1:23" x14ac:dyDescent="0.35">
      <c r="A749" s="7" t="s">
        <v>836</v>
      </c>
      <c r="B749" t="s">
        <v>837</v>
      </c>
      <c r="C749" s="1">
        <v>45713</v>
      </c>
      <c r="D749">
        <v>30</v>
      </c>
      <c r="E749" t="str">
        <f t="shared" si="44"/>
        <v>25-34</v>
      </c>
      <c r="F749" t="s">
        <v>207</v>
      </c>
      <c r="G749" t="s">
        <v>27</v>
      </c>
      <c r="H749" t="s">
        <v>20</v>
      </c>
      <c r="I749">
        <v>3</v>
      </c>
      <c r="J749" t="s">
        <v>47</v>
      </c>
      <c r="K749">
        <v>49</v>
      </c>
      <c r="L749" t="str">
        <f t="shared" si="45"/>
        <v>2+years</v>
      </c>
      <c r="M749" t="s">
        <v>97</v>
      </c>
      <c r="N749">
        <v>900</v>
      </c>
      <c r="O749">
        <v>12</v>
      </c>
      <c r="P749">
        <v>10800</v>
      </c>
      <c r="Q749">
        <f t="shared" si="46"/>
        <v>900</v>
      </c>
      <c r="R749" s="13">
        <v>13.14</v>
      </c>
      <c r="S749" t="s">
        <v>36</v>
      </c>
      <c r="T749">
        <f t="shared" si="47"/>
        <v>0</v>
      </c>
      <c r="U749">
        <v>0</v>
      </c>
      <c r="V749">
        <v>0</v>
      </c>
      <c r="W749">
        <v>0</v>
      </c>
    </row>
    <row r="750" spans="1:23" x14ac:dyDescent="0.35">
      <c r="A750" s="7" t="s">
        <v>836</v>
      </c>
      <c r="B750" t="s">
        <v>837</v>
      </c>
      <c r="C750" s="1">
        <v>45713</v>
      </c>
      <c r="D750">
        <v>30</v>
      </c>
      <c r="E750" t="str">
        <f t="shared" si="44"/>
        <v>25-34</v>
      </c>
      <c r="F750" t="s">
        <v>207</v>
      </c>
      <c r="G750" t="s">
        <v>19</v>
      </c>
      <c r="H750" t="s">
        <v>20</v>
      </c>
      <c r="I750">
        <v>3</v>
      </c>
      <c r="J750" t="s">
        <v>47</v>
      </c>
      <c r="K750">
        <v>49</v>
      </c>
      <c r="L750" t="str">
        <f t="shared" si="45"/>
        <v>2+years</v>
      </c>
      <c r="M750" t="s">
        <v>22</v>
      </c>
      <c r="N750">
        <v>35000</v>
      </c>
      <c r="O750">
        <v>17</v>
      </c>
      <c r="P750">
        <v>595000</v>
      </c>
      <c r="Q750">
        <f t="shared" si="46"/>
        <v>35000</v>
      </c>
      <c r="R750" s="13">
        <v>97.5</v>
      </c>
      <c r="S750" t="s">
        <v>36</v>
      </c>
      <c r="T750">
        <f t="shared" si="47"/>
        <v>0</v>
      </c>
      <c r="U750">
        <v>0</v>
      </c>
      <c r="V750">
        <v>0</v>
      </c>
      <c r="W750">
        <v>0</v>
      </c>
    </row>
    <row r="751" spans="1:23" x14ac:dyDescent="0.35">
      <c r="A751" s="7" t="s">
        <v>838</v>
      </c>
      <c r="B751" t="s">
        <v>839</v>
      </c>
      <c r="C751" s="1">
        <v>45741</v>
      </c>
      <c r="D751">
        <v>76</v>
      </c>
      <c r="E751" t="str">
        <f t="shared" si="44"/>
        <v>55+</v>
      </c>
      <c r="F751" t="s">
        <v>82</v>
      </c>
      <c r="G751" t="s">
        <v>38</v>
      </c>
      <c r="H751" t="s">
        <v>28</v>
      </c>
      <c r="I751">
        <v>1</v>
      </c>
      <c r="J751" t="s">
        <v>34</v>
      </c>
      <c r="K751">
        <v>29</v>
      </c>
      <c r="L751" t="str">
        <f t="shared" si="45"/>
        <v>2+years</v>
      </c>
      <c r="M751" t="s">
        <v>68</v>
      </c>
      <c r="N751">
        <v>14500</v>
      </c>
      <c r="O751">
        <v>10</v>
      </c>
      <c r="P751">
        <v>145000</v>
      </c>
      <c r="Q751">
        <f t="shared" si="46"/>
        <v>14500</v>
      </c>
      <c r="R751" s="13">
        <v>179.64</v>
      </c>
      <c r="S751" t="s">
        <v>23</v>
      </c>
      <c r="T751">
        <f t="shared" si="47"/>
        <v>1</v>
      </c>
      <c r="U751">
        <v>0</v>
      </c>
      <c r="V751">
        <v>0</v>
      </c>
      <c r="W751">
        <v>0</v>
      </c>
    </row>
    <row r="752" spans="1:23" x14ac:dyDescent="0.35">
      <c r="A752" s="7" t="s">
        <v>840</v>
      </c>
      <c r="B752" t="s">
        <v>841</v>
      </c>
      <c r="C752" s="1">
        <v>45713</v>
      </c>
      <c r="D752">
        <v>29</v>
      </c>
      <c r="E752" t="str">
        <f t="shared" si="44"/>
        <v>25-34</v>
      </c>
      <c r="F752" t="s">
        <v>26</v>
      </c>
      <c r="G752" t="s">
        <v>38</v>
      </c>
      <c r="H752" t="s">
        <v>28</v>
      </c>
      <c r="I752">
        <v>4</v>
      </c>
      <c r="J752" t="s">
        <v>109</v>
      </c>
      <c r="K752">
        <v>8</v>
      </c>
      <c r="L752" t="str">
        <f t="shared" si="45"/>
        <v>6-12 months</v>
      </c>
      <c r="M752" t="s">
        <v>59</v>
      </c>
      <c r="N752">
        <v>24000</v>
      </c>
      <c r="O752">
        <v>16</v>
      </c>
      <c r="P752">
        <v>384000</v>
      </c>
      <c r="Q752">
        <f t="shared" si="46"/>
        <v>24000</v>
      </c>
      <c r="R752" s="13">
        <v>186.38</v>
      </c>
      <c r="S752" t="s">
        <v>23</v>
      </c>
      <c r="T752">
        <f t="shared" si="47"/>
        <v>1</v>
      </c>
      <c r="U752">
        <v>0</v>
      </c>
      <c r="V752">
        <v>0</v>
      </c>
      <c r="W752">
        <v>0</v>
      </c>
    </row>
    <row r="753" spans="1:23" x14ac:dyDescent="0.35">
      <c r="A753" s="7" t="s">
        <v>840</v>
      </c>
      <c r="B753" t="s">
        <v>841</v>
      </c>
      <c r="C753" s="1">
        <v>45713</v>
      </c>
      <c r="D753">
        <v>29</v>
      </c>
      <c r="E753" t="str">
        <f t="shared" si="44"/>
        <v>25-34</v>
      </c>
      <c r="F753" t="s">
        <v>26</v>
      </c>
      <c r="G753" t="s">
        <v>19</v>
      </c>
      <c r="H753" t="s">
        <v>28</v>
      </c>
      <c r="I753">
        <v>4</v>
      </c>
      <c r="J753" t="s">
        <v>109</v>
      </c>
      <c r="K753">
        <v>8</v>
      </c>
      <c r="L753" t="str">
        <f t="shared" si="45"/>
        <v>6-12 months</v>
      </c>
      <c r="M753" t="s">
        <v>48</v>
      </c>
      <c r="N753">
        <v>9000</v>
      </c>
      <c r="O753">
        <v>1</v>
      </c>
      <c r="P753">
        <v>9000</v>
      </c>
      <c r="Q753">
        <f t="shared" si="46"/>
        <v>9000</v>
      </c>
      <c r="R753" s="13">
        <v>84.32</v>
      </c>
      <c r="S753" t="s">
        <v>23</v>
      </c>
      <c r="T753">
        <f t="shared" si="47"/>
        <v>1</v>
      </c>
      <c r="U753">
        <v>0</v>
      </c>
      <c r="V753">
        <v>0</v>
      </c>
      <c r="W753">
        <v>0</v>
      </c>
    </row>
    <row r="754" spans="1:23" x14ac:dyDescent="0.35">
      <c r="A754" s="7" t="s">
        <v>840</v>
      </c>
      <c r="B754" t="s">
        <v>841</v>
      </c>
      <c r="C754" s="1">
        <v>45713</v>
      </c>
      <c r="D754">
        <v>29</v>
      </c>
      <c r="E754" t="str">
        <f t="shared" si="44"/>
        <v>25-34</v>
      </c>
      <c r="F754" t="s">
        <v>26</v>
      </c>
      <c r="G754" t="s">
        <v>33</v>
      </c>
      <c r="H754" t="s">
        <v>28</v>
      </c>
      <c r="I754">
        <v>4</v>
      </c>
      <c r="J754" t="s">
        <v>109</v>
      </c>
      <c r="K754">
        <v>8</v>
      </c>
      <c r="L754" t="str">
        <f t="shared" si="45"/>
        <v>6-12 months</v>
      </c>
      <c r="M754" t="s">
        <v>59</v>
      </c>
      <c r="N754">
        <v>24000</v>
      </c>
      <c r="O754">
        <v>1</v>
      </c>
      <c r="P754">
        <v>24000</v>
      </c>
      <c r="Q754">
        <f t="shared" si="46"/>
        <v>24000</v>
      </c>
      <c r="R754" s="13">
        <v>38.22</v>
      </c>
      <c r="S754" t="s">
        <v>23</v>
      </c>
      <c r="T754">
        <f t="shared" si="47"/>
        <v>1</v>
      </c>
      <c r="U754">
        <v>0</v>
      </c>
      <c r="V754">
        <v>0</v>
      </c>
      <c r="W754">
        <v>0</v>
      </c>
    </row>
    <row r="755" spans="1:23" x14ac:dyDescent="0.35">
      <c r="A755" s="7" t="s">
        <v>842</v>
      </c>
      <c r="B755" t="s">
        <v>843</v>
      </c>
      <c r="C755" s="1">
        <v>45741</v>
      </c>
      <c r="D755">
        <v>58</v>
      </c>
      <c r="E755" t="str">
        <f t="shared" si="44"/>
        <v>55+</v>
      </c>
      <c r="F755" t="s">
        <v>105</v>
      </c>
      <c r="G755" t="s">
        <v>27</v>
      </c>
      <c r="H755" t="s">
        <v>28</v>
      </c>
      <c r="I755">
        <v>4</v>
      </c>
      <c r="J755" t="s">
        <v>109</v>
      </c>
      <c r="K755">
        <v>42</v>
      </c>
      <c r="L755" t="str">
        <f t="shared" si="45"/>
        <v>2+years</v>
      </c>
      <c r="M755" t="s">
        <v>159</v>
      </c>
      <c r="N755">
        <v>600</v>
      </c>
      <c r="O755">
        <v>10</v>
      </c>
      <c r="P755">
        <v>6000</v>
      </c>
      <c r="Q755">
        <f t="shared" si="46"/>
        <v>600</v>
      </c>
      <c r="R755" s="13">
        <v>179.71</v>
      </c>
      <c r="S755" t="s">
        <v>36</v>
      </c>
      <c r="T755">
        <f t="shared" si="47"/>
        <v>0</v>
      </c>
      <c r="U755">
        <v>0</v>
      </c>
      <c r="V755">
        <v>0</v>
      </c>
      <c r="W755">
        <v>0</v>
      </c>
    </row>
    <row r="756" spans="1:23" x14ac:dyDescent="0.35">
      <c r="A756" s="7" t="s">
        <v>842</v>
      </c>
      <c r="B756" t="s">
        <v>843</v>
      </c>
      <c r="C756" s="1">
        <v>45741</v>
      </c>
      <c r="D756">
        <v>58</v>
      </c>
      <c r="E756" t="str">
        <f t="shared" si="44"/>
        <v>55+</v>
      </c>
      <c r="F756" t="s">
        <v>105</v>
      </c>
      <c r="G756" t="s">
        <v>19</v>
      </c>
      <c r="H756" t="s">
        <v>28</v>
      </c>
      <c r="I756">
        <v>4</v>
      </c>
      <c r="J756" t="s">
        <v>109</v>
      </c>
      <c r="K756">
        <v>42</v>
      </c>
      <c r="L756" t="str">
        <f t="shared" si="45"/>
        <v>2+years</v>
      </c>
      <c r="M756" t="s">
        <v>43</v>
      </c>
      <c r="N756">
        <v>4500</v>
      </c>
      <c r="O756">
        <v>8</v>
      </c>
      <c r="P756">
        <v>36000</v>
      </c>
      <c r="Q756">
        <f t="shared" si="46"/>
        <v>4500</v>
      </c>
      <c r="R756" s="13">
        <v>157.96</v>
      </c>
      <c r="S756" t="s">
        <v>36</v>
      </c>
      <c r="T756">
        <f t="shared" si="47"/>
        <v>0</v>
      </c>
      <c r="U756">
        <v>0</v>
      </c>
      <c r="V756">
        <v>0</v>
      </c>
      <c r="W756">
        <v>0</v>
      </c>
    </row>
    <row r="757" spans="1:23" x14ac:dyDescent="0.35">
      <c r="A757" s="7" t="s">
        <v>842</v>
      </c>
      <c r="B757" t="s">
        <v>843</v>
      </c>
      <c r="C757" s="1">
        <v>45741</v>
      </c>
      <c r="D757">
        <v>58</v>
      </c>
      <c r="E757" t="str">
        <f t="shared" si="44"/>
        <v>55+</v>
      </c>
      <c r="F757" t="s">
        <v>105</v>
      </c>
      <c r="G757" t="s">
        <v>33</v>
      </c>
      <c r="H757" t="s">
        <v>28</v>
      </c>
      <c r="I757">
        <v>4</v>
      </c>
      <c r="J757" t="s">
        <v>109</v>
      </c>
      <c r="K757">
        <v>42</v>
      </c>
      <c r="L757" t="str">
        <f t="shared" si="45"/>
        <v>2+years</v>
      </c>
      <c r="M757" t="s">
        <v>54</v>
      </c>
      <c r="N757">
        <v>150000</v>
      </c>
      <c r="O757">
        <v>10</v>
      </c>
      <c r="P757">
        <v>1500000</v>
      </c>
      <c r="Q757">
        <f t="shared" si="46"/>
        <v>150000</v>
      </c>
      <c r="R757" s="13">
        <v>74.69</v>
      </c>
      <c r="S757" t="s">
        <v>36</v>
      </c>
      <c r="T757">
        <f t="shared" si="47"/>
        <v>0</v>
      </c>
      <c r="U757">
        <v>0</v>
      </c>
      <c r="V757">
        <v>0</v>
      </c>
      <c r="W757">
        <v>0</v>
      </c>
    </row>
    <row r="758" spans="1:23" x14ac:dyDescent="0.35">
      <c r="A758" s="7" t="s">
        <v>844</v>
      </c>
      <c r="B758" t="s">
        <v>845</v>
      </c>
      <c r="C758" s="1">
        <v>45713</v>
      </c>
      <c r="D758">
        <v>34</v>
      </c>
      <c r="E758" t="str">
        <f t="shared" si="44"/>
        <v>25-34</v>
      </c>
      <c r="F758" t="s">
        <v>147</v>
      </c>
      <c r="G758" t="s">
        <v>33</v>
      </c>
      <c r="H758" t="s">
        <v>28</v>
      </c>
      <c r="I758">
        <v>5</v>
      </c>
      <c r="J758" t="s">
        <v>52</v>
      </c>
      <c r="K758">
        <v>30</v>
      </c>
      <c r="L758" t="str">
        <f t="shared" si="45"/>
        <v>2+years</v>
      </c>
      <c r="M758" t="s">
        <v>62</v>
      </c>
      <c r="N758">
        <v>30000</v>
      </c>
      <c r="O758">
        <v>4</v>
      </c>
      <c r="P758">
        <v>120000</v>
      </c>
      <c r="Q758">
        <f t="shared" si="46"/>
        <v>30000</v>
      </c>
      <c r="R758" s="13">
        <v>32.67</v>
      </c>
      <c r="S758" t="s">
        <v>36</v>
      </c>
      <c r="T758">
        <f t="shared" si="47"/>
        <v>0</v>
      </c>
      <c r="U758">
        <v>0</v>
      </c>
      <c r="V758">
        <v>0</v>
      </c>
      <c r="W758">
        <v>0</v>
      </c>
    </row>
    <row r="759" spans="1:23" x14ac:dyDescent="0.35">
      <c r="A759" s="7" t="s">
        <v>844</v>
      </c>
      <c r="B759" t="s">
        <v>845</v>
      </c>
      <c r="C759" s="1">
        <v>45713</v>
      </c>
      <c r="D759">
        <v>34</v>
      </c>
      <c r="E759" t="str">
        <f t="shared" si="44"/>
        <v>25-34</v>
      </c>
      <c r="F759" t="s">
        <v>147</v>
      </c>
      <c r="G759" t="s">
        <v>38</v>
      </c>
      <c r="H759" t="s">
        <v>28</v>
      </c>
      <c r="I759">
        <v>5</v>
      </c>
      <c r="J759" t="s">
        <v>52</v>
      </c>
      <c r="K759">
        <v>30</v>
      </c>
      <c r="L759" t="str">
        <f t="shared" si="45"/>
        <v>2+years</v>
      </c>
      <c r="M759" t="s">
        <v>39</v>
      </c>
      <c r="N759">
        <v>9000</v>
      </c>
      <c r="O759">
        <v>19</v>
      </c>
      <c r="P759">
        <v>171000</v>
      </c>
      <c r="Q759">
        <f t="shared" si="46"/>
        <v>9000</v>
      </c>
      <c r="R759" s="13">
        <v>198.76</v>
      </c>
      <c r="S759" t="s">
        <v>36</v>
      </c>
      <c r="T759">
        <f t="shared" si="47"/>
        <v>0</v>
      </c>
      <c r="U759">
        <v>0</v>
      </c>
      <c r="V759">
        <v>0</v>
      </c>
      <c r="W759">
        <v>0</v>
      </c>
    </row>
    <row r="760" spans="1:23" x14ac:dyDescent="0.35">
      <c r="A760" s="7" t="s">
        <v>844</v>
      </c>
      <c r="B760" t="s">
        <v>845</v>
      </c>
      <c r="C760" s="1">
        <v>45713</v>
      </c>
      <c r="D760">
        <v>34</v>
      </c>
      <c r="E760" t="str">
        <f t="shared" si="44"/>
        <v>25-34</v>
      </c>
      <c r="F760" t="s">
        <v>147</v>
      </c>
      <c r="G760" t="s">
        <v>27</v>
      </c>
      <c r="H760" t="s">
        <v>28</v>
      </c>
      <c r="I760">
        <v>5</v>
      </c>
      <c r="J760" t="s">
        <v>52</v>
      </c>
      <c r="K760">
        <v>30</v>
      </c>
      <c r="L760" t="str">
        <f t="shared" si="45"/>
        <v>2+years</v>
      </c>
      <c r="M760" t="s">
        <v>159</v>
      </c>
      <c r="N760">
        <v>600</v>
      </c>
      <c r="O760">
        <v>12</v>
      </c>
      <c r="P760">
        <v>7200</v>
      </c>
      <c r="Q760">
        <f t="shared" si="46"/>
        <v>600</v>
      </c>
      <c r="R760" s="13">
        <v>88.46</v>
      </c>
      <c r="S760" t="s">
        <v>36</v>
      </c>
      <c r="T760">
        <f t="shared" si="47"/>
        <v>0</v>
      </c>
      <c r="U760">
        <v>0</v>
      </c>
      <c r="V760">
        <v>0</v>
      </c>
      <c r="W760">
        <v>0</v>
      </c>
    </row>
    <row r="761" spans="1:23" x14ac:dyDescent="0.35">
      <c r="A761" s="7" t="s">
        <v>846</v>
      </c>
      <c r="B761" t="s">
        <v>847</v>
      </c>
      <c r="C761" s="1">
        <v>45713</v>
      </c>
      <c r="D761">
        <v>42</v>
      </c>
      <c r="E761" t="str">
        <f t="shared" si="44"/>
        <v>35-44</v>
      </c>
      <c r="F761" t="s">
        <v>123</v>
      </c>
      <c r="G761" t="s">
        <v>33</v>
      </c>
      <c r="H761" t="s">
        <v>28</v>
      </c>
      <c r="I761">
        <v>3</v>
      </c>
      <c r="J761" t="s">
        <v>47</v>
      </c>
      <c r="K761">
        <v>23</v>
      </c>
      <c r="L761" t="str">
        <f t="shared" si="45"/>
        <v>1-2 years</v>
      </c>
      <c r="M761" t="s">
        <v>35</v>
      </c>
      <c r="N761">
        <v>20000</v>
      </c>
      <c r="O761">
        <v>13</v>
      </c>
      <c r="P761">
        <v>260000</v>
      </c>
      <c r="Q761">
        <f t="shared" si="46"/>
        <v>20000</v>
      </c>
      <c r="R761" s="13">
        <v>184.13</v>
      </c>
      <c r="S761" t="s">
        <v>36</v>
      </c>
      <c r="T761">
        <f t="shared" si="47"/>
        <v>0</v>
      </c>
      <c r="U761">
        <v>0</v>
      </c>
      <c r="V761">
        <v>0</v>
      </c>
      <c r="W761">
        <v>0</v>
      </c>
    </row>
    <row r="762" spans="1:23" x14ac:dyDescent="0.35">
      <c r="A762" s="7" t="s">
        <v>848</v>
      </c>
      <c r="B762" t="s">
        <v>849</v>
      </c>
      <c r="C762" s="1">
        <v>45682</v>
      </c>
      <c r="D762">
        <v>34</v>
      </c>
      <c r="E762" t="str">
        <f t="shared" si="44"/>
        <v>25-34</v>
      </c>
      <c r="F762" t="s">
        <v>32</v>
      </c>
      <c r="G762" t="s">
        <v>33</v>
      </c>
      <c r="H762" t="s">
        <v>28</v>
      </c>
      <c r="I762">
        <v>5</v>
      </c>
      <c r="J762" t="s">
        <v>52</v>
      </c>
      <c r="K762">
        <v>10</v>
      </c>
      <c r="L762" t="str">
        <f t="shared" si="45"/>
        <v>6-12 months</v>
      </c>
      <c r="M762" t="s">
        <v>59</v>
      </c>
      <c r="N762">
        <v>24000</v>
      </c>
      <c r="O762">
        <v>19</v>
      </c>
      <c r="P762">
        <v>456000</v>
      </c>
      <c r="Q762">
        <f t="shared" si="46"/>
        <v>24000</v>
      </c>
      <c r="R762" s="13">
        <v>193.94</v>
      </c>
      <c r="S762" t="s">
        <v>36</v>
      </c>
      <c r="T762">
        <f t="shared" si="47"/>
        <v>0</v>
      </c>
      <c r="U762">
        <v>0</v>
      </c>
      <c r="V762">
        <v>0</v>
      </c>
      <c r="W762">
        <v>0</v>
      </c>
    </row>
    <row r="763" spans="1:23" x14ac:dyDescent="0.35">
      <c r="A763" s="7" t="s">
        <v>848</v>
      </c>
      <c r="B763" t="s">
        <v>849</v>
      </c>
      <c r="C763" s="1">
        <v>45682</v>
      </c>
      <c r="D763">
        <v>34</v>
      </c>
      <c r="E763" t="str">
        <f t="shared" si="44"/>
        <v>25-34</v>
      </c>
      <c r="F763" t="s">
        <v>32</v>
      </c>
      <c r="G763" t="s">
        <v>19</v>
      </c>
      <c r="H763" t="s">
        <v>28</v>
      </c>
      <c r="I763">
        <v>5</v>
      </c>
      <c r="J763" t="s">
        <v>52</v>
      </c>
      <c r="K763">
        <v>10</v>
      </c>
      <c r="L763" t="str">
        <f t="shared" si="45"/>
        <v>6-12 months</v>
      </c>
      <c r="M763" t="s">
        <v>43</v>
      </c>
      <c r="N763">
        <v>4500</v>
      </c>
      <c r="O763">
        <v>15</v>
      </c>
      <c r="P763">
        <v>67500</v>
      </c>
      <c r="Q763">
        <f t="shared" si="46"/>
        <v>4500</v>
      </c>
      <c r="R763" s="13">
        <v>160.02000000000001</v>
      </c>
      <c r="S763" t="s">
        <v>36</v>
      </c>
      <c r="T763">
        <f t="shared" si="47"/>
        <v>0</v>
      </c>
      <c r="U763">
        <v>0</v>
      </c>
      <c r="V763">
        <v>0</v>
      </c>
      <c r="W763">
        <v>0</v>
      </c>
    </row>
    <row r="764" spans="1:23" x14ac:dyDescent="0.35">
      <c r="A764" s="7" t="s">
        <v>850</v>
      </c>
      <c r="B764" t="s">
        <v>851</v>
      </c>
      <c r="C764" s="1">
        <v>45682</v>
      </c>
      <c r="D764">
        <v>30</v>
      </c>
      <c r="E764" t="str">
        <f t="shared" si="44"/>
        <v>25-34</v>
      </c>
      <c r="F764" t="s">
        <v>207</v>
      </c>
      <c r="G764" t="s">
        <v>27</v>
      </c>
      <c r="H764" t="s">
        <v>20</v>
      </c>
      <c r="I764">
        <v>3</v>
      </c>
      <c r="J764" t="s">
        <v>47</v>
      </c>
      <c r="K764">
        <v>9</v>
      </c>
      <c r="L764" t="str">
        <f t="shared" si="45"/>
        <v>6-12 months</v>
      </c>
      <c r="M764" t="s">
        <v>53</v>
      </c>
      <c r="N764">
        <v>3500</v>
      </c>
      <c r="O764">
        <v>2</v>
      </c>
      <c r="P764">
        <v>7000</v>
      </c>
      <c r="Q764">
        <f t="shared" si="46"/>
        <v>3500</v>
      </c>
      <c r="R764" s="13">
        <v>18.95</v>
      </c>
      <c r="S764" t="s">
        <v>23</v>
      </c>
      <c r="T764">
        <f t="shared" si="47"/>
        <v>1</v>
      </c>
      <c r="U764">
        <v>0</v>
      </c>
      <c r="V764">
        <v>0</v>
      </c>
      <c r="W764">
        <v>0</v>
      </c>
    </row>
    <row r="765" spans="1:23" x14ac:dyDescent="0.35">
      <c r="A765" s="7" t="s">
        <v>852</v>
      </c>
      <c r="B765" t="s">
        <v>853</v>
      </c>
      <c r="C765" s="1">
        <v>45682</v>
      </c>
      <c r="D765">
        <v>44</v>
      </c>
      <c r="E765" t="str">
        <f t="shared" si="44"/>
        <v>35-44</v>
      </c>
      <c r="F765" t="s">
        <v>186</v>
      </c>
      <c r="G765" t="s">
        <v>38</v>
      </c>
      <c r="H765" t="s">
        <v>20</v>
      </c>
      <c r="I765">
        <v>5</v>
      </c>
      <c r="J765" t="s">
        <v>52</v>
      </c>
      <c r="K765">
        <v>2</v>
      </c>
      <c r="L765" t="str">
        <f t="shared" si="45"/>
        <v>0-5 months</v>
      </c>
      <c r="M765" t="s">
        <v>35</v>
      </c>
      <c r="N765">
        <v>20000</v>
      </c>
      <c r="O765">
        <v>20</v>
      </c>
      <c r="P765">
        <v>400000</v>
      </c>
      <c r="Q765">
        <f t="shared" si="46"/>
        <v>20000</v>
      </c>
      <c r="R765" s="13">
        <v>98.35</v>
      </c>
      <c r="S765" t="s">
        <v>36</v>
      </c>
      <c r="T765">
        <f t="shared" si="47"/>
        <v>0</v>
      </c>
      <c r="U765">
        <v>0</v>
      </c>
      <c r="V765">
        <v>0</v>
      </c>
      <c r="W765">
        <v>0</v>
      </c>
    </row>
    <row r="766" spans="1:23" x14ac:dyDescent="0.35">
      <c r="A766" s="7" t="s">
        <v>852</v>
      </c>
      <c r="B766" t="s">
        <v>853</v>
      </c>
      <c r="C766" s="1">
        <v>45682</v>
      </c>
      <c r="D766">
        <v>44</v>
      </c>
      <c r="E766" t="str">
        <f t="shared" si="44"/>
        <v>35-44</v>
      </c>
      <c r="F766" t="s">
        <v>186</v>
      </c>
      <c r="G766" t="s">
        <v>33</v>
      </c>
      <c r="H766" t="s">
        <v>20</v>
      </c>
      <c r="I766">
        <v>5</v>
      </c>
      <c r="J766" t="s">
        <v>52</v>
      </c>
      <c r="K766">
        <v>2</v>
      </c>
      <c r="L766" t="str">
        <f t="shared" si="45"/>
        <v>0-5 months</v>
      </c>
      <c r="M766" t="s">
        <v>39</v>
      </c>
      <c r="N766">
        <v>9000</v>
      </c>
      <c r="O766">
        <v>12</v>
      </c>
      <c r="P766">
        <v>108000</v>
      </c>
      <c r="Q766">
        <f t="shared" si="46"/>
        <v>9000</v>
      </c>
      <c r="R766" s="13">
        <v>181.74</v>
      </c>
      <c r="S766" t="s">
        <v>36</v>
      </c>
      <c r="T766">
        <f t="shared" si="47"/>
        <v>0</v>
      </c>
      <c r="U766">
        <v>0</v>
      </c>
      <c r="V766">
        <v>0</v>
      </c>
      <c r="W766">
        <v>0</v>
      </c>
    </row>
    <row r="767" spans="1:23" x14ac:dyDescent="0.35">
      <c r="A767" s="7" t="s">
        <v>852</v>
      </c>
      <c r="B767" t="s">
        <v>853</v>
      </c>
      <c r="C767" s="1">
        <v>45682</v>
      </c>
      <c r="D767">
        <v>44</v>
      </c>
      <c r="E767" t="str">
        <f t="shared" si="44"/>
        <v>35-44</v>
      </c>
      <c r="F767" t="s">
        <v>186</v>
      </c>
      <c r="G767" t="s">
        <v>19</v>
      </c>
      <c r="H767" t="s">
        <v>20</v>
      </c>
      <c r="I767">
        <v>5</v>
      </c>
      <c r="J767" t="s">
        <v>52</v>
      </c>
      <c r="K767">
        <v>2</v>
      </c>
      <c r="L767" t="str">
        <f t="shared" si="45"/>
        <v>0-5 months</v>
      </c>
      <c r="M767" t="s">
        <v>22</v>
      </c>
      <c r="N767">
        <v>35000</v>
      </c>
      <c r="O767">
        <v>14</v>
      </c>
      <c r="P767">
        <v>490000</v>
      </c>
      <c r="Q767">
        <f t="shared" si="46"/>
        <v>35000</v>
      </c>
      <c r="R767" s="13">
        <v>30.02</v>
      </c>
      <c r="S767" t="s">
        <v>36</v>
      </c>
      <c r="T767">
        <f t="shared" si="47"/>
        <v>0</v>
      </c>
      <c r="U767">
        <v>0</v>
      </c>
      <c r="V767">
        <v>0</v>
      </c>
      <c r="W767">
        <v>0</v>
      </c>
    </row>
    <row r="768" spans="1:23" x14ac:dyDescent="0.35">
      <c r="A768" s="7" t="s">
        <v>854</v>
      </c>
      <c r="B768" t="s">
        <v>855</v>
      </c>
      <c r="C768" s="1">
        <v>45741</v>
      </c>
      <c r="D768">
        <v>65</v>
      </c>
      <c r="E768" t="str">
        <f t="shared" si="44"/>
        <v>55+</v>
      </c>
      <c r="F768" t="s">
        <v>42</v>
      </c>
      <c r="G768" t="s">
        <v>38</v>
      </c>
      <c r="H768" t="s">
        <v>20</v>
      </c>
      <c r="I768">
        <v>3</v>
      </c>
      <c r="J768" t="s">
        <v>47</v>
      </c>
      <c r="K768">
        <v>19</v>
      </c>
      <c r="L768" t="str">
        <f t="shared" si="45"/>
        <v>1-2 years</v>
      </c>
      <c r="M768" t="s">
        <v>68</v>
      </c>
      <c r="N768">
        <v>14500</v>
      </c>
      <c r="O768">
        <v>14</v>
      </c>
      <c r="P768">
        <v>203000</v>
      </c>
      <c r="Q768">
        <f t="shared" si="46"/>
        <v>14500</v>
      </c>
      <c r="R768" s="13">
        <v>148.43</v>
      </c>
      <c r="S768" t="s">
        <v>36</v>
      </c>
      <c r="T768">
        <f t="shared" si="47"/>
        <v>0</v>
      </c>
      <c r="U768">
        <v>0</v>
      </c>
      <c r="V768">
        <v>0</v>
      </c>
      <c r="W768">
        <v>0</v>
      </c>
    </row>
    <row r="769" spans="1:23" x14ac:dyDescent="0.35">
      <c r="A769" s="7" t="s">
        <v>854</v>
      </c>
      <c r="B769" t="s">
        <v>855</v>
      </c>
      <c r="C769" s="1">
        <v>45741</v>
      </c>
      <c r="D769">
        <v>65</v>
      </c>
      <c r="E769" t="str">
        <f t="shared" si="44"/>
        <v>55+</v>
      </c>
      <c r="F769" t="s">
        <v>42</v>
      </c>
      <c r="G769" t="s">
        <v>27</v>
      </c>
      <c r="H769" t="s">
        <v>20</v>
      </c>
      <c r="I769">
        <v>3</v>
      </c>
      <c r="J769" t="s">
        <v>47</v>
      </c>
      <c r="K769">
        <v>19</v>
      </c>
      <c r="L769" t="str">
        <f t="shared" si="45"/>
        <v>1-2 years</v>
      </c>
      <c r="M769" t="s">
        <v>29</v>
      </c>
      <c r="N769">
        <v>5500</v>
      </c>
      <c r="O769">
        <v>14</v>
      </c>
      <c r="P769">
        <v>77000</v>
      </c>
      <c r="Q769">
        <f t="shared" si="46"/>
        <v>5500</v>
      </c>
      <c r="R769" s="13">
        <v>58.08</v>
      </c>
      <c r="S769" t="s">
        <v>36</v>
      </c>
      <c r="T769">
        <f t="shared" si="47"/>
        <v>0</v>
      </c>
      <c r="U769">
        <v>0</v>
      </c>
      <c r="V769">
        <v>0</v>
      </c>
      <c r="W769">
        <v>0</v>
      </c>
    </row>
    <row r="770" spans="1:23" x14ac:dyDescent="0.35">
      <c r="A770" s="7" t="s">
        <v>856</v>
      </c>
      <c r="B770" t="s">
        <v>857</v>
      </c>
      <c r="C770" s="1">
        <v>45741</v>
      </c>
      <c r="D770">
        <v>33</v>
      </c>
      <c r="E770" t="str">
        <f t="shared" si="44"/>
        <v>25-34</v>
      </c>
      <c r="F770" t="s">
        <v>291</v>
      </c>
      <c r="G770" t="s">
        <v>33</v>
      </c>
      <c r="H770" t="s">
        <v>20</v>
      </c>
      <c r="I770">
        <v>4</v>
      </c>
      <c r="J770" t="s">
        <v>109</v>
      </c>
      <c r="K770">
        <v>14</v>
      </c>
      <c r="L770" t="str">
        <f t="shared" si="45"/>
        <v>1-2 years</v>
      </c>
      <c r="M770" t="s">
        <v>35</v>
      </c>
      <c r="N770">
        <v>20000</v>
      </c>
      <c r="O770">
        <v>9</v>
      </c>
      <c r="P770">
        <v>180000</v>
      </c>
      <c r="Q770">
        <f t="shared" si="46"/>
        <v>20000</v>
      </c>
      <c r="R770" s="13">
        <v>1.82</v>
      </c>
      <c r="S770" t="s">
        <v>36</v>
      </c>
      <c r="T770">
        <f t="shared" si="47"/>
        <v>0</v>
      </c>
      <c r="U770">
        <v>0</v>
      </c>
      <c r="V770">
        <v>0</v>
      </c>
      <c r="W770">
        <v>0</v>
      </c>
    </row>
    <row r="771" spans="1:23" x14ac:dyDescent="0.35">
      <c r="A771" s="7" t="s">
        <v>856</v>
      </c>
      <c r="B771" t="s">
        <v>857</v>
      </c>
      <c r="C771" s="1">
        <v>45741</v>
      </c>
      <c r="D771">
        <v>33</v>
      </c>
      <c r="E771" t="str">
        <f t="shared" ref="E771:E834" si="48">IF(D771&lt;25,"Under25",IF(D771&lt;35,"25-34",IF(D771&lt;45,"35-44",IF(D771&lt;55,"45-54","55+"))) )</f>
        <v>25-34</v>
      </c>
      <c r="F771" t="s">
        <v>291</v>
      </c>
      <c r="G771" t="s">
        <v>38</v>
      </c>
      <c r="H771" t="s">
        <v>20</v>
      </c>
      <c r="I771">
        <v>4</v>
      </c>
      <c r="J771" t="s">
        <v>109</v>
      </c>
      <c r="K771">
        <v>14</v>
      </c>
      <c r="L771" t="str">
        <f t="shared" ref="L771:L834" si="49">IF(K771&lt;6,"0-5 months",IF(K771&lt;13,"6-12 months",IF(K771&lt;25,"1-2 years","2+years")))</f>
        <v>1-2 years</v>
      </c>
      <c r="M771" t="s">
        <v>68</v>
      </c>
      <c r="N771">
        <v>14500</v>
      </c>
      <c r="O771">
        <v>15</v>
      </c>
      <c r="P771">
        <v>217500</v>
      </c>
      <c r="Q771">
        <f t="shared" ref="Q771:Q834" si="50">P771/O771</f>
        <v>14500</v>
      </c>
      <c r="R771" s="13">
        <v>35.39</v>
      </c>
      <c r="S771" t="s">
        <v>36</v>
      </c>
      <c r="T771">
        <f t="shared" ref="T771:T834" si="51">IF(S771="yes",1,0)</f>
        <v>0</v>
      </c>
      <c r="U771">
        <v>0</v>
      </c>
      <c r="V771">
        <v>0</v>
      </c>
      <c r="W771">
        <v>0</v>
      </c>
    </row>
    <row r="772" spans="1:23" x14ac:dyDescent="0.35">
      <c r="A772" s="7" t="s">
        <v>856</v>
      </c>
      <c r="B772" t="s">
        <v>857</v>
      </c>
      <c r="C772" s="1">
        <v>45741</v>
      </c>
      <c r="D772">
        <v>33</v>
      </c>
      <c r="E772" t="str">
        <f t="shared" si="48"/>
        <v>25-34</v>
      </c>
      <c r="F772" t="s">
        <v>291</v>
      </c>
      <c r="G772" t="s">
        <v>19</v>
      </c>
      <c r="H772" t="s">
        <v>20</v>
      </c>
      <c r="I772">
        <v>4</v>
      </c>
      <c r="J772" t="s">
        <v>109</v>
      </c>
      <c r="K772">
        <v>14</v>
      </c>
      <c r="L772" t="str">
        <f t="shared" si="49"/>
        <v>1-2 years</v>
      </c>
      <c r="M772" t="s">
        <v>43</v>
      </c>
      <c r="N772">
        <v>4500</v>
      </c>
      <c r="O772">
        <v>13</v>
      </c>
      <c r="P772">
        <v>58500</v>
      </c>
      <c r="Q772">
        <f t="shared" si="50"/>
        <v>4500</v>
      </c>
      <c r="R772" s="13">
        <v>40.25</v>
      </c>
      <c r="S772" t="s">
        <v>36</v>
      </c>
      <c r="T772">
        <f t="shared" si="51"/>
        <v>0</v>
      </c>
      <c r="U772">
        <v>0</v>
      </c>
      <c r="V772">
        <v>0</v>
      </c>
      <c r="W772">
        <v>0</v>
      </c>
    </row>
    <row r="773" spans="1:23" x14ac:dyDescent="0.35">
      <c r="A773" s="7" t="s">
        <v>858</v>
      </c>
      <c r="B773" t="s">
        <v>859</v>
      </c>
      <c r="C773" s="1">
        <v>45741</v>
      </c>
      <c r="D773">
        <v>78</v>
      </c>
      <c r="E773" t="str">
        <f t="shared" si="48"/>
        <v>55+</v>
      </c>
      <c r="F773" t="s">
        <v>123</v>
      </c>
      <c r="G773" t="s">
        <v>19</v>
      </c>
      <c r="H773" t="s">
        <v>28</v>
      </c>
      <c r="I773">
        <v>4</v>
      </c>
      <c r="J773" t="s">
        <v>109</v>
      </c>
      <c r="K773">
        <v>54</v>
      </c>
      <c r="L773" t="str">
        <f t="shared" si="49"/>
        <v>2+years</v>
      </c>
      <c r="M773" t="s">
        <v>55</v>
      </c>
      <c r="N773">
        <v>16000</v>
      </c>
      <c r="O773">
        <v>10</v>
      </c>
      <c r="P773">
        <v>160000</v>
      </c>
      <c r="Q773">
        <f t="shared" si="50"/>
        <v>16000</v>
      </c>
      <c r="R773" s="13">
        <v>31.23</v>
      </c>
      <c r="S773" t="s">
        <v>36</v>
      </c>
      <c r="T773">
        <f t="shared" si="51"/>
        <v>0</v>
      </c>
      <c r="U773">
        <v>0</v>
      </c>
      <c r="V773">
        <v>0</v>
      </c>
      <c r="W773">
        <v>0</v>
      </c>
    </row>
    <row r="774" spans="1:23" x14ac:dyDescent="0.35">
      <c r="A774" s="7" t="s">
        <v>858</v>
      </c>
      <c r="B774" t="s">
        <v>859</v>
      </c>
      <c r="C774" s="1">
        <v>45741</v>
      </c>
      <c r="D774">
        <v>78</v>
      </c>
      <c r="E774" t="str">
        <f t="shared" si="48"/>
        <v>55+</v>
      </c>
      <c r="F774" t="s">
        <v>123</v>
      </c>
      <c r="G774" t="s">
        <v>38</v>
      </c>
      <c r="H774" t="s">
        <v>28</v>
      </c>
      <c r="I774">
        <v>4</v>
      </c>
      <c r="J774" t="s">
        <v>109</v>
      </c>
      <c r="K774">
        <v>54</v>
      </c>
      <c r="L774" t="str">
        <f t="shared" si="49"/>
        <v>2+years</v>
      </c>
      <c r="M774" t="s">
        <v>68</v>
      </c>
      <c r="N774">
        <v>14500</v>
      </c>
      <c r="O774">
        <v>10</v>
      </c>
      <c r="P774">
        <v>145000</v>
      </c>
      <c r="Q774">
        <f t="shared" si="50"/>
        <v>14500</v>
      </c>
      <c r="R774" s="13">
        <v>25.27</v>
      </c>
      <c r="S774" t="s">
        <v>36</v>
      </c>
      <c r="T774">
        <f t="shared" si="51"/>
        <v>0</v>
      </c>
      <c r="U774">
        <v>0</v>
      </c>
      <c r="V774">
        <v>0</v>
      </c>
      <c r="W774">
        <v>0</v>
      </c>
    </row>
    <row r="775" spans="1:23" x14ac:dyDescent="0.35">
      <c r="A775" s="7" t="s">
        <v>860</v>
      </c>
      <c r="B775" t="s">
        <v>861</v>
      </c>
      <c r="C775" s="1">
        <v>45682</v>
      </c>
      <c r="D775">
        <v>38</v>
      </c>
      <c r="E775" t="str">
        <f t="shared" si="48"/>
        <v>35-44</v>
      </c>
      <c r="F775" t="s">
        <v>86</v>
      </c>
      <c r="G775" t="s">
        <v>33</v>
      </c>
      <c r="H775" t="s">
        <v>20</v>
      </c>
      <c r="I775">
        <v>3</v>
      </c>
      <c r="J775" t="s">
        <v>47</v>
      </c>
      <c r="K775">
        <v>2</v>
      </c>
      <c r="L775" t="str">
        <f t="shared" si="49"/>
        <v>0-5 months</v>
      </c>
      <c r="M775" t="s">
        <v>54</v>
      </c>
      <c r="N775">
        <v>150000</v>
      </c>
      <c r="O775">
        <v>9</v>
      </c>
      <c r="P775">
        <v>1350000</v>
      </c>
      <c r="Q775">
        <f t="shared" si="50"/>
        <v>150000</v>
      </c>
      <c r="R775" s="13">
        <v>113.33</v>
      </c>
      <c r="S775" t="s">
        <v>36</v>
      </c>
      <c r="T775">
        <f t="shared" si="51"/>
        <v>0</v>
      </c>
      <c r="U775">
        <v>0</v>
      </c>
      <c r="V775">
        <v>0</v>
      </c>
      <c r="W775">
        <v>0</v>
      </c>
    </row>
    <row r="776" spans="1:23" x14ac:dyDescent="0.35">
      <c r="A776" s="7" t="s">
        <v>862</v>
      </c>
      <c r="B776" t="s">
        <v>863</v>
      </c>
      <c r="C776" s="1">
        <v>45741</v>
      </c>
      <c r="D776">
        <v>31</v>
      </c>
      <c r="E776" t="str">
        <f t="shared" si="48"/>
        <v>25-34</v>
      </c>
      <c r="F776" t="s">
        <v>42</v>
      </c>
      <c r="G776" t="s">
        <v>33</v>
      </c>
      <c r="H776" t="s">
        <v>20</v>
      </c>
      <c r="I776">
        <v>2</v>
      </c>
      <c r="J776" t="s">
        <v>21</v>
      </c>
      <c r="K776">
        <v>55</v>
      </c>
      <c r="L776" t="str">
        <f t="shared" si="49"/>
        <v>2+years</v>
      </c>
      <c r="M776" t="s">
        <v>54</v>
      </c>
      <c r="N776">
        <v>150000</v>
      </c>
      <c r="O776">
        <v>5</v>
      </c>
      <c r="P776">
        <v>750000</v>
      </c>
      <c r="Q776">
        <f t="shared" si="50"/>
        <v>150000</v>
      </c>
      <c r="R776" s="13">
        <v>175.72</v>
      </c>
      <c r="S776" t="s">
        <v>36</v>
      </c>
      <c r="T776">
        <f t="shared" si="51"/>
        <v>0</v>
      </c>
      <c r="U776">
        <v>0</v>
      </c>
      <c r="V776">
        <v>0</v>
      </c>
      <c r="W776">
        <v>0</v>
      </c>
    </row>
    <row r="777" spans="1:23" x14ac:dyDescent="0.35">
      <c r="A777" s="7" t="s">
        <v>864</v>
      </c>
      <c r="B777" t="s">
        <v>865</v>
      </c>
      <c r="C777" s="1">
        <v>45713</v>
      </c>
      <c r="D777">
        <v>36</v>
      </c>
      <c r="E777" t="str">
        <f t="shared" si="48"/>
        <v>35-44</v>
      </c>
      <c r="F777" t="s">
        <v>46</v>
      </c>
      <c r="G777" t="s">
        <v>38</v>
      </c>
      <c r="H777" t="s">
        <v>28</v>
      </c>
      <c r="I777">
        <v>3</v>
      </c>
      <c r="J777" t="s">
        <v>47</v>
      </c>
      <c r="K777">
        <v>24</v>
      </c>
      <c r="L777" t="str">
        <f t="shared" si="49"/>
        <v>1-2 years</v>
      </c>
      <c r="M777" t="s">
        <v>35</v>
      </c>
      <c r="N777">
        <v>20000</v>
      </c>
      <c r="O777">
        <v>20</v>
      </c>
      <c r="P777">
        <v>400000</v>
      </c>
      <c r="Q777">
        <f t="shared" si="50"/>
        <v>20000</v>
      </c>
      <c r="R777" s="13">
        <v>153.06</v>
      </c>
      <c r="S777" t="s">
        <v>23</v>
      </c>
      <c r="T777">
        <f t="shared" si="51"/>
        <v>1</v>
      </c>
      <c r="U777">
        <v>0</v>
      </c>
      <c r="V777">
        <v>0</v>
      </c>
      <c r="W777">
        <v>0</v>
      </c>
    </row>
    <row r="778" spans="1:23" x14ac:dyDescent="0.35">
      <c r="A778" s="7" t="s">
        <v>864</v>
      </c>
      <c r="B778" t="s">
        <v>865</v>
      </c>
      <c r="C778" s="1">
        <v>45713</v>
      </c>
      <c r="D778">
        <v>36</v>
      </c>
      <c r="E778" t="str">
        <f t="shared" si="48"/>
        <v>35-44</v>
      </c>
      <c r="F778" t="s">
        <v>46</v>
      </c>
      <c r="G778" t="s">
        <v>33</v>
      </c>
      <c r="H778" t="s">
        <v>28</v>
      </c>
      <c r="I778">
        <v>3</v>
      </c>
      <c r="J778" t="s">
        <v>47</v>
      </c>
      <c r="K778">
        <v>24</v>
      </c>
      <c r="L778" t="str">
        <f t="shared" si="49"/>
        <v>1-2 years</v>
      </c>
      <c r="M778" t="s">
        <v>62</v>
      </c>
      <c r="N778">
        <v>30000</v>
      </c>
      <c r="O778">
        <v>11</v>
      </c>
      <c r="P778">
        <v>330000</v>
      </c>
      <c r="Q778">
        <f t="shared" si="50"/>
        <v>30000</v>
      </c>
      <c r="R778" s="13">
        <v>108.97</v>
      </c>
      <c r="S778" t="s">
        <v>23</v>
      </c>
      <c r="T778">
        <f t="shared" si="51"/>
        <v>1</v>
      </c>
      <c r="U778">
        <v>0</v>
      </c>
      <c r="V778">
        <v>0</v>
      </c>
      <c r="W778">
        <v>0</v>
      </c>
    </row>
    <row r="779" spans="1:23" x14ac:dyDescent="0.35">
      <c r="A779" s="7" t="s">
        <v>864</v>
      </c>
      <c r="B779" t="s">
        <v>865</v>
      </c>
      <c r="C779" s="1">
        <v>45713</v>
      </c>
      <c r="D779">
        <v>36</v>
      </c>
      <c r="E779" t="str">
        <f t="shared" si="48"/>
        <v>35-44</v>
      </c>
      <c r="F779" t="s">
        <v>46</v>
      </c>
      <c r="G779" t="s">
        <v>27</v>
      </c>
      <c r="H779" t="s">
        <v>28</v>
      </c>
      <c r="I779">
        <v>3</v>
      </c>
      <c r="J779" t="s">
        <v>47</v>
      </c>
      <c r="K779">
        <v>24</v>
      </c>
      <c r="L779" t="str">
        <f t="shared" si="49"/>
        <v>1-2 years</v>
      </c>
      <c r="M779" t="s">
        <v>37</v>
      </c>
      <c r="N779">
        <v>500</v>
      </c>
      <c r="O779">
        <v>12</v>
      </c>
      <c r="P779">
        <v>6000</v>
      </c>
      <c r="Q779">
        <f t="shared" si="50"/>
        <v>500</v>
      </c>
      <c r="R779" s="13">
        <v>54.66</v>
      </c>
      <c r="S779" t="s">
        <v>23</v>
      </c>
      <c r="T779">
        <f t="shared" si="51"/>
        <v>1</v>
      </c>
      <c r="U779">
        <v>0</v>
      </c>
      <c r="V779">
        <v>0</v>
      </c>
      <c r="W779">
        <v>0</v>
      </c>
    </row>
    <row r="780" spans="1:23" x14ac:dyDescent="0.35">
      <c r="A780" s="7" t="s">
        <v>866</v>
      </c>
      <c r="B780" t="s">
        <v>867</v>
      </c>
      <c r="C780" s="1">
        <v>45741</v>
      </c>
      <c r="D780">
        <v>61</v>
      </c>
      <c r="E780" t="str">
        <f t="shared" si="48"/>
        <v>55+</v>
      </c>
      <c r="F780" t="s">
        <v>51</v>
      </c>
      <c r="G780" t="s">
        <v>33</v>
      </c>
      <c r="H780" t="s">
        <v>20</v>
      </c>
      <c r="I780">
        <v>3</v>
      </c>
      <c r="J780" t="s">
        <v>47</v>
      </c>
      <c r="K780">
        <v>9</v>
      </c>
      <c r="L780" t="str">
        <f t="shared" si="49"/>
        <v>6-12 months</v>
      </c>
      <c r="M780" t="s">
        <v>35</v>
      </c>
      <c r="N780">
        <v>20000</v>
      </c>
      <c r="O780">
        <v>17</v>
      </c>
      <c r="P780">
        <v>340000</v>
      </c>
      <c r="Q780">
        <f t="shared" si="50"/>
        <v>20000</v>
      </c>
      <c r="R780" s="13">
        <v>43.97</v>
      </c>
      <c r="S780" t="s">
        <v>36</v>
      </c>
      <c r="T780">
        <f t="shared" si="51"/>
        <v>0</v>
      </c>
      <c r="U780">
        <v>0</v>
      </c>
      <c r="V780">
        <v>0</v>
      </c>
      <c r="W780">
        <v>0</v>
      </c>
    </row>
    <row r="781" spans="1:23" x14ac:dyDescent="0.35">
      <c r="A781" s="7" t="s">
        <v>866</v>
      </c>
      <c r="B781" t="s">
        <v>867</v>
      </c>
      <c r="C781" s="1">
        <v>45741</v>
      </c>
      <c r="D781">
        <v>61</v>
      </c>
      <c r="E781" t="str">
        <f t="shared" si="48"/>
        <v>55+</v>
      </c>
      <c r="F781" t="s">
        <v>51</v>
      </c>
      <c r="G781" t="s">
        <v>38</v>
      </c>
      <c r="H781" t="s">
        <v>20</v>
      </c>
      <c r="I781">
        <v>3</v>
      </c>
      <c r="J781" t="s">
        <v>47</v>
      </c>
      <c r="K781">
        <v>9</v>
      </c>
      <c r="L781" t="str">
        <f t="shared" si="49"/>
        <v>6-12 months</v>
      </c>
      <c r="M781" t="s">
        <v>35</v>
      </c>
      <c r="N781">
        <v>20000</v>
      </c>
      <c r="O781">
        <v>18</v>
      </c>
      <c r="P781">
        <v>360000</v>
      </c>
      <c r="Q781">
        <f t="shared" si="50"/>
        <v>20000</v>
      </c>
      <c r="R781" s="13">
        <v>166.4</v>
      </c>
      <c r="S781" t="s">
        <v>36</v>
      </c>
      <c r="T781">
        <f t="shared" si="51"/>
        <v>0</v>
      </c>
      <c r="U781">
        <v>0</v>
      </c>
      <c r="V781">
        <v>0</v>
      </c>
      <c r="W781">
        <v>0</v>
      </c>
    </row>
    <row r="782" spans="1:23" x14ac:dyDescent="0.35">
      <c r="A782" s="7" t="s">
        <v>868</v>
      </c>
      <c r="B782" t="s">
        <v>869</v>
      </c>
      <c r="C782" s="1">
        <v>45682</v>
      </c>
      <c r="D782">
        <v>30</v>
      </c>
      <c r="E782" t="str">
        <f t="shared" si="48"/>
        <v>25-34</v>
      </c>
      <c r="F782" t="s">
        <v>105</v>
      </c>
      <c r="G782" t="s">
        <v>27</v>
      </c>
      <c r="H782" t="s">
        <v>28</v>
      </c>
      <c r="I782">
        <v>1</v>
      </c>
      <c r="J782" t="s">
        <v>34</v>
      </c>
      <c r="K782">
        <v>59</v>
      </c>
      <c r="L782" t="str">
        <f t="shared" si="49"/>
        <v>2+years</v>
      </c>
      <c r="M782" t="s">
        <v>53</v>
      </c>
      <c r="N782">
        <v>3500</v>
      </c>
      <c r="O782">
        <v>12</v>
      </c>
      <c r="P782">
        <v>42000</v>
      </c>
      <c r="Q782">
        <f t="shared" si="50"/>
        <v>3500</v>
      </c>
      <c r="R782" s="13">
        <v>62.66</v>
      </c>
      <c r="S782" t="s">
        <v>36</v>
      </c>
      <c r="T782">
        <f t="shared" si="51"/>
        <v>0</v>
      </c>
      <c r="U782">
        <v>0</v>
      </c>
      <c r="V782">
        <v>0</v>
      </c>
      <c r="W782">
        <v>0</v>
      </c>
    </row>
    <row r="783" spans="1:23" x14ac:dyDescent="0.35">
      <c r="A783" s="7" t="s">
        <v>870</v>
      </c>
      <c r="B783" t="s">
        <v>871</v>
      </c>
      <c r="C783" s="1">
        <v>45741</v>
      </c>
      <c r="D783">
        <v>72</v>
      </c>
      <c r="E783" t="str">
        <f t="shared" si="48"/>
        <v>55+</v>
      </c>
      <c r="F783" t="s">
        <v>72</v>
      </c>
      <c r="G783" t="s">
        <v>19</v>
      </c>
      <c r="H783" t="s">
        <v>28</v>
      </c>
      <c r="I783">
        <v>1</v>
      </c>
      <c r="J783" t="s">
        <v>34</v>
      </c>
      <c r="K783">
        <v>12</v>
      </c>
      <c r="L783" t="str">
        <f t="shared" si="49"/>
        <v>6-12 months</v>
      </c>
      <c r="M783" t="s">
        <v>43</v>
      </c>
      <c r="N783">
        <v>4500</v>
      </c>
      <c r="O783">
        <v>5</v>
      </c>
      <c r="P783">
        <v>22500</v>
      </c>
      <c r="Q783">
        <f t="shared" si="50"/>
        <v>4500</v>
      </c>
      <c r="R783" s="13">
        <v>171.43</v>
      </c>
      <c r="S783" t="s">
        <v>36</v>
      </c>
      <c r="T783">
        <f t="shared" si="51"/>
        <v>0</v>
      </c>
      <c r="U783">
        <v>0</v>
      </c>
      <c r="V783">
        <v>0</v>
      </c>
      <c r="W783">
        <v>0</v>
      </c>
    </row>
    <row r="784" spans="1:23" x14ac:dyDescent="0.35">
      <c r="A784" s="7" t="s">
        <v>872</v>
      </c>
      <c r="B784" t="s">
        <v>873</v>
      </c>
      <c r="C784" s="1">
        <v>45682</v>
      </c>
      <c r="D784">
        <v>55</v>
      </c>
      <c r="E784" t="str">
        <f t="shared" si="48"/>
        <v>55+</v>
      </c>
      <c r="F784" t="s">
        <v>135</v>
      </c>
      <c r="G784" t="s">
        <v>38</v>
      </c>
      <c r="H784" t="s">
        <v>20</v>
      </c>
      <c r="I784">
        <v>4</v>
      </c>
      <c r="J784" t="s">
        <v>109</v>
      </c>
      <c r="K784">
        <v>9</v>
      </c>
      <c r="L784" t="str">
        <f t="shared" si="49"/>
        <v>6-12 months</v>
      </c>
      <c r="M784" t="s">
        <v>39</v>
      </c>
      <c r="N784">
        <v>9000</v>
      </c>
      <c r="O784">
        <v>14</v>
      </c>
      <c r="P784">
        <v>126000</v>
      </c>
      <c r="Q784">
        <f t="shared" si="50"/>
        <v>9000</v>
      </c>
      <c r="R784" s="13">
        <v>155.05000000000001</v>
      </c>
      <c r="S784" t="s">
        <v>36</v>
      </c>
      <c r="T784">
        <f t="shared" si="51"/>
        <v>0</v>
      </c>
      <c r="U784">
        <v>0</v>
      </c>
      <c r="V784">
        <v>0</v>
      </c>
      <c r="W784">
        <v>0</v>
      </c>
    </row>
    <row r="785" spans="1:23" x14ac:dyDescent="0.35">
      <c r="A785" s="7" t="s">
        <v>874</v>
      </c>
      <c r="B785" t="s">
        <v>875</v>
      </c>
      <c r="C785" s="1">
        <v>45682</v>
      </c>
      <c r="D785">
        <v>41</v>
      </c>
      <c r="E785" t="str">
        <f t="shared" si="48"/>
        <v>35-44</v>
      </c>
      <c r="F785" t="s">
        <v>91</v>
      </c>
      <c r="G785" t="s">
        <v>38</v>
      </c>
      <c r="H785" t="s">
        <v>20</v>
      </c>
      <c r="I785">
        <v>4</v>
      </c>
      <c r="J785" t="s">
        <v>109</v>
      </c>
      <c r="K785">
        <v>51</v>
      </c>
      <c r="L785" t="str">
        <f t="shared" si="49"/>
        <v>2+years</v>
      </c>
      <c r="M785" t="s">
        <v>62</v>
      </c>
      <c r="N785">
        <v>30000</v>
      </c>
      <c r="O785">
        <v>4</v>
      </c>
      <c r="P785">
        <v>120000</v>
      </c>
      <c r="Q785">
        <f t="shared" si="50"/>
        <v>30000</v>
      </c>
      <c r="R785" s="13">
        <v>133.68</v>
      </c>
      <c r="S785" t="s">
        <v>23</v>
      </c>
      <c r="T785">
        <f t="shared" si="51"/>
        <v>1</v>
      </c>
      <c r="U785">
        <v>0</v>
      </c>
      <c r="V785">
        <v>0</v>
      </c>
      <c r="W785">
        <v>0</v>
      </c>
    </row>
    <row r="786" spans="1:23" x14ac:dyDescent="0.35">
      <c r="A786" s="7" t="s">
        <v>876</v>
      </c>
      <c r="B786" t="s">
        <v>877</v>
      </c>
      <c r="C786" s="1">
        <v>45741</v>
      </c>
      <c r="D786">
        <v>42</v>
      </c>
      <c r="E786" t="str">
        <f t="shared" si="48"/>
        <v>35-44</v>
      </c>
      <c r="F786" t="s">
        <v>116</v>
      </c>
      <c r="G786" t="s">
        <v>33</v>
      </c>
      <c r="H786" t="s">
        <v>20</v>
      </c>
      <c r="I786">
        <v>1</v>
      </c>
      <c r="J786" t="s">
        <v>34</v>
      </c>
      <c r="K786">
        <v>43</v>
      </c>
      <c r="L786" t="str">
        <f t="shared" si="49"/>
        <v>2+years</v>
      </c>
      <c r="M786" t="s">
        <v>110</v>
      </c>
      <c r="N786">
        <v>25000</v>
      </c>
      <c r="O786">
        <v>17</v>
      </c>
      <c r="P786">
        <v>425000</v>
      </c>
      <c r="Q786">
        <f t="shared" si="50"/>
        <v>25000</v>
      </c>
      <c r="R786" s="13">
        <v>32.53</v>
      </c>
      <c r="S786" t="s">
        <v>23</v>
      </c>
      <c r="T786">
        <f t="shared" si="51"/>
        <v>1</v>
      </c>
      <c r="U786">
        <v>0</v>
      </c>
      <c r="V786">
        <v>0</v>
      </c>
      <c r="W786">
        <v>0</v>
      </c>
    </row>
    <row r="787" spans="1:23" x14ac:dyDescent="0.35">
      <c r="A787" s="7" t="s">
        <v>876</v>
      </c>
      <c r="B787" t="s">
        <v>877</v>
      </c>
      <c r="C787" s="1">
        <v>45741</v>
      </c>
      <c r="D787">
        <v>42</v>
      </c>
      <c r="E787" t="str">
        <f t="shared" si="48"/>
        <v>35-44</v>
      </c>
      <c r="F787" t="s">
        <v>116</v>
      </c>
      <c r="G787" t="s">
        <v>27</v>
      </c>
      <c r="H787" t="s">
        <v>20</v>
      </c>
      <c r="I787">
        <v>1</v>
      </c>
      <c r="J787" t="s">
        <v>34</v>
      </c>
      <c r="K787">
        <v>43</v>
      </c>
      <c r="L787" t="str">
        <f t="shared" si="49"/>
        <v>2+years</v>
      </c>
      <c r="M787" t="s">
        <v>69</v>
      </c>
      <c r="N787">
        <v>350</v>
      </c>
      <c r="O787">
        <v>3</v>
      </c>
      <c r="P787">
        <v>1050</v>
      </c>
      <c r="Q787">
        <f t="shared" si="50"/>
        <v>350</v>
      </c>
      <c r="R787" s="13">
        <v>101.23</v>
      </c>
      <c r="S787" t="s">
        <v>23</v>
      </c>
      <c r="T787">
        <f t="shared" si="51"/>
        <v>1</v>
      </c>
      <c r="U787">
        <v>0</v>
      </c>
      <c r="V787">
        <v>0</v>
      </c>
      <c r="W787">
        <v>0</v>
      </c>
    </row>
    <row r="788" spans="1:23" x14ac:dyDescent="0.35">
      <c r="A788" s="7" t="s">
        <v>876</v>
      </c>
      <c r="B788" t="s">
        <v>877</v>
      </c>
      <c r="C788" s="1">
        <v>45741</v>
      </c>
      <c r="D788">
        <v>42</v>
      </c>
      <c r="E788" t="str">
        <f t="shared" si="48"/>
        <v>35-44</v>
      </c>
      <c r="F788" t="s">
        <v>116</v>
      </c>
      <c r="G788" t="s">
        <v>19</v>
      </c>
      <c r="H788" t="s">
        <v>20</v>
      </c>
      <c r="I788">
        <v>1</v>
      </c>
      <c r="J788" t="s">
        <v>34</v>
      </c>
      <c r="K788">
        <v>43</v>
      </c>
      <c r="L788" t="str">
        <f t="shared" si="49"/>
        <v>2+years</v>
      </c>
      <c r="M788" t="s">
        <v>55</v>
      </c>
      <c r="N788">
        <v>16000</v>
      </c>
      <c r="O788">
        <v>1</v>
      </c>
      <c r="P788">
        <v>16000</v>
      </c>
      <c r="Q788">
        <f t="shared" si="50"/>
        <v>16000</v>
      </c>
      <c r="R788" s="13">
        <v>164.01</v>
      </c>
      <c r="S788" t="s">
        <v>23</v>
      </c>
      <c r="T788">
        <f t="shared" si="51"/>
        <v>1</v>
      </c>
      <c r="U788">
        <v>0</v>
      </c>
      <c r="V788">
        <v>0</v>
      </c>
      <c r="W788">
        <v>0</v>
      </c>
    </row>
    <row r="789" spans="1:23" x14ac:dyDescent="0.35">
      <c r="A789" s="7" t="s">
        <v>878</v>
      </c>
      <c r="B789" t="s">
        <v>879</v>
      </c>
      <c r="C789" s="1">
        <v>45682</v>
      </c>
      <c r="D789">
        <v>43</v>
      </c>
      <c r="E789" t="str">
        <f t="shared" si="48"/>
        <v>35-44</v>
      </c>
      <c r="F789" t="s">
        <v>116</v>
      </c>
      <c r="G789" t="s">
        <v>27</v>
      </c>
      <c r="H789" t="s">
        <v>28</v>
      </c>
      <c r="I789">
        <v>1</v>
      </c>
      <c r="J789" t="s">
        <v>34</v>
      </c>
      <c r="K789">
        <v>11</v>
      </c>
      <c r="L789" t="str">
        <f t="shared" si="49"/>
        <v>6-12 months</v>
      </c>
      <c r="M789" t="s">
        <v>29</v>
      </c>
      <c r="N789">
        <v>5500</v>
      </c>
      <c r="O789">
        <v>4</v>
      </c>
      <c r="P789">
        <v>22000</v>
      </c>
      <c r="Q789">
        <f t="shared" si="50"/>
        <v>5500</v>
      </c>
      <c r="R789" s="13">
        <v>134.87</v>
      </c>
      <c r="S789" t="s">
        <v>36</v>
      </c>
      <c r="T789">
        <f t="shared" si="51"/>
        <v>0</v>
      </c>
      <c r="U789">
        <v>0</v>
      </c>
      <c r="V789">
        <v>0</v>
      </c>
      <c r="W789">
        <v>0</v>
      </c>
    </row>
    <row r="790" spans="1:23" x14ac:dyDescent="0.35">
      <c r="A790" s="7" t="s">
        <v>878</v>
      </c>
      <c r="B790" t="s">
        <v>879</v>
      </c>
      <c r="C790" s="1">
        <v>45682</v>
      </c>
      <c r="D790">
        <v>43</v>
      </c>
      <c r="E790" t="str">
        <f t="shared" si="48"/>
        <v>35-44</v>
      </c>
      <c r="F790" t="s">
        <v>116</v>
      </c>
      <c r="G790" t="s">
        <v>19</v>
      </c>
      <c r="H790" t="s">
        <v>28</v>
      </c>
      <c r="I790">
        <v>1</v>
      </c>
      <c r="J790" t="s">
        <v>34</v>
      </c>
      <c r="K790">
        <v>11</v>
      </c>
      <c r="L790" t="str">
        <f t="shared" si="49"/>
        <v>6-12 months</v>
      </c>
      <c r="M790" t="s">
        <v>43</v>
      </c>
      <c r="N790">
        <v>4500</v>
      </c>
      <c r="O790">
        <v>13</v>
      </c>
      <c r="P790">
        <v>58500</v>
      </c>
      <c r="Q790">
        <f t="shared" si="50"/>
        <v>4500</v>
      </c>
      <c r="R790" s="13">
        <v>167.03</v>
      </c>
      <c r="S790" t="s">
        <v>36</v>
      </c>
      <c r="T790">
        <f t="shared" si="51"/>
        <v>0</v>
      </c>
      <c r="U790">
        <v>0</v>
      </c>
      <c r="V790">
        <v>0</v>
      </c>
      <c r="W790">
        <v>0</v>
      </c>
    </row>
    <row r="791" spans="1:23" x14ac:dyDescent="0.35">
      <c r="A791" s="7" t="s">
        <v>878</v>
      </c>
      <c r="B791" t="s">
        <v>879</v>
      </c>
      <c r="C791" s="1">
        <v>45682</v>
      </c>
      <c r="D791">
        <v>43</v>
      </c>
      <c r="E791" t="str">
        <f t="shared" si="48"/>
        <v>35-44</v>
      </c>
      <c r="F791" t="s">
        <v>116</v>
      </c>
      <c r="G791" t="s">
        <v>38</v>
      </c>
      <c r="H791" t="s">
        <v>28</v>
      </c>
      <c r="I791">
        <v>1</v>
      </c>
      <c r="J791" t="s">
        <v>34</v>
      </c>
      <c r="K791">
        <v>11</v>
      </c>
      <c r="L791" t="str">
        <f t="shared" si="49"/>
        <v>6-12 months</v>
      </c>
      <c r="M791" t="s">
        <v>68</v>
      </c>
      <c r="N791">
        <v>14500</v>
      </c>
      <c r="O791">
        <v>8</v>
      </c>
      <c r="P791">
        <v>116000</v>
      </c>
      <c r="Q791">
        <f t="shared" si="50"/>
        <v>14500</v>
      </c>
      <c r="R791" s="13">
        <v>43.25</v>
      </c>
      <c r="S791" t="s">
        <v>36</v>
      </c>
      <c r="T791">
        <f t="shared" si="51"/>
        <v>0</v>
      </c>
      <c r="U791">
        <v>0</v>
      </c>
      <c r="V791">
        <v>0</v>
      </c>
      <c r="W791">
        <v>0</v>
      </c>
    </row>
    <row r="792" spans="1:23" x14ac:dyDescent="0.35">
      <c r="A792" s="7" t="s">
        <v>880</v>
      </c>
      <c r="B792" t="s">
        <v>881</v>
      </c>
      <c r="C792" s="1">
        <v>45682</v>
      </c>
      <c r="D792">
        <v>30</v>
      </c>
      <c r="E792" t="str">
        <f t="shared" si="48"/>
        <v>25-34</v>
      </c>
      <c r="F792" t="s">
        <v>252</v>
      </c>
      <c r="G792" t="s">
        <v>33</v>
      </c>
      <c r="H792" t="s">
        <v>20</v>
      </c>
      <c r="I792">
        <v>5</v>
      </c>
      <c r="J792" t="s">
        <v>52</v>
      </c>
      <c r="K792">
        <v>30</v>
      </c>
      <c r="L792" t="str">
        <f t="shared" si="49"/>
        <v>2+years</v>
      </c>
      <c r="M792" t="s">
        <v>39</v>
      </c>
      <c r="N792">
        <v>9000</v>
      </c>
      <c r="O792">
        <v>16</v>
      </c>
      <c r="P792">
        <v>144000</v>
      </c>
      <c r="Q792">
        <f t="shared" si="50"/>
        <v>9000</v>
      </c>
      <c r="R792" s="13">
        <v>16.91</v>
      </c>
      <c r="S792" t="s">
        <v>23</v>
      </c>
      <c r="T792">
        <f t="shared" si="51"/>
        <v>1</v>
      </c>
      <c r="U792">
        <v>0</v>
      </c>
      <c r="V792">
        <v>0</v>
      </c>
      <c r="W792">
        <v>0</v>
      </c>
    </row>
    <row r="793" spans="1:23" x14ac:dyDescent="0.35">
      <c r="A793" s="7" t="s">
        <v>880</v>
      </c>
      <c r="B793" t="s">
        <v>881</v>
      </c>
      <c r="C793" s="1">
        <v>45682</v>
      </c>
      <c r="D793">
        <v>30</v>
      </c>
      <c r="E793" t="str">
        <f t="shared" si="48"/>
        <v>25-34</v>
      </c>
      <c r="F793" t="s">
        <v>252</v>
      </c>
      <c r="G793" t="s">
        <v>27</v>
      </c>
      <c r="H793" t="s">
        <v>20</v>
      </c>
      <c r="I793">
        <v>5</v>
      </c>
      <c r="J793" t="s">
        <v>52</v>
      </c>
      <c r="K793">
        <v>30</v>
      </c>
      <c r="L793" t="str">
        <f t="shared" si="49"/>
        <v>2+years</v>
      </c>
      <c r="M793" t="s">
        <v>79</v>
      </c>
      <c r="N793">
        <v>1000</v>
      </c>
      <c r="O793">
        <v>15</v>
      </c>
      <c r="P793">
        <v>15000</v>
      </c>
      <c r="Q793">
        <f t="shared" si="50"/>
        <v>1000</v>
      </c>
      <c r="R793" s="13">
        <v>77.260000000000005</v>
      </c>
      <c r="S793" t="s">
        <v>23</v>
      </c>
      <c r="T793">
        <f t="shared" si="51"/>
        <v>1</v>
      </c>
      <c r="U793">
        <v>0</v>
      </c>
      <c r="V793">
        <v>0</v>
      </c>
      <c r="W793">
        <v>0</v>
      </c>
    </row>
    <row r="794" spans="1:23" x14ac:dyDescent="0.35">
      <c r="A794" s="7" t="s">
        <v>882</v>
      </c>
      <c r="B794" t="s">
        <v>883</v>
      </c>
      <c r="C794" s="1">
        <v>45713</v>
      </c>
      <c r="D794">
        <v>72</v>
      </c>
      <c r="E794" t="str">
        <f t="shared" si="48"/>
        <v>55+</v>
      </c>
      <c r="F794" t="s">
        <v>108</v>
      </c>
      <c r="G794" t="s">
        <v>33</v>
      </c>
      <c r="H794" t="s">
        <v>28</v>
      </c>
      <c r="I794">
        <v>2</v>
      </c>
      <c r="J794" t="s">
        <v>21</v>
      </c>
      <c r="K794">
        <v>19</v>
      </c>
      <c r="L794" t="str">
        <f t="shared" si="49"/>
        <v>1-2 years</v>
      </c>
      <c r="M794" t="s">
        <v>39</v>
      </c>
      <c r="N794">
        <v>9000</v>
      </c>
      <c r="O794">
        <v>16</v>
      </c>
      <c r="P794">
        <v>144000</v>
      </c>
      <c r="Q794">
        <f t="shared" si="50"/>
        <v>9000</v>
      </c>
      <c r="R794" s="13">
        <v>199.75</v>
      </c>
      <c r="S794" t="s">
        <v>36</v>
      </c>
      <c r="T794">
        <f t="shared" si="51"/>
        <v>0</v>
      </c>
      <c r="U794">
        <v>0</v>
      </c>
      <c r="V794">
        <v>0</v>
      </c>
      <c r="W794">
        <v>0</v>
      </c>
    </row>
    <row r="795" spans="1:23" x14ac:dyDescent="0.35">
      <c r="A795" s="7" t="s">
        <v>882</v>
      </c>
      <c r="B795" t="s">
        <v>883</v>
      </c>
      <c r="C795" s="1">
        <v>45713</v>
      </c>
      <c r="D795">
        <v>72</v>
      </c>
      <c r="E795" t="str">
        <f t="shared" si="48"/>
        <v>55+</v>
      </c>
      <c r="F795" t="s">
        <v>108</v>
      </c>
      <c r="G795" t="s">
        <v>38</v>
      </c>
      <c r="H795" t="s">
        <v>28</v>
      </c>
      <c r="I795">
        <v>2</v>
      </c>
      <c r="J795" t="s">
        <v>21</v>
      </c>
      <c r="K795">
        <v>19</v>
      </c>
      <c r="L795" t="str">
        <f t="shared" si="49"/>
        <v>1-2 years</v>
      </c>
      <c r="M795" t="s">
        <v>39</v>
      </c>
      <c r="N795">
        <v>9000</v>
      </c>
      <c r="O795">
        <v>17</v>
      </c>
      <c r="P795">
        <v>153000</v>
      </c>
      <c r="Q795">
        <f t="shared" si="50"/>
        <v>9000</v>
      </c>
      <c r="R795" s="13">
        <v>79.58</v>
      </c>
      <c r="S795" t="s">
        <v>36</v>
      </c>
      <c r="T795">
        <f t="shared" si="51"/>
        <v>0</v>
      </c>
      <c r="U795">
        <v>0</v>
      </c>
      <c r="V795">
        <v>0</v>
      </c>
      <c r="W795">
        <v>0</v>
      </c>
    </row>
    <row r="796" spans="1:23" x14ac:dyDescent="0.35">
      <c r="A796" s="7" t="s">
        <v>884</v>
      </c>
      <c r="B796" t="s">
        <v>455</v>
      </c>
      <c r="C796" s="1">
        <v>45682</v>
      </c>
      <c r="D796">
        <v>31</v>
      </c>
      <c r="E796" t="str">
        <f t="shared" si="48"/>
        <v>25-34</v>
      </c>
      <c r="F796" t="s">
        <v>51</v>
      </c>
      <c r="G796" t="s">
        <v>19</v>
      </c>
      <c r="H796" t="s">
        <v>28</v>
      </c>
      <c r="I796">
        <v>2</v>
      </c>
      <c r="J796" t="s">
        <v>21</v>
      </c>
      <c r="K796">
        <v>26</v>
      </c>
      <c r="L796" t="str">
        <f t="shared" si="49"/>
        <v>2+years</v>
      </c>
      <c r="M796" t="s">
        <v>22</v>
      </c>
      <c r="N796">
        <v>35000</v>
      </c>
      <c r="O796">
        <v>14</v>
      </c>
      <c r="P796">
        <v>490000</v>
      </c>
      <c r="Q796">
        <f t="shared" si="50"/>
        <v>35000</v>
      </c>
      <c r="R796" s="13">
        <v>24.99</v>
      </c>
      <c r="S796" t="s">
        <v>23</v>
      </c>
      <c r="T796">
        <f t="shared" si="51"/>
        <v>1</v>
      </c>
      <c r="U796">
        <v>0</v>
      </c>
      <c r="V796">
        <v>0</v>
      </c>
      <c r="W796">
        <v>0</v>
      </c>
    </row>
    <row r="797" spans="1:23" x14ac:dyDescent="0.35">
      <c r="A797" s="7" t="s">
        <v>884</v>
      </c>
      <c r="B797" t="s">
        <v>455</v>
      </c>
      <c r="C797" s="1">
        <v>45682</v>
      </c>
      <c r="D797">
        <v>31</v>
      </c>
      <c r="E797" t="str">
        <f t="shared" si="48"/>
        <v>25-34</v>
      </c>
      <c r="F797" t="s">
        <v>51</v>
      </c>
      <c r="G797" t="s">
        <v>33</v>
      </c>
      <c r="H797" t="s">
        <v>28</v>
      </c>
      <c r="I797">
        <v>2</v>
      </c>
      <c r="J797" t="s">
        <v>21</v>
      </c>
      <c r="K797">
        <v>26</v>
      </c>
      <c r="L797" t="str">
        <f t="shared" si="49"/>
        <v>2+years</v>
      </c>
      <c r="M797" t="s">
        <v>54</v>
      </c>
      <c r="N797">
        <v>150000</v>
      </c>
      <c r="O797">
        <v>19</v>
      </c>
      <c r="P797">
        <v>2850000</v>
      </c>
      <c r="Q797">
        <f t="shared" si="50"/>
        <v>150000</v>
      </c>
      <c r="R797" s="13">
        <v>56.06</v>
      </c>
      <c r="S797" t="s">
        <v>23</v>
      </c>
      <c r="T797">
        <f t="shared" si="51"/>
        <v>1</v>
      </c>
      <c r="U797">
        <v>0</v>
      </c>
      <c r="V797">
        <v>0</v>
      </c>
      <c r="W797">
        <v>0</v>
      </c>
    </row>
    <row r="798" spans="1:23" x14ac:dyDescent="0.35">
      <c r="A798" s="7" t="s">
        <v>885</v>
      </c>
      <c r="B798" t="s">
        <v>886</v>
      </c>
      <c r="C798" s="1">
        <v>45713</v>
      </c>
      <c r="D798">
        <v>67</v>
      </c>
      <c r="E798" t="str">
        <f t="shared" si="48"/>
        <v>55+</v>
      </c>
      <c r="F798" t="s">
        <v>147</v>
      </c>
      <c r="G798" t="s">
        <v>27</v>
      </c>
      <c r="H798" t="s">
        <v>28</v>
      </c>
      <c r="I798">
        <v>4</v>
      </c>
      <c r="J798" t="s">
        <v>109</v>
      </c>
      <c r="K798">
        <v>43</v>
      </c>
      <c r="L798" t="str">
        <f t="shared" si="49"/>
        <v>2+years</v>
      </c>
      <c r="M798" t="s">
        <v>79</v>
      </c>
      <c r="N798">
        <v>1000</v>
      </c>
      <c r="O798">
        <v>16</v>
      </c>
      <c r="P798">
        <v>16000</v>
      </c>
      <c r="Q798">
        <f t="shared" si="50"/>
        <v>1000</v>
      </c>
      <c r="R798" s="13">
        <v>24.88</v>
      </c>
      <c r="S798" t="s">
        <v>36</v>
      </c>
      <c r="T798">
        <f t="shared" si="51"/>
        <v>0</v>
      </c>
      <c r="U798">
        <v>0</v>
      </c>
      <c r="V798">
        <v>0</v>
      </c>
      <c r="W798">
        <v>0</v>
      </c>
    </row>
    <row r="799" spans="1:23" x14ac:dyDescent="0.35">
      <c r="A799" s="7" t="s">
        <v>887</v>
      </c>
      <c r="B799" t="s">
        <v>888</v>
      </c>
      <c r="C799" s="1">
        <v>45682</v>
      </c>
      <c r="D799">
        <v>45</v>
      </c>
      <c r="E799" t="str">
        <f t="shared" si="48"/>
        <v>45-54</v>
      </c>
      <c r="F799" t="s">
        <v>135</v>
      </c>
      <c r="G799" t="s">
        <v>19</v>
      </c>
      <c r="H799" t="s">
        <v>20</v>
      </c>
      <c r="I799">
        <v>1</v>
      </c>
      <c r="J799" t="s">
        <v>34</v>
      </c>
      <c r="K799">
        <v>7</v>
      </c>
      <c r="L799" t="str">
        <f t="shared" si="49"/>
        <v>6-12 months</v>
      </c>
      <c r="M799" t="s">
        <v>22</v>
      </c>
      <c r="N799">
        <v>35000</v>
      </c>
      <c r="O799">
        <v>11</v>
      </c>
      <c r="P799">
        <v>385000</v>
      </c>
      <c r="Q799">
        <f t="shared" si="50"/>
        <v>35000</v>
      </c>
      <c r="R799" s="13">
        <v>121.11</v>
      </c>
      <c r="S799" t="s">
        <v>36</v>
      </c>
      <c r="T799">
        <f t="shared" si="51"/>
        <v>0</v>
      </c>
      <c r="U799">
        <v>0</v>
      </c>
      <c r="V799">
        <v>0</v>
      </c>
      <c r="W799">
        <v>0</v>
      </c>
    </row>
    <row r="800" spans="1:23" x14ac:dyDescent="0.35">
      <c r="A800" s="7" t="s">
        <v>889</v>
      </c>
      <c r="B800" t="s">
        <v>890</v>
      </c>
      <c r="C800" s="1">
        <v>45713</v>
      </c>
      <c r="D800">
        <v>54</v>
      </c>
      <c r="E800" t="str">
        <f t="shared" si="48"/>
        <v>45-54</v>
      </c>
      <c r="F800" t="s">
        <v>91</v>
      </c>
      <c r="G800" t="s">
        <v>27</v>
      </c>
      <c r="H800" t="s">
        <v>20</v>
      </c>
      <c r="I800">
        <v>4</v>
      </c>
      <c r="J800" t="s">
        <v>109</v>
      </c>
      <c r="K800">
        <v>43</v>
      </c>
      <c r="L800" t="str">
        <f t="shared" si="49"/>
        <v>2+years</v>
      </c>
      <c r="M800" t="s">
        <v>37</v>
      </c>
      <c r="N800">
        <v>500</v>
      </c>
      <c r="O800">
        <v>18</v>
      </c>
      <c r="P800">
        <v>9000</v>
      </c>
      <c r="Q800">
        <f t="shared" si="50"/>
        <v>500</v>
      </c>
      <c r="R800" s="13">
        <v>108.72</v>
      </c>
      <c r="S800" t="s">
        <v>23</v>
      </c>
      <c r="T800">
        <f t="shared" si="51"/>
        <v>1</v>
      </c>
      <c r="U800">
        <v>0</v>
      </c>
      <c r="V800">
        <v>0</v>
      </c>
      <c r="W800">
        <v>0</v>
      </c>
    </row>
    <row r="801" spans="1:23" x14ac:dyDescent="0.35">
      <c r="A801" s="7" t="s">
        <v>889</v>
      </c>
      <c r="B801" t="s">
        <v>890</v>
      </c>
      <c r="C801" s="1">
        <v>45713</v>
      </c>
      <c r="D801">
        <v>54</v>
      </c>
      <c r="E801" t="str">
        <f t="shared" si="48"/>
        <v>45-54</v>
      </c>
      <c r="F801" t="s">
        <v>91</v>
      </c>
      <c r="G801" t="s">
        <v>33</v>
      </c>
      <c r="H801" t="s">
        <v>20</v>
      </c>
      <c r="I801">
        <v>4</v>
      </c>
      <c r="J801" t="s">
        <v>109</v>
      </c>
      <c r="K801">
        <v>43</v>
      </c>
      <c r="L801" t="str">
        <f t="shared" si="49"/>
        <v>2+years</v>
      </c>
      <c r="M801" t="s">
        <v>39</v>
      </c>
      <c r="N801">
        <v>9000</v>
      </c>
      <c r="O801">
        <v>2</v>
      </c>
      <c r="P801">
        <v>18000</v>
      </c>
      <c r="Q801">
        <f t="shared" si="50"/>
        <v>9000</v>
      </c>
      <c r="R801" s="13">
        <v>190.54</v>
      </c>
      <c r="S801" t="s">
        <v>23</v>
      </c>
      <c r="T801">
        <f t="shared" si="51"/>
        <v>1</v>
      </c>
      <c r="U801">
        <v>0</v>
      </c>
      <c r="V801">
        <v>0</v>
      </c>
      <c r="W801">
        <v>0</v>
      </c>
    </row>
    <row r="802" spans="1:23" x14ac:dyDescent="0.35">
      <c r="A802" s="7" t="s">
        <v>891</v>
      </c>
      <c r="B802" t="s">
        <v>892</v>
      </c>
      <c r="C802" s="1">
        <v>45713</v>
      </c>
      <c r="D802">
        <v>31</v>
      </c>
      <c r="E802" t="str">
        <f t="shared" si="48"/>
        <v>25-34</v>
      </c>
      <c r="F802" t="s">
        <v>58</v>
      </c>
      <c r="G802" t="s">
        <v>19</v>
      </c>
      <c r="H802" t="s">
        <v>28</v>
      </c>
      <c r="I802">
        <v>4</v>
      </c>
      <c r="J802" t="s">
        <v>109</v>
      </c>
      <c r="K802">
        <v>21</v>
      </c>
      <c r="L802" t="str">
        <f t="shared" si="49"/>
        <v>1-2 years</v>
      </c>
      <c r="M802" t="s">
        <v>48</v>
      </c>
      <c r="N802">
        <v>9000</v>
      </c>
      <c r="O802">
        <v>6</v>
      </c>
      <c r="P802">
        <v>54000</v>
      </c>
      <c r="Q802">
        <f t="shared" si="50"/>
        <v>9000</v>
      </c>
      <c r="R802" s="13">
        <v>177</v>
      </c>
      <c r="S802" t="s">
        <v>36</v>
      </c>
      <c r="T802">
        <f t="shared" si="51"/>
        <v>0</v>
      </c>
      <c r="U802">
        <v>0</v>
      </c>
      <c r="V802">
        <v>0</v>
      </c>
      <c r="W802">
        <v>0</v>
      </c>
    </row>
    <row r="803" spans="1:23" x14ac:dyDescent="0.35">
      <c r="A803" s="7" t="s">
        <v>893</v>
      </c>
      <c r="B803" t="s">
        <v>894</v>
      </c>
      <c r="C803" s="1">
        <v>45713</v>
      </c>
      <c r="D803">
        <v>71</v>
      </c>
      <c r="E803" t="str">
        <f t="shared" si="48"/>
        <v>55+</v>
      </c>
      <c r="F803" t="s">
        <v>135</v>
      </c>
      <c r="G803" t="s">
        <v>27</v>
      </c>
      <c r="H803" t="s">
        <v>28</v>
      </c>
      <c r="I803">
        <v>4</v>
      </c>
      <c r="J803" t="s">
        <v>109</v>
      </c>
      <c r="K803">
        <v>46</v>
      </c>
      <c r="L803" t="str">
        <f t="shared" si="49"/>
        <v>2+years</v>
      </c>
      <c r="M803" t="s">
        <v>29</v>
      </c>
      <c r="N803">
        <v>5500</v>
      </c>
      <c r="O803">
        <v>6</v>
      </c>
      <c r="P803">
        <v>33000</v>
      </c>
      <c r="Q803">
        <f t="shared" si="50"/>
        <v>5500</v>
      </c>
      <c r="R803" s="13">
        <v>112.67</v>
      </c>
      <c r="S803" t="s">
        <v>36</v>
      </c>
      <c r="T803">
        <f t="shared" si="51"/>
        <v>0</v>
      </c>
      <c r="U803">
        <v>0</v>
      </c>
      <c r="V803">
        <v>0</v>
      </c>
      <c r="W803">
        <v>0</v>
      </c>
    </row>
    <row r="804" spans="1:23" x14ac:dyDescent="0.35">
      <c r="A804" s="7" t="s">
        <v>893</v>
      </c>
      <c r="B804" t="s">
        <v>894</v>
      </c>
      <c r="C804" s="1">
        <v>45713</v>
      </c>
      <c r="D804">
        <v>71</v>
      </c>
      <c r="E804" t="str">
        <f t="shared" si="48"/>
        <v>55+</v>
      </c>
      <c r="F804" t="s">
        <v>135</v>
      </c>
      <c r="G804" t="s">
        <v>33</v>
      </c>
      <c r="H804" t="s">
        <v>28</v>
      </c>
      <c r="I804">
        <v>4</v>
      </c>
      <c r="J804" t="s">
        <v>109</v>
      </c>
      <c r="K804">
        <v>46</v>
      </c>
      <c r="L804" t="str">
        <f t="shared" si="49"/>
        <v>2+years</v>
      </c>
      <c r="M804" t="s">
        <v>39</v>
      </c>
      <c r="N804">
        <v>9000</v>
      </c>
      <c r="O804">
        <v>16</v>
      </c>
      <c r="P804">
        <v>144000</v>
      </c>
      <c r="Q804">
        <f t="shared" si="50"/>
        <v>9000</v>
      </c>
      <c r="R804" s="13">
        <v>78.58</v>
      </c>
      <c r="S804" t="s">
        <v>36</v>
      </c>
      <c r="T804">
        <f t="shared" si="51"/>
        <v>0</v>
      </c>
      <c r="U804">
        <v>0</v>
      </c>
      <c r="V804">
        <v>0</v>
      </c>
      <c r="W804">
        <v>0</v>
      </c>
    </row>
    <row r="805" spans="1:23" x14ac:dyDescent="0.35">
      <c r="A805" s="7" t="s">
        <v>893</v>
      </c>
      <c r="B805" t="s">
        <v>894</v>
      </c>
      <c r="C805" s="1">
        <v>45713</v>
      </c>
      <c r="D805">
        <v>71</v>
      </c>
      <c r="E805" t="str">
        <f t="shared" si="48"/>
        <v>55+</v>
      </c>
      <c r="F805" t="s">
        <v>135</v>
      </c>
      <c r="G805" t="s">
        <v>19</v>
      </c>
      <c r="H805" t="s">
        <v>28</v>
      </c>
      <c r="I805">
        <v>4</v>
      </c>
      <c r="J805" t="s">
        <v>109</v>
      </c>
      <c r="K805">
        <v>46</v>
      </c>
      <c r="L805" t="str">
        <f t="shared" si="49"/>
        <v>2+years</v>
      </c>
      <c r="M805" t="s">
        <v>22</v>
      </c>
      <c r="N805">
        <v>35000</v>
      </c>
      <c r="O805">
        <v>12</v>
      </c>
      <c r="P805">
        <v>420000</v>
      </c>
      <c r="Q805">
        <f t="shared" si="50"/>
        <v>35000</v>
      </c>
      <c r="R805" s="13">
        <v>123.58</v>
      </c>
      <c r="S805" t="s">
        <v>36</v>
      </c>
      <c r="T805">
        <f t="shared" si="51"/>
        <v>0</v>
      </c>
      <c r="U805">
        <v>0</v>
      </c>
      <c r="V805">
        <v>0</v>
      </c>
      <c r="W805">
        <v>0</v>
      </c>
    </row>
    <row r="806" spans="1:23" x14ac:dyDescent="0.35">
      <c r="A806" s="7" t="s">
        <v>895</v>
      </c>
      <c r="B806" t="s">
        <v>896</v>
      </c>
      <c r="C806" s="1">
        <v>45682</v>
      </c>
      <c r="D806">
        <v>57</v>
      </c>
      <c r="E806" t="str">
        <f t="shared" si="48"/>
        <v>55+</v>
      </c>
      <c r="F806" t="s">
        <v>46</v>
      </c>
      <c r="G806" t="s">
        <v>38</v>
      </c>
      <c r="H806" t="s">
        <v>20</v>
      </c>
      <c r="I806">
        <v>2</v>
      </c>
      <c r="J806" t="s">
        <v>21</v>
      </c>
      <c r="K806">
        <v>38</v>
      </c>
      <c r="L806" t="str">
        <f t="shared" si="49"/>
        <v>2+years</v>
      </c>
      <c r="M806" t="s">
        <v>62</v>
      </c>
      <c r="N806">
        <v>30000</v>
      </c>
      <c r="O806">
        <v>14</v>
      </c>
      <c r="P806">
        <v>420000</v>
      </c>
      <c r="Q806">
        <f t="shared" si="50"/>
        <v>30000</v>
      </c>
      <c r="R806" s="13">
        <v>76.42</v>
      </c>
      <c r="S806" t="s">
        <v>36</v>
      </c>
      <c r="T806">
        <f t="shared" si="51"/>
        <v>0</v>
      </c>
      <c r="U806">
        <v>0</v>
      </c>
      <c r="V806">
        <v>0</v>
      </c>
      <c r="W806">
        <v>0</v>
      </c>
    </row>
    <row r="807" spans="1:23" x14ac:dyDescent="0.35">
      <c r="A807" s="7" t="s">
        <v>895</v>
      </c>
      <c r="B807" t="s">
        <v>896</v>
      </c>
      <c r="C807" s="1">
        <v>45682</v>
      </c>
      <c r="D807">
        <v>57</v>
      </c>
      <c r="E807" t="str">
        <f t="shared" si="48"/>
        <v>55+</v>
      </c>
      <c r="F807" t="s">
        <v>46</v>
      </c>
      <c r="G807" t="s">
        <v>33</v>
      </c>
      <c r="H807" t="s">
        <v>20</v>
      </c>
      <c r="I807">
        <v>2</v>
      </c>
      <c r="J807" t="s">
        <v>21</v>
      </c>
      <c r="K807">
        <v>38</v>
      </c>
      <c r="L807" t="str">
        <f t="shared" si="49"/>
        <v>2+years</v>
      </c>
      <c r="M807" t="s">
        <v>110</v>
      </c>
      <c r="N807">
        <v>25000</v>
      </c>
      <c r="O807">
        <v>14</v>
      </c>
      <c r="P807">
        <v>350000</v>
      </c>
      <c r="Q807">
        <f t="shared" si="50"/>
        <v>25000</v>
      </c>
      <c r="R807" s="13">
        <v>198.39</v>
      </c>
      <c r="S807" t="s">
        <v>36</v>
      </c>
      <c r="T807">
        <f t="shared" si="51"/>
        <v>0</v>
      </c>
      <c r="U807">
        <v>0</v>
      </c>
      <c r="V807">
        <v>0</v>
      </c>
      <c r="W807">
        <v>0</v>
      </c>
    </row>
    <row r="808" spans="1:23" x14ac:dyDescent="0.35">
      <c r="A808" s="7" t="s">
        <v>897</v>
      </c>
      <c r="B808" t="s">
        <v>898</v>
      </c>
      <c r="C808" s="1">
        <v>45741</v>
      </c>
      <c r="D808">
        <v>23</v>
      </c>
      <c r="E808" t="str">
        <f t="shared" si="48"/>
        <v>Under25</v>
      </c>
      <c r="F808" t="s">
        <v>67</v>
      </c>
      <c r="G808" t="s">
        <v>33</v>
      </c>
      <c r="H808" t="s">
        <v>20</v>
      </c>
      <c r="I808">
        <v>5</v>
      </c>
      <c r="J808" t="s">
        <v>52</v>
      </c>
      <c r="K808">
        <v>16</v>
      </c>
      <c r="L808" t="str">
        <f t="shared" si="49"/>
        <v>1-2 years</v>
      </c>
      <c r="M808" t="s">
        <v>35</v>
      </c>
      <c r="N808">
        <v>20000</v>
      </c>
      <c r="O808">
        <v>1</v>
      </c>
      <c r="P808">
        <v>20000</v>
      </c>
      <c r="Q808">
        <f t="shared" si="50"/>
        <v>20000</v>
      </c>
      <c r="R808" s="13">
        <v>67.849999999999994</v>
      </c>
      <c r="S808" t="s">
        <v>23</v>
      </c>
      <c r="T808">
        <f t="shared" si="51"/>
        <v>1</v>
      </c>
      <c r="U808">
        <v>0</v>
      </c>
      <c r="V808">
        <v>0</v>
      </c>
      <c r="W808">
        <v>0</v>
      </c>
    </row>
    <row r="809" spans="1:23" x14ac:dyDescent="0.35">
      <c r="A809" s="7" t="s">
        <v>899</v>
      </c>
      <c r="B809" t="s">
        <v>900</v>
      </c>
      <c r="C809" s="1">
        <v>45713</v>
      </c>
      <c r="D809">
        <v>57</v>
      </c>
      <c r="E809" t="str">
        <f t="shared" si="48"/>
        <v>55+</v>
      </c>
      <c r="F809" t="s">
        <v>123</v>
      </c>
      <c r="G809" t="s">
        <v>33</v>
      </c>
      <c r="H809" t="s">
        <v>28</v>
      </c>
      <c r="I809">
        <v>5</v>
      </c>
      <c r="J809" t="s">
        <v>52</v>
      </c>
      <c r="K809">
        <v>43</v>
      </c>
      <c r="L809" t="str">
        <f t="shared" si="49"/>
        <v>2+years</v>
      </c>
      <c r="M809" t="s">
        <v>54</v>
      </c>
      <c r="N809">
        <v>150000</v>
      </c>
      <c r="O809">
        <v>11</v>
      </c>
      <c r="P809">
        <v>1650000</v>
      </c>
      <c r="Q809">
        <f t="shared" si="50"/>
        <v>150000</v>
      </c>
      <c r="R809" s="13">
        <v>117.8</v>
      </c>
      <c r="S809" t="s">
        <v>36</v>
      </c>
      <c r="T809">
        <f t="shared" si="51"/>
        <v>0</v>
      </c>
      <c r="U809">
        <v>0</v>
      </c>
      <c r="V809">
        <v>0</v>
      </c>
      <c r="W809">
        <v>0</v>
      </c>
    </row>
    <row r="810" spans="1:23" x14ac:dyDescent="0.35">
      <c r="A810" s="7" t="s">
        <v>899</v>
      </c>
      <c r="B810" t="s">
        <v>900</v>
      </c>
      <c r="C810" s="1">
        <v>45713</v>
      </c>
      <c r="D810">
        <v>57</v>
      </c>
      <c r="E810" t="str">
        <f t="shared" si="48"/>
        <v>55+</v>
      </c>
      <c r="F810" t="s">
        <v>123</v>
      </c>
      <c r="G810" t="s">
        <v>38</v>
      </c>
      <c r="H810" t="s">
        <v>28</v>
      </c>
      <c r="I810">
        <v>5</v>
      </c>
      <c r="J810" t="s">
        <v>52</v>
      </c>
      <c r="K810">
        <v>43</v>
      </c>
      <c r="L810" t="str">
        <f t="shared" si="49"/>
        <v>2+years</v>
      </c>
      <c r="M810" t="s">
        <v>68</v>
      </c>
      <c r="N810">
        <v>14500</v>
      </c>
      <c r="O810">
        <v>11</v>
      </c>
      <c r="P810">
        <v>159500</v>
      </c>
      <c r="Q810">
        <f t="shared" si="50"/>
        <v>14500</v>
      </c>
      <c r="R810" s="13">
        <v>114.29</v>
      </c>
      <c r="S810" t="s">
        <v>36</v>
      </c>
      <c r="T810">
        <f t="shared" si="51"/>
        <v>0</v>
      </c>
      <c r="U810">
        <v>0</v>
      </c>
      <c r="V810">
        <v>0</v>
      </c>
      <c r="W810">
        <v>0</v>
      </c>
    </row>
    <row r="811" spans="1:23" x14ac:dyDescent="0.35">
      <c r="A811" s="7" t="s">
        <v>901</v>
      </c>
      <c r="B811" t="s">
        <v>902</v>
      </c>
      <c r="C811" s="1">
        <v>45713</v>
      </c>
      <c r="D811">
        <v>78</v>
      </c>
      <c r="E811" t="str">
        <f t="shared" si="48"/>
        <v>55+</v>
      </c>
      <c r="F811" t="s">
        <v>91</v>
      </c>
      <c r="G811" t="s">
        <v>33</v>
      </c>
      <c r="H811" t="s">
        <v>20</v>
      </c>
      <c r="I811">
        <v>5</v>
      </c>
      <c r="J811" t="s">
        <v>52</v>
      </c>
      <c r="K811">
        <v>22</v>
      </c>
      <c r="L811" t="str">
        <f t="shared" si="49"/>
        <v>1-2 years</v>
      </c>
      <c r="M811" t="s">
        <v>110</v>
      </c>
      <c r="N811">
        <v>25000</v>
      </c>
      <c r="O811">
        <v>7</v>
      </c>
      <c r="P811">
        <v>175000</v>
      </c>
      <c r="Q811">
        <f t="shared" si="50"/>
        <v>25000</v>
      </c>
      <c r="R811" s="13">
        <v>193.9</v>
      </c>
      <c r="S811" t="s">
        <v>36</v>
      </c>
      <c r="T811">
        <f t="shared" si="51"/>
        <v>0</v>
      </c>
      <c r="U811">
        <v>0</v>
      </c>
      <c r="V811">
        <v>0</v>
      </c>
      <c r="W811">
        <v>0</v>
      </c>
    </row>
    <row r="812" spans="1:23" x14ac:dyDescent="0.35">
      <c r="A812" s="7" t="s">
        <v>901</v>
      </c>
      <c r="B812" t="s">
        <v>902</v>
      </c>
      <c r="C812" s="1">
        <v>45713</v>
      </c>
      <c r="D812">
        <v>78</v>
      </c>
      <c r="E812" t="str">
        <f t="shared" si="48"/>
        <v>55+</v>
      </c>
      <c r="F812" t="s">
        <v>91</v>
      </c>
      <c r="G812" t="s">
        <v>38</v>
      </c>
      <c r="H812" t="s">
        <v>20</v>
      </c>
      <c r="I812">
        <v>5</v>
      </c>
      <c r="J812" t="s">
        <v>52</v>
      </c>
      <c r="K812">
        <v>22</v>
      </c>
      <c r="L812" t="str">
        <f t="shared" si="49"/>
        <v>1-2 years</v>
      </c>
      <c r="M812" t="s">
        <v>68</v>
      </c>
      <c r="N812">
        <v>14500</v>
      </c>
      <c r="O812">
        <v>3</v>
      </c>
      <c r="P812">
        <v>43500</v>
      </c>
      <c r="Q812">
        <f t="shared" si="50"/>
        <v>14500</v>
      </c>
      <c r="R812" s="13">
        <v>127.27</v>
      </c>
      <c r="S812" t="s">
        <v>36</v>
      </c>
      <c r="T812">
        <f t="shared" si="51"/>
        <v>0</v>
      </c>
      <c r="U812">
        <v>0</v>
      </c>
      <c r="V812">
        <v>0</v>
      </c>
      <c r="W812">
        <v>0</v>
      </c>
    </row>
    <row r="813" spans="1:23" x14ac:dyDescent="0.35">
      <c r="A813" s="7" t="s">
        <v>901</v>
      </c>
      <c r="B813" t="s">
        <v>902</v>
      </c>
      <c r="C813" s="1">
        <v>45713</v>
      </c>
      <c r="D813">
        <v>78</v>
      </c>
      <c r="E813" t="str">
        <f t="shared" si="48"/>
        <v>55+</v>
      </c>
      <c r="F813" t="s">
        <v>91</v>
      </c>
      <c r="G813" t="s">
        <v>19</v>
      </c>
      <c r="H813" t="s">
        <v>20</v>
      </c>
      <c r="I813">
        <v>5</v>
      </c>
      <c r="J813" t="s">
        <v>52</v>
      </c>
      <c r="K813">
        <v>22</v>
      </c>
      <c r="L813" t="str">
        <f t="shared" si="49"/>
        <v>1-2 years</v>
      </c>
      <c r="M813" t="s">
        <v>43</v>
      </c>
      <c r="N813">
        <v>4500</v>
      </c>
      <c r="O813">
        <v>2</v>
      </c>
      <c r="P813">
        <v>9000</v>
      </c>
      <c r="Q813">
        <f t="shared" si="50"/>
        <v>4500</v>
      </c>
      <c r="R813" s="13">
        <v>57.83</v>
      </c>
      <c r="S813" t="s">
        <v>36</v>
      </c>
      <c r="T813">
        <f t="shared" si="51"/>
        <v>0</v>
      </c>
      <c r="U813">
        <v>0</v>
      </c>
      <c r="V813">
        <v>0</v>
      </c>
      <c r="W813">
        <v>0</v>
      </c>
    </row>
    <row r="814" spans="1:23" x14ac:dyDescent="0.35">
      <c r="A814" s="7" t="s">
        <v>903</v>
      </c>
      <c r="B814" t="s">
        <v>904</v>
      </c>
      <c r="C814" s="1">
        <v>45682</v>
      </c>
      <c r="D814">
        <v>67</v>
      </c>
      <c r="E814" t="str">
        <f t="shared" si="48"/>
        <v>55+</v>
      </c>
      <c r="F814" t="s">
        <v>108</v>
      </c>
      <c r="G814" t="s">
        <v>27</v>
      </c>
      <c r="H814" t="s">
        <v>20</v>
      </c>
      <c r="I814">
        <v>5</v>
      </c>
      <c r="J814" t="s">
        <v>52</v>
      </c>
      <c r="K814">
        <v>46</v>
      </c>
      <c r="L814" t="str">
        <f t="shared" si="49"/>
        <v>2+years</v>
      </c>
      <c r="M814" t="s">
        <v>83</v>
      </c>
      <c r="N814">
        <v>7500</v>
      </c>
      <c r="O814">
        <v>3</v>
      </c>
      <c r="P814">
        <v>22500</v>
      </c>
      <c r="Q814">
        <f t="shared" si="50"/>
        <v>7500</v>
      </c>
      <c r="R814" s="13">
        <v>42.34</v>
      </c>
      <c r="S814" t="s">
        <v>36</v>
      </c>
      <c r="T814">
        <f t="shared" si="51"/>
        <v>0</v>
      </c>
      <c r="U814">
        <v>0</v>
      </c>
      <c r="V814">
        <v>0</v>
      </c>
      <c r="W814">
        <v>0</v>
      </c>
    </row>
    <row r="815" spans="1:23" x14ac:dyDescent="0.35">
      <c r="A815" s="7" t="s">
        <v>905</v>
      </c>
      <c r="B815" t="s">
        <v>906</v>
      </c>
      <c r="C815" s="1">
        <v>45741</v>
      </c>
      <c r="D815">
        <v>80</v>
      </c>
      <c r="E815" t="str">
        <f t="shared" si="48"/>
        <v>55+</v>
      </c>
      <c r="F815" t="s">
        <v>144</v>
      </c>
      <c r="G815" t="s">
        <v>27</v>
      </c>
      <c r="H815" t="s">
        <v>28</v>
      </c>
      <c r="I815">
        <v>2</v>
      </c>
      <c r="J815" t="s">
        <v>21</v>
      </c>
      <c r="K815">
        <v>43</v>
      </c>
      <c r="L815" t="str">
        <f t="shared" si="49"/>
        <v>2+years</v>
      </c>
      <c r="M815" t="s">
        <v>187</v>
      </c>
      <c r="N815">
        <v>6500</v>
      </c>
      <c r="O815">
        <v>1</v>
      </c>
      <c r="P815">
        <v>6500</v>
      </c>
      <c r="Q815">
        <f t="shared" si="50"/>
        <v>6500</v>
      </c>
      <c r="R815" s="13">
        <v>36.53</v>
      </c>
      <c r="S815" t="s">
        <v>36</v>
      </c>
      <c r="T815">
        <f t="shared" si="51"/>
        <v>0</v>
      </c>
      <c r="U815">
        <v>0</v>
      </c>
      <c r="V815">
        <v>0</v>
      </c>
      <c r="W815">
        <v>0</v>
      </c>
    </row>
    <row r="816" spans="1:23" x14ac:dyDescent="0.35">
      <c r="A816" s="7" t="s">
        <v>905</v>
      </c>
      <c r="B816" t="s">
        <v>906</v>
      </c>
      <c r="C816" s="1">
        <v>45741</v>
      </c>
      <c r="D816">
        <v>80</v>
      </c>
      <c r="E816" t="str">
        <f t="shared" si="48"/>
        <v>55+</v>
      </c>
      <c r="F816" t="s">
        <v>144</v>
      </c>
      <c r="G816" t="s">
        <v>33</v>
      </c>
      <c r="H816" t="s">
        <v>28</v>
      </c>
      <c r="I816">
        <v>2</v>
      </c>
      <c r="J816" t="s">
        <v>21</v>
      </c>
      <c r="K816">
        <v>43</v>
      </c>
      <c r="L816" t="str">
        <f t="shared" si="49"/>
        <v>2+years</v>
      </c>
      <c r="M816" t="s">
        <v>62</v>
      </c>
      <c r="N816">
        <v>30000</v>
      </c>
      <c r="O816">
        <v>7</v>
      </c>
      <c r="P816">
        <v>210000</v>
      </c>
      <c r="Q816">
        <f t="shared" si="50"/>
        <v>30000</v>
      </c>
      <c r="R816" s="13">
        <v>115.58</v>
      </c>
      <c r="S816" t="s">
        <v>36</v>
      </c>
      <c r="T816">
        <f t="shared" si="51"/>
        <v>0</v>
      </c>
      <c r="U816">
        <v>0</v>
      </c>
      <c r="V816">
        <v>0</v>
      </c>
      <c r="W816">
        <v>0</v>
      </c>
    </row>
    <row r="817" spans="1:23" x14ac:dyDescent="0.35">
      <c r="A817" s="7" t="s">
        <v>907</v>
      </c>
      <c r="B817" t="s">
        <v>908</v>
      </c>
      <c r="C817" s="1">
        <v>45682</v>
      </c>
      <c r="D817">
        <v>50</v>
      </c>
      <c r="E817" t="str">
        <f t="shared" si="48"/>
        <v>45-54</v>
      </c>
      <c r="F817" t="s">
        <v>82</v>
      </c>
      <c r="G817" t="s">
        <v>19</v>
      </c>
      <c r="H817" t="s">
        <v>28</v>
      </c>
      <c r="I817">
        <v>5</v>
      </c>
      <c r="J817" t="s">
        <v>52</v>
      </c>
      <c r="K817">
        <v>60</v>
      </c>
      <c r="L817" t="str">
        <f t="shared" si="49"/>
        <v>2+years</v>
      </c>
      <c r="M817" t="s">
        <v>43</v>
      </c>
      <c r="N817">
        <v>4500</v>
      </c>
      <c r="O817">
        <v>10</v>
      </c>
      <c r="P817">
        <v>45000</v>
      </c>
      <c r="Q817">
        <f t="shared" si="50"/>
        <v>4500</v>
      </c>
      <c r="R817" s="13">
        <v>149.41</v>
      </c>
      <c r="S817" t="s">
        <v>23</v>
      </c>
      <c r="T817">
        <f t="shared" si="51"/>
        <v>1</v>
      </c>
      <c r="U817">
        <v>0</v>
      </c>
      <c r="V817">
        <v>0</v>
      </c>
      <c r="W817">
        <v>0</v>
      </c>
    </row>
    <row r="818" spans="1:23" x14ac:dyDescent="0.35">
      <c r="A818" s="7" t="s">
        <v>909</v>
      </c>
      <c r="B818" t="s">
        <v>910</v>
      </c>
      <c r="C818" s="1">
        <v>45713</v>
      </c>
      <c r="D818">
        <v>68</v>
      </c>
      <c r="E818" t="str">
        <f t="shared" si="48"/>
        <v>55+</v>
      </c>
      <c r="F818" t="s">
        <v>252</v>
      </c>
      <c r="G818" t="s">
        <v>19</v>
      </c>
      <c r="H818" t="s">
        <v>20</v>
      </c>
      <c r="I818">
        <v>4</v>
      </c>
      <c r="J818" t="s">
        <v>109</v>
      </c>
      <c r="K818">
        <v>41</v>
      </c>
      <c r="L818" t="str">
        <f t="shared" si="49"/>
        <v>2+years</v>
      </c>
      <c r="M818" t="s">
        <v>22</v>
      </c>
      <c r="N818">
        <v>35000</v>
      </c>
      <c r="O818">
        <v>5</v>
      </c>
      <c r="P818">
        <v>175000</v>
      </c>
      <c r="Q818">
        <f t="shared" si="50"/>
        <v>35000</v>
      </c>
      <c r="R818" s="13">
        <v>48.08</v>
      </c>
      <c r="S818" t="s">
        <v>23</v>
      </c>
      <c r="T818">
        <f t="shared" si="51"/>
        <v>1</v>
      </c>
      <c r="U818">
        <v>0</v>
      </c>
      <c r="V818">
        <v>0</v>
      </c>
      <c r="W818">
        <v>0</v>
      </c>
    </row>
    <row r="819" spans="1:23" x14ac:dyDescent="0.35">
      <c r="A819" s="7" t="s">
        <v>909</v>
      </c>
      <c r="B819" t="s">
        <v>910</v>
      </c>
      <c r="C819" s="1">
        <v>45713</v>
      </c>
      <c r="D819">
        <v>68</v>
      </c>
      <c r="E819" t="str">
        <f t="shared" si="48"/>
        <v>55+</v>
      </c>
      <c r="F819" t="s">
        <v>252</v>
      </c>
      <c r="G819" t="s">
        <v>27</v>
      </c>
      <c r="H819" t="s">
        <v>20</v>
      </c>
      <c r="I819">
        <v>4</v>
      </c>
      <c r="J819" t="s">
        <v>109</v>
      </c>
      <c r="K819">
        <v>41</v>
      </c>
      <c r="L819" t="str">
        <f t="shared" si="49"/>
        <v>2+years</v>
      </c>
      <c r="M819" t="s">
        <v>69</v>
      </c>
      <c r="N819">
        <v>350</v>
      </c>
      <c r="O819">
        <v>10</v>
      </c>
      <c r="P819">
        <v>3500</v>
      </c>
      <c r="Q819">
        <f t="shared" si="50"/>
        <v>350</v>
      </c>
      <c r="R819" s="13">
        <v>6.03</v>
      </c>
      <c r="S819" t="s">
        <v>23</v>
      </c>
      <c r="T819">
        <f t="shared" si="51"/>
        <v>1</v>
      </c>
      <c r="U819">
        <v>0</v>
      </c>
      <c r="V819">
        <v>0</v>
      </c>
      <c r="W819">
        <v>0</v>
      </c>
    </row>
    <row r="820" spans="1:23" x14ac:dyDescent="0.35">
      <c r="A820" s="7" t="s">
        <v>909</v>
      </c>
      <c r="B820" t="s">
        <v>910</v>
      </c>
      <c r="C820" s="1">
        <v>45713</v>
      </c>
      <c r="D820">
        <v>68</v>
      </c>
      <c r="E820" t="str">
        <f t="shared" si="48"/>
        <v>55+</v>
      </c>
      <c r="F820" t="s">
        <v>252</v>
      </c>
      <c r="G820" t="s">
        <v>38</v>
      </c>
      <c r="H820" t="s">
        <v>20</v>
      </c>
      <c r="I820">
        <v>4</v>
      </c>
      <c r="J820" t="s">
        <v>109</v>
      </c>
      <c r="K820">
        <v>41</v>
      </c>
      <c r="L820" t="str">
        <f t="shared" si="49"/>
        <v>2+years</v>
      </c>
      <c r="M820" t="s">
        <v>68</v>
      </c>
      <c r="N820">
        <v>14500</v>
      </c>
      <c r="O820">
        <v>14</v>
      </c>
      <c r="P820">
        <v>203000</v>
      </c>
      <c r="Q820">
        <f t="shared" si="50"/>
        <v>14500</v>
      </c>
      <c r="R820" s="13">
        <v>97.33</v>
      </c>
      <c r="S820" t="s">
        <v>23</v>
      </c>
      <c r="T820">
        <f t="shared" si="51"/>
        <v>1</v>
      </c>
      <c r="U820">
        <v>0</v>
      </c>
      <c r="V820">
        <v>0</v>
      </c>
      <c r="W820">
        <v>0</v>
      </c>
    </row>
    <row r="821" spans="1:23" x14ac:dyDescent="0.35">
      <c r="A821" s="7" t="s">
        <v>911</v>
      </c>
      <c r="B821" t="s">
        <v>912</v>
      </c>
      <c r="C821" s="1">
        <v>45713</v>
      </c>
      <c r="D821">
        <v>20</v>
      </c>
      <c r="E821" t="str">
        <f t="shared" si="48"/>
        <v>Under25</v>
      </c>
      <c r="F821" t="s">
        <v>116</v>
      </c>
      <c r="G821" t="s">
        <v>19</v>
      </c>
      <c r="H821" t="s">
        <v>20</v>
      </c>
      <c r="I821">
        <v>1</v>
      </c>
      <c r="J821" t="s">
        <v>34</v>
      </c>
      <c r="K821">
        <v>18</v>
      </c>
      <c r="L821" t="str">
        <f t="shared" si="49"/>
        <v>1-2 years</v>
      </c>
      <c r="M821" t="s">
        <v>55</v>
      </c>
      <c r="N821">
        <v>16000</v>
      </c>
      <c r="O821">
        <v>16</v>
      </c>
      <c r="P821">
        <v>256000</v>
      </c>
      <c r="Q821">
        <f t="shared" si="50"/>
        <v>16000</v>
      </c>
      <c r="R821" s="13">
        <v>192.78</v>
      </c>
      <c r="S821" t="s">
        <v>23</v>
      </c>
      <c r="T821">
        <f t="shared" si="51"/>
        <v>1</v>
      </c>
      <c r="U821">
        <v>0</v>
      </c>
      <c r="V821">
        <v>0</v>
      </c>
      <c r="W821">
        <v>0</v>
      </c>
    </row>
    <row r="822" spans="1:23" x14ac:dyDescent="0.35">
      <c r="A822" s="7" t="s">
        <v>911</v>
      </c>
      <c r="B822" t="s">
        <v>912</v>
      </c>
      <c r="C822" s="1">
        <v>45713</v>
      </c>
      <c r="D822">
        <v>20</v>
      </c>
      <c r="E822" t="str">
        <f t="shared" si="48"/>
        <v>Under25</v>
      </c>
      <c r="F822" t="s">
        <v>116</v>
      </c>
      <c r="G822" t="s">
        <v>33</v>
      </c>
      <c r="H822" t="s">
        <v>20</v>
      </c>
      <c r="I822">
        <v>1</v>
      </c>
      <c r="J822" t="s">
        <v>34</v>
      </c>
      <c r="K822">
        <v>18</v>
      </c>
      <c r="L822" t="str">
        <f t="shared" si="49"/>
        <v>1-2 years</v>
      </c>
      <c r="M822" t="s">
        <v>39</v>
      </c>
      <c r="N822">
        <v>9000</v>
      </c>
      <c r="O822">
        <v>3</v>
      </c>
      <c r="P822">
        <v>27000</v>
      </c>
      <c r="Q822">
        <f t="shared" si="50"/>
        <v>9000</v>
      </c>
      <c r="R822" s="13">
        <v>11.54</v>
      </c>
      <c r="S822" t="s">
        <v>23</v>
      </c>
      <c r="T822">
        <f t="shared" si="51"/>
        <v>1</v>
      </c>
      <c r="U822">
        <v>0</v>
      </c>
      <c r="V822">
        <v>0</v>
      </c>
      <c r="W822">
        <v>0</v>
      </c>
    </row>
    <row r="823" spans="1:23" x14ac:dyDescent="0.35">
      <c r="A823" s="7" t="s">
        <v>913</v>
      </c>
      <c r="B823" t="s">
        <v>914</v>
      </c>
      <c r="C823" s="1">
        <v>45741</v>
      </c>
      <c r="D823">
        <v>54</v>
      </c>
      <c r="E823" t="str">
        <f t="shared" si="48"/>
        <v>45-54</v>
      </c>
      <c r="F823" t="s">
        <v>141</v>
      </c>
      <c r="G823" t="s">
        <v>19</v>
      </c>
      <c r="H823" t="s">
        <v>28</v>
      </c>
      <c r="I823">
        <v>1</v>
      </c>
      <c r="J823" t="s">
        <v>34</v>
      </c>
      <c r="K823">
        <v>58</v>
      </c>
      <c r="L823" t="str">
        <f t="shared" si="49"/>
        <v>2+years</v>
      </c>
      <c r="M823" t="s">
        <v>55</v>
      </c>
      <c r="N823">
        <v>16000</v>
      </c>
      <c r="O823">
        <v>19</v>
      </c>
      <c r="P823">
        <v>304000</v>
      </c>
      <c r="Q823">
        <f t="shared" si="50"/>
        <v>16000</v>
      </c>
      <c r="R823" s="13">
        <v>104.63</v>
      </c>
      <c r="S823" t="s">
        <v>36</v>
      </c>
      <c r="T823">
        <f t="shared" si="51"/>
        <v>0</v>
      </c>
      <c r="U823">
        <v>0</v>
      </c>
      <c r="V823">
        <v>0</v>
      </c>
      <c r="W823">
        <v>0</v>
      </c>
    </row>
    <row r="824" spans="1:23" x14ac:dyDescent="0.35">
      <c r="A824" s="7" t="s">
        <v>913</v>
      </c>
      <c r="B824" t="s">
        <v>914</v>
      </c>
      <c r="C824" s="1">
        <v>45741</v>
      </c>
      <c r="D824">
        <v>54</v>
      </c>
      <c r="E824" t="str">
        <f t="shared" si="48"/>
        <v>45-54</v>
      </c>
      <c r="F824" t="s">
        <v>141</v>
      </c>
      <c r="G824" t="s">
        <v>38</v>
      </c>
      <c r="H824" t="s">
        <v>28</v>
      </c>
      <c r="I824">
        <v>1</v>
      </c>
      <c r="J824" t="s">
        <v>34</v>
      </c>
      <c r="K824">
        <v>58</v>
      </c>
      <c r="L824" t="str">
        <f t="shared" si="49"/>
        <v>2+years</v>
      </c>
      <c r="M824" t="s">
        <v>59</v>
      </c>
      <c r="N824">
        <v>24000</v>
      </c>
      <c r="O824">
        <v>3</v>
      </c>
      <c r="P824">
        <v>72000</v>
      </c>
      <c r="Q824">
        <f t="shared" si="50"/>
        <v>24000</v>
      </c>
      <c r="R824" s="13">
        <v>50.74</v>
      </c>
      <c r="S824" t="s">
        <v>36</v>
      </c>
      <c r="T824">
        <f t="shared" si="51"/>
        <v>0</v>
      </c>
      <c r="U824">
        <v>0</v>
      </c>
      <c r="V824">
        <v>0</v>
      </c>
      <c r="W824">
        <v>0</v>
      </c>
    </row>
    <row r="825" spans="1:23" x14ac:dyDescent="0.35">
      <c r="A825" s="7" t="s">
        <v>913</v>
      </c>
      <c r="B825" t="s">
        <v>914</v>
      </c>
      <c r="C825" s="1">
        <v>45741</v>
      </c>
      <c r="D825">
        <v>54</v>
      </c>
      <c r="E825" t="str">
        <f t="shared" si="48"/>
        <v>45-54</v>
      </c>
      <c r="F825" t="s">
        <v>141</v>
      </c>
      <c r="G825" t="s">
        <v>33</v>
      </c>
      <c r="H825" t="s">
        <v>28</v>
      </c>
      <c r="I825">
        <v>1</v>
      </c>
      <c r="J825" t="s">
        <v>34</v>
      </c>
      <c r="K825">
        <v>58</v>
      </c>
      <c r="L825" t="str">
        <f t="shared" si="49"/>
        <v>2+years</v>
      </c>
      <c r="M825" t="s">
        <v>68</v>
      </c>
      <c r="N825">
        <v>14500</v>
      </c>
      <c r="O825">
        <v>11</v>
      </c>
      <c r="P825">
        <v>159500</v>
      </c>
      <c r="Q825">
        <f t="shared" si="50"/>
        <v>14500</v>
      </c>
      <c r="R825" s="13">
        <v>120.16</v>
      </c>
      <c r="S825" t="s">
        <v>36</v>
      </c>
      <c r="T825">
        <f t="shared" si="51"/>
        <v>0</v>
      </c>
      <c r="U825">
        <v>0</v>
      </c>
      <c r="V825">
        <v>0</v>
      </c>
      <c r="W825">
        <v>0</v>
      </c>
    </row>
    <row r="826" spans="1:23" x14ac:dyDescent="0.35">
      <c r="A826" s="7" t="s">
        <v>915</v>
      </c>
      <c r="B826" t="s">
        <v>916</v>
      </c>
      <c r="C826" s="1">
        <v>45713</v>
      </c>
      <c r="D826">
        <v>65</v>
      </c>
      <c r="E826" t="str">
        <f t="shared" si="48"/>
        <v>55+</v>
      </c>
      <c r="F826" t="s">
        <v>67</v>
      </c>
      <c r="G826" t="s">
        <v>27</v>
      </c>
      <c r="H826" t="s">
        <v>28</v>
      </c>
      <c r="I826">
        <v>1</v>
      </c>
      <c r="J826" t="s">
        <v>34</v>
      </c>
      <c r="K826">
        <v>14</v>
      </c>
      <c r="L826" t="str">
        <f t="shared" si="49"/>
        <v>1-2 years</v>
      </c>
      <c r="M826" t="s">
        <v>97</v>
      </c>
      <c r="N826">
        <v>900</v>
      </c>
      <c r="O826">
        <v>12</v>
      </c>
      <c r="P826">
        <v>10800</v>
      </c>
      <c r="Q826">
        <f t="shared" si="50"/>
        <v>900</v>
      </c>
      <c r="R826" s="13">
        <v>98.33</v>
      </c>
      <c r="S826" t="s">
        <v>23</v>
      </c>
      <c r="T826">
        <f t="shared" si="51"/>
        <v>1</v>
      </c>
      <c r="U826">
        <v>0</v>
      </c>
      <c r="V826">
        <v>0</v>
      </c>
      <c r="W826">
        <v>0</v>
      </c>
    </row>
    <row r="827" spans="1:23" x14ac:dyDescent="0.35">
      <c r="A827" s="7" t="s">
        <v>915</v>
      </c>
      <c r="B827" t="s">
        <v>916</v>
      </c>
      <c r="C827" s="1">
        <v>45713</v>
      </c>
      <c r="D827">
        <v>65</v>
      </c>
      <c r="E827" t="str">
        <f t="shared" si="48"/>
        <v>55+</v>
      </c>
      <c r="F827" t="s">
        <v>67</v>
      </c>
      <c r="G827" t="s">
        <v>19</v>
      </c>
      <c r="H827" t="s">
        <v>28</v>
      </c>
      <c r="I827">
        <v>1</v>
      </c>
      <c r="J827" t="s">
        <v>34</v>
      </c>
      <c r="K827">
        <v>14</v>
      </c>
      <c r="L827" t="str">
        <f t="shared" si="49"/>
        <v>1-2 years</v>
      </c>
      <c r="M827" t="s">
        <v>55</v>
      </c>
      <c r="N827">
        <v>16000</v>
      </c>
      <c r="O827">
        <v>14</v>
      </c>
      <c r="P827">
        <v>224000</v>
      </c>
      <c r="Q827">
        <f t="shared" si="50"/>
        <v>16000</v>
      </c>
      <c r="R827" s="13">
        <v>63.64</v>
      </c>
      <c r="S827" t="s">
        <v>23</v>
      </c>
      <c r="T827">
        <f t="shared" si="51"/>
        <v>1</v>
      </c>
      <c r="U827">
        <v>0</v>
      </c>
      <c r="V827">
        <v>0</v>
      </c>
      <c r="W827">
        <v>0</v>
      </c>
    </row>
    <row r="828" spans="1:23" x14ac:dyDescent="0.35">
      <c r="A828" s="7" t="s">
        <v>917</v>
      </c>
      <c r="B828" t="s">
        <v>918</v>
      </c>
      <c r="C828" s="1">
        <v>45713</v>
      </c>
      <c r="D828">
        <v>47</v>
      </c>
      <c r="E828" t="str">
        <f t="shared" si="48"/>
        <v>45-54</v>
      </c>
      <c r="F828" t="s">
        <v>186</v>
      </c>
      <c r="G828" t="s">
        <v>38</v>
      </c>
      <c r="H828" t="s">
        <v>20</v>
      </c>
      <c r="I828">
        <v>3</v>
      </c>
      <c r="J828" t="s">
        <v>47</v>
      </c>
      <c r="K828">
        <v>24</v>
      </c>
      <c r="L828" t="str">
        <f t="shared" si="49"/>
        <v>1-2 years</v>
      </c>
      <c r="M828" t="s">
        <v>39</v>
      </c>
      <c r="N828">
        <v>9000</v>
      </c>
      <c r="O828">
        <v>8</v>
      </c>
      <c r="P828">
        <v>72000</v>
      </c>
      <c r="Q828">
        <f t="shared" si="50"/>
        <v>9000</v>
      </c>
      <c r="R828" s="13">
        <v>138.29</v>
      </c>
      <c r="S828" t="s">
        <v>36</v>
      </c>
      <c r="T828">
        <f t="shared" si="51"/>
        <v>0</v>
      </c>
      <c r="U828">
        <v>0</v>
      </c>
      <c r="V828">
        <v>0</v>
      </c>
      <c r="W828">
        <v>0</v>
      </c>
    </row>
    <row r="829" spans="1:23" x14ac:dyDescent="0.35">
      <c r="A829" s="7" t="s">
        <v>919</v>
      </c>
      <c r="B829" t="s">
        <v>920</v>
      </c>
      <c r="C829" s="1">
        <v>45682</v>
      </c>
      <c r="D829">
        <v>65</v>
      </c>
      <c r="E829" t="str">
        <f t="shared" si="48"/>
        <v>55+</v>
      </c>
      <c r="F829" t="s">
        <v>144</v>
      </c>
      <c r="G829" t="s">
        <v>27</v>
      </c>
      <c r="H829" t="s">
        <v>28</v>
      </c>
      <c r="I829">
        <v>5</v>
      </c>
      <c r="J829" t="s">
        <v>52</v>
      </c>
      <c r="K829">
        <v>58</v>
      </c>
      <c r="L829" t="str">
        <f t="shared" si="49"/>
        <v>2+years</v>
      </c>
      <c r="M829" t="s">
        <v>83</v>
      </c>
      <c r="N829">
        <v>7500</v>
      </c>
      <c r="O829">
        <v>9</v>
      </c>
      <c r="P829">
        <v>67500</v>
      </c>
      <c r="Q829">
        <f t="shared" si="50"/>
        <v>7500</v>
      </c>
      <c r="R829" s="13">
        <v>185.54</v>
      </c>
      <c r="S829" t="s">
        <v>36</v>
      </c>
      <c r="T829">
        <f t="shared" si="51"/>
        <v>0</v>
      </c>
      <c r="U829">
        <v>0</v>
      </c>
      <c r="V829">
        <v>0</v>
      </c>
      <c r="W829">
        <v>0</v>
      </c>
    </row>
    <row r="830" spans="1:23" x14ac:dyDescent="0.35">
      <c r="A830" s="7" t="s">
        <v>919</v>
      </c>
      <c r="B830" t="s">
        <v>920</v>
      </c>
      <c r="C830" s="1">
        <v>45682</v>
      </c>
      <c r="D830">
        <v>65</v>
      </c>
      <c r="E830" t="str">
        <f t="shared" si="48"/>
        <v>55+</v>
      </c>
      <c r="F830" t="s">
        <v>144</v>
      </c>
      <c r="G830" t="s">
        <v>38</v>
      </c>
      <c r="H830" t="s">
        <v>28</v>
      </c>
      <c r="I830">
        <v>5</v>
      </c>
      <c r="J830" t="s">
        <v>52</v>
      </c>
      <c r="K830">
        <v>58</v>
      </c>
      <c r="L830" t="str">
        <f t="shared" si="49"/>
        <v>2+years</v>
      </c>
      <c r="M830" t="s">
        <v>62</v>
      </c>
      <c r="N830">
        <v>30000</v>
      </c>
      <c r="O830">
        <v>8</v>
      </c>
      <c r="P830">
        <v>240000</v>
      </c>
      <c r="Q830">
        <f t="shared" si="50"/>
        <v>30000</v>
      </c>
      <c r="R830" s="13">
        <v>18.5</v>
      </c>
      <c r="S830" t="s">
        <v>36</v>
      </c>
      <c r="T830">
        <f t="shared" si="51"/>
        <v>0</v>
      </c>
      <c r="U830">
        <v>0</v>
      </c>
      <c r="V830">
        <v>0</v>
      </c>
      <c r="W830">
        <v>0</v>
      </c>
    </row>
    <row r="831" spans="1:23" x14ac:dyDescent="0.35">
      <c r="A831" s="7" t="s">
        <v>921</v>
      </c>
      <c r="B831" t="s">
        <v>922</v>
      </c>
      <c r="C831" s="1">
        <v>45741</v>
      </c>
      <c r="D831">
        <v>42</v>
      </c>
      <c r="E831" t="str">
        <f t="shared" si="48"/>
        <v>35-44</v>
      </c>
      <c r="F831" t="s">
        <v>26</v>
      </c>
      <c r="G831" t="s">
        <v>38</v>
      </c>
      <c r="H831" t="s">
        <v>28</v>
      </c>
      <c r="I831">
        <v>4</v>
      </c>
      <c r="J831" t="s">
        <v>109</v>
      </c>
      <c r="K831">
        <v>41</v>
      </c>
      <c r="L831" t="str">
        <f t="shared" si="49"/>
        <v>2+years</v>
      </c>
      <c r="M831" t="s">
        <v>68</v>
      </c>
      <c r="N831">
        <v>14500</v>
      </c>
      <c r="O831">
        <v>11</v>
      </c>
      <c r="P831">
        <v>159500</v>
      </c>
      <c r="Q831">
        <f t="shared" si="50"/>
        <v>14500</v>
      </c>
      <c r="R831" s="13">
        <v>147.52000000000001</v>
      </c>
      <c r="S831" t="s">
        <v>36</v>
      </c>
      <c r="T831">
        <f t="shared" si="51"/>
        <v>0</v>
      </c>
      <c r="U831">
        <v>0</v>
      </c>
      <c r="V831">
        <v>0</v>
      </c>
      <c r="W831">
        <v>0</v>
      </c>
    </row>
    <row r="832" spans="1:23" x14ac:dyDescent="0.35">
      <c r="A832" s="7" t="s">
        <v>921</v>
      </c>
      <c r="B832" t="s">
        <v>922</v>
      </c>
      <c r="C832" s="1">
        <v>45741</v>
      </c>
      <c r="D832">
        <v>42</v>
      </c>
      <c r="E832" t="str">
        <f t="shared" si="48"/>
        <v>35-44</v>
      </c>
      <c r="F832" t="s">
        <v>26</v>
      </c>
      <c r="G832" t="s">
        <v>19</v>
      </c>
      <c r="H832" t="s">
        <v>28</v>
      </c>
      <c r="I832">
        <v>4</v>
      </c>
      <c r="J832" t="s">
        <v>109</v>
      </c>
      <c r="K832">
        <v>41</v>
      </c>
      <c r="L832" t="str">
        <f t="shared" si="49"/>
        <v>2+years</v>
      </c>
      <c r="M832" t="s">
        <v>22</v>
      </c>
      <c r="N832">
        <v>35000</v>
      </c>
      <c r="O832">
        <v>4</v>
      </c>
      <c r="P832">
        <v>140000</v>
      </c>
      <c r="Q832">
        <f t="shared" si="50"/>
        <v>35000</v>
      </c>
      <c r="R832" s="13">
        <v>175.41</v>
      </c>
      <c r="S832" t="s">
        <v>36</v>
      </c>
      <c r="T832">
        <f t="shared" si="51"/>
        <v>0</v>
      </c>
      <c r="U832">
        <v>0</v>
      </c>
      <c r="V832">
        <v>0</v>
      </c>
      <c r="W832">
        <v>0</v>
      </c>
    </row>
    <row r="833" spans="1:23" x14ac:dyDescent="0.35">
      <c r="A833" s="7" t="s">
        <v>923</v>
      </c>
      <c r="B833" t="s">
        <v>924</v>
      </c>
      <c r="C833" s="1">
        <v>45713</v>
      </c>
      <c r="D833">
        <v>49</v>
      </c>
      <c r="E833" t="str">
        <f t="shared" si="48"/>
        <v>45-54</v>
      </c>
      <c r="F833" t="s">
        <v>183</v>
      </c>
      <c r="G833" t="s">
        <v>33</v>
      </c>
      <c r="H833" t="s">
        <v>20</v>
      </c>
      <c r="I833">
        <v>5</v>
      </c>
      <c r="J833" t="s">
        <v>52</v>
      </c>
      <c r="K833">
        <v>23</v>
      </c>
      <c r="L833" t="str">
        <f t="shared" si="49"/>
        <v>1-2 years</v>
      </c>
      <c r="M833" t="s">
        <v>39</v>
      </c>
      <c r="N833">
        <v>9000</v>
      </c>
      <c r="O833">
        <v>6</v>
      </c>
      <c r="P833">
        <v>54000</v>
      </c>
      <c r="Q833">
        <f t="shared" si="50"/>
        <v>9000</v>
      </c>
      <c r="R833" s="13">
        <v>128.44999999999999</v>
      </c>
      <c r="S833" t="s">
        <v>36</v>
      </c>
      <c r="T833">
        <f t="shared" si="51"/>
        <v>0</v>
      </c>
      <c r="U833">
        <v>0</v>
      </c>
      <c r="V833">
        <v>0</v>
      </c>
      <c r="W833">
        <v>0</v>
      </c>
    </row>
    <row r="834" spans="1:23" x14ac:dyDescent="0.35">
      <c r="A834" s="7" t="s">
        <v>923</v>
      </c>
      <c r="B834" t="s">
        <v>924</v>
      </c>
      <c r="C834" s="1">
        <v>45713</v>
      </c>
      <c r="D834">
        <v>49</v>
      </c>
      <c r="E834" t="str">
        <f t="shared" si="48"/>
        <v>45-54</v>
      </c>
      <c r="F834" t="s">
        <v>183</v>
      </c>
      <c r="G834" t="s">
        <v>19</v>
      </c>
      <c r="H834" t="s">
        <v>20</v>
      </c>
      <c r="I834">
        <v>5</v>
      </c>
      <c r="J834" t="s">
        <v>52</v>
      </c>
      <c r="K834">
        <v>23</v>
      </c>
      <c r="L834" t="str">
        <f t="shared" si="49"/>
        <v>1-2 years</v>
      </c>
      <c r="M834" t="s">
        <v>22</v>
      </c>
      <c r="N834">
        <v>35000</v>
      </c>
      <c r="O834">
        <v>5</v>
      </c>
      <c r="P834">
        <v>175000</v>
      </c>
      <c r="Q834">
        <f t="shared" si="50"/>
        <v>35000</v>
      </c>
      <c r="R834" s="13">
        <v>158.31</v>
      </c>
      <c r="S834" t="s">
        <v>36</v>
      </c>
      <c r="T834">
        <f t="shared" si="51"/>
        <v>0</v>
      </c>
      <c r="U834">
        <v>0</v>
      </c>
      <c r="V834">
        <v>0</v>
      </c>
      <c r="W834">
        <v>0</v>
      </c>
    </row>
    <row r="835" spans="1:23" x14ac:dyDescent="0.35">
      <c r="A835" s="7" t="s">
        <v>923</v>
      </c>
      <c r="B835" t="s">
        <v>924</v>
      </c>
      <c r="C835" s="1">
        <v>45713</v>
      </c>
      <c r="D835">
        <v>49</v>
      </c>
      <c r="E835" t="str">
        <f t="shared" ref="E835:E898" si="52">IF(D835&lt;25,"Under25",IF(D835&lt;35,"25-34",IF(D835&lt;45,"35-44",IF(D835&lt;55,"45-54","55+"))) )</f>
        <v>45-54</v>
      </c>
      <c r="F835" t="s">
        <v>183</v>
      </c>
      <c r="G835" t="s">
        <v>38</v>
      </c>
      <c r="H835" t="s">
        <v>20</v>
      </c>
      <c r="I835">
        <v>5</v>
      </c>
      <c r="J835" t="s">
        <v>52</v>
      </c>
      <c r="K835">
        <v>23</v>
      </c>
      <c r="L835" t="str">
        <f t="shared" ref="L835:L898" si="53">IF(K835&lt;6,"0-5 months",IF(K835&lt;13,"6-12 months",IF(K835&lt;25,"1-2 years","2+years")))</f>
        <v>1-2 years</v>
      </c>
      <c r="M835" t="s">
        <v>39</v>
      </c>
      <c r="N835">
        <v>9000</v>
      </c>
      <c r="O835">
        <v>10</v>
      </c>
      <c r="P835">
        <v>90000</v>
      </c>
      <c r="Q835">
        <f t="shared" ref="Q835:Q898" si="54">P835/O835</f>
        <v>9000</v>
      </c>
      <c r="R835" s="13">
        <v>80.430000000000007</v>
      </c>
      <c r="S835" t="s">
        <v>36</v>
      </c>
      <c r="T835">
        <f t="shared" ref="T835:T898" si="55">IF(S835="yes",1,0)</f>
        <v>0</v>
      </c>
      <c r="U835">
        <v>0</v>
      </c>
      <c r="V835">
        <v>0</v>
      </c>
      <c r="W835">
        <v>0</v>
      </c>
    </row>
    <row r="836" spans="1:23" x14ac:dyDescent="0.35">
      <c r="A836" s="7" t="s">
        <v>925</v>
      </c>
      <c r="B836" t="s">
        <v>926</v>
      </c>
      <c r="C836" s="1">
        <v>45713</v>
      </c>
      <c r="D836">
        <v>26</v>
      </c>
      <c r="E836" t="str">
        <f t="shared" si="52"/>
        <v>25-34</v>
      </c>
      <c r="F836" t="s">
        <v>170</v>
      </c>
      <c r="G836" t="s">
        <v>27</v>
      </c>
      <c r="H836" t="s">
        <v>20</v>
      </c>
      <c r="I836">
        <v>5</v>
      </c>
      <c r="J836" t="s">
        <v>52</v>
      </c>
      <c r="K836">
        <v>16</v>
      </c>
      <c r="L836" t="str">
        <f t="shared" si="53"/>
        <v>1-2 years</v>
      </c>
      <c r="M836" t="s">
        <v>159</v>
      </c>
      <c r="N836">
        <v>600</v>
      </c>
      <c r="O836">
        <v>19</v>
      </c>
      <c r="P836">
        <v>11400</v>
      </c>
      <c r="Q836">
        <f t="shared" si="54"/>
        <v>600</v>
      </c>
      <c r="R836" s="13">
        <v>52.51</v>
      </c>
      <c r="S836" t="s">
        <v>36</v>
      </c>
      <c r="T836">
        <f t="shared" si="55"/>
        <v>0</v>
      </c>
      <c r="U836">
        <v>0</v>
      </c>
      <c r="V836">
        <v>0</v>
      </c>
      <c r="W836">
        <v>0</v>
      </c>
    </row>
    <row r="837" spans="1:23" x14ac:dyDescent="0.35">
      <c r="A837" s="7" t="s">
        <v>925</v>
      </c>
      <c r="B837" t="s">
        <v>926</v>
      </c>
      <c r="C837" s="1">
        <v>45713</v>
      </c>
      <c r="D837">
        <v>26</v>
      </c>
      <c r="E837" t="str">
        <f t="shared" si="52"/>
        <v>25-34</v>
      </c>
      <c r="F837" t="s">
        <v>170</v>
      </c>
      <c r="G837" t="s">
        <v>19</v>
      </c>
      <c r="H837" t="s">
        <v>20</v>
      </c>
      <c r="I837">
        <v>5</v>
      </c>
      <c r="J837" t="s">
        <v>52</v>
      </c>
      <c r="K837">
        <v>16</v>
      </c>
      <c r="L837" t="str">
        <f t="shared" si="53"/>
        <v>1-2 years</v>
      </c>
      <c r="M837" t="s">
        <v>48</v>
      </c>
      <c r="N837">
        <v>9000</v>
      </c>
      <c r="O837">
        <v>7</v>
      </c>
      <c r="P837">
        <v>63000</v>
      </c>
      <c r="Q837">
        <f t="shared" si="54"/>
        <v>9000</v>
      </c>
      <c r="R837" s="13">
        <v>160.01</v>
      </c>
      <c r="S837" t="s">
        <v>36</v>
      </c>
      <c r="T837">
        <f t="shared" si="55"/>
        <v>0</v>
      </c>
      <c r="U837">
        <v>0</v>
      </c>
      <c r="V837">
        <v>0</v>
      </c>
      <c r="W837">
        <v>0</v>
      </c>
    </row>
    <row r="838" spans="1:23" x14ac:dyDescent="0.35">
      <c r="A838" s="7" t="s">
        <v>927</v>
      </c>
      <c r="B838" t="s">
        <v>928</v>
      </c>
      <c r="C838" s="1">
        <v>45713</v>
      </c>
      <c r="D838">
        <v>69</v>
      </c>
      <c r="E838" t="str">
        <f t="shared" si="52"/>
        <v>55+</v>
      </c>
      <c r="F838" t="s">
        <v>42</v>
      </c>
      <c r="G838" t="s">
        <v>19</v>
      </c>
      <c r="H838" t="s">
        <v>20</v>
      </c>
      <c r="I838">
        <v>5</v>
      </c>
      <c r="J838" t="s">
        <v>52</v>
      </c>
      <c r="K838">
        <v>26</v>
      </c>
      <c r="L838" t="str">
        <f t="shared" si="53"/>
        <v>2+years</v>
      </c>
      <c r="M838" t="s">
        <v>43</v>
      </c>
      <c r="N838">
        <v>4500</v>
      </c>
      <c r="O838">
        <v>6</v>
      </c>
      <c r="P838">
        <v>27000</v>
      </c>
      <c r="Q838">
        <f t="shared" si="54"/>
        <v>4500</v>
      </c>
      <c r="R838" s="13">
        <v>52.73</v>
      </c>
      <c r="S838" t="s">
        <v>23</v>
      </c>
      <c r="T838">
        <f t="shared" si="55"/>
        <v>1</v>
      </c>
      <c r="U838">
        <v>0</v>
      </c>
      <c r="V838">
        <v>0</v>
      </c>
      <c r="W838">
        <v>0</v>
      </c>
    </row>
    <row r="839" spans="1:23" x14ac:dyDescent="0.35">
      <c r="A839" s="7" t="s">
        <v>927</v>
      </c>
      <c r="B839" t="s">
        <v>928</v>
      </c>
      <c r="C839" s="1">
        <v>45713</v>
      </c>
      <c r="D839">
        <v>69</v>
      </c>
      <c r="E839" t="str">
        <f t="shared" si="52"/>
        <v>55+</v>
      </c>
      <c r="F839" t="s">
        <v>42</v>
      </c>
      <c r="G839" t="s">
        <v>38</v>
      </c>
      <c r="H839" t="s">
        <v>20</v>
      </c>
      <c r="I839">
        <v>5</v>
      </c>
      <c r="J839" t="s">
        <v>52</v>
      </c>
      <c r="K839">
        <v>26</v>
      </c>
      <c r="L839" t="str">
        <f t="shared" si="53"/>
        <v>2+years</v>
      </c>
      <c r="M839" t="s">
        <v>39</v>
      </c>
      <c r="N839">
        <v>9000</v>
      </c>
      <c r="O839">
        <v>14</v>
      </c>
      <c r="P839">
        <v>126000</v>
      </c>
      <c r="Q839">
        <f t="shared" si="54"/>
        <v>9000</v>
      </c>
      <c r="R839" s="13">
        <v>80.510000000000005</v>
      </c>
      <c r="S839" t="s">
        <v>23</v>
      </c>
      <c r="T839">
        <f t="shared" si="55"/>
        <v>1</v>
      </c>
      <c r="U839">
        <v>0</v>
      </c>
      <c r="V839">
        <v>0</v>
      </c>
      <c r="W839">
        <v>0</v>
      </c>
    </row>
    <row r="840" spans="1:23" x14ac:dyDescent="0.35">
      <c r="A840" s="7" t="s">
        <v>927</v>
      </c>
      <c r="B840" t="s">
        <v>928</v>
      </c>
      <c r="C840" s="1">
        <v>45713</v>
      </c>
      <c r="D840">
        <v>69</v>
      </c>
      <c r="E840" t="str">
        <f t="shared" si="52"/>
        <v>55+</v>
      </c>
      <c r="F840" t="s">
        <v>42</v>
      </c>
      <c r="G840" t="s">
        <v>27</v>
      </c>
      <c r="H840" t="s">
        <v>20</v>
      </c>
      <c r="I840">
        <v>5</v>
      </c>
      <c r="J840" t="s">
        <v>52</v>
      </c>
      <c r="K840">
        <v>26</v>
      </c>
      <c r="L840" t="str">
        <f t="shared" si="53"/>
        <v>2+years</v>
      </c>
      <c r="M840" t="s">
        <v>37</v>
      </c>
      <c r="N840">
        <v>500</v>
      </c>
      <c r="O840">
        <v>12</v>
      </c>
      <c r="P840">
        <v>6000</v>
      </c>
      <c r="Q840">
        <f t="shared" si="54"/>
        <v>500</v>
      </c>
      <c r="R840" s="13">
        <v>30.28</v>
      </c>
      <c r="S840" t="s">
        <v>23</v>
      </c>
      <c r="T840">
        <f t="shared" si="55"/>
        <v>1</v>
      </c>
      <c r="U840">
        <v>0</v>
      </c>
      <c r="V840">
        <v>0</v>
      </c>
      <c r="W840">
        <v>0</v>
      </c>
    </row>
    <row r="841" spans="1:23" x14ac:dyDescent="0.35">
      <c r="A841" s="7" t="s">
        <v>929</v>
      </c>
      <c r="B841" t="s">
        <v>930</v>
      </c>
      <c r="C841" s="1">
        <v>45713</v>
      </c>
      <c r="D841">
        <v>31</v>
      </c>
      <c r="E841" t="str">
        <f t="shared" si="52"/>
        <v>25-34</v>
      </c>
      <c r="F841" t="s">
        <v>444</v>
      </c>
      <c r="G841" t="s">
        <v>19</v>
      </c>
      <c r="H841" t="s">
        <v>28</v>
      </c>
      <c r="I841">
        <v>4</v>
      </c>
      <c r="J841" t="s">
        <v>109</v>
      </c>
      <c r="K841">
        <v>50</v>
      </c>
      <c r="L841" t="str">
        <f t="shared" si="53"/>
        <v>2+years</v>
      </c>
      <c r="M841" t="s">
        <v>48</v>
      </c>
      <c r="N841">
        <v>9000</v>
      </c>
      <c r="O841">
        <v>16</v>
      </c>
      <c r="P841">
        <v>144000</v>
      </c>
      <c r="Q841">
        <f t="shared" si="54"/>
        <v>9000</v>
      </c>
      <c r="R841" s="13">
        <v>57.95</v>
      </c>
      <c r="S841" t="s">
        <v>23</v>
      </c>
      <c r="T841">
        <f t="shared" si="55"/>
        <v>1</v>
      </c>
      <c r="U841">
        <v>0</v>
      </c>
      <c r="V841">
        <v>0</v>
      </c>
      <c r="W841">
        <v>0</v>
      </c>
    </row>
    <row r="842" spans="1:23" x14ac:dyDescent="0.35">
      <c r="A842" s="7" t="s">
        <v>931</v>
      </c>
      <c r="B842" t="s">
        <v>593</v>
      </c>
      <c r="C842" s="1">
        <v>45713</v>
      </c>
      <c r="D842">
        <v>32</v>
      </c>
      <c r="E842" t="str">
        <f t="shared" si="52"/>
        <v>25-34</v>
      </c>
      <c r="F842" t="s">
        <v>18</v>
      </c>
      <c r="G842" t="s">
        <v>27</v>
      </c>
      <c r="H842" t="s">
        <v>20</v>
      </c>
      <c r="I842">
        <v>3</v>
      </c>
      <c r="J842" t="s">
        <v>47</v>
      </c>
      <c r="K842">
        <v>39</v>
      </c>
      <c r="L842" t="str">
        <f t="shared" si="53"/>
        <v>2+years</v>
      </c>
      <c r="M842" t="s">
        <v>159</v>
      </c>
      <c r="N842">
        <v>600</v>
      </c>
      <c r="O842">
        <v>5</v>
      </c>
      <c r="P842">
        <v>3000</v>
      </c>
      <c r="Q842">
        <f t="shared" si="54"/>
        <v>600</v>
      </c>
      <c r="R842" s="13">
        <v>82</v>
      </c>
      <c r="S842" t="s">
        <v>36</v>
      </c>
      <c r="T842">
        <f t="shared" si="55"/>
        <v>0</v>
      </c>
      <c r="U842">
        <v>0</v>
      </c>
      <c r="V842">
        <v>0</v>
      </c>
      <c r="W842">
        <v>0</v>
      </c>
    </row>
    <row r="843" spans="1:23" x14ac:dyDescent="0.35">
      <c r="A843" s="7" t="s">
        <v>932</v>
      </c>
      <c r="B843" t="s">
        <v>933</v>
      </c>
      <c r="C843" s="1">
        <v>45713</v>
      </c>
      <c r="D843">
        <v>53</v>
      </c>
      <c r="E843" t="str">
        <f t="shared" si="52"/>
        <v>45-54</v>
      </c>
      <c r="F843" t="s">
        <v>138</v>
      </c>
      <c r="G843" t="s">
        <v>27</v>
      </c>
      <c r="H843" t="s">
        <v>20</v>
      </c>
      <c r="I843">
        <v>2</v>
      </c>
      <c r="J843" t="s">
        <v>21</v>
      </c>
      <c r="K843">
        <v>40</v>
      </c>
      <c r="L843" t="str">
        <f t="shared" si="53"/>
        <v>2+years</v>
      </c>
      <c r="M843" t="s">
        <v>29</v>
      </c>
      <c r="N843">
        <v>5500</v>
      </c>
      <c r="O843">
        <v>11</v>
      </c>
      <c r="P843">
        <v>60500</v>
      </c>
      <c r="Q843">
        <f t="shared" si="54"/>
        <v>5500</v>
      </c>
      <c r="R843" s="13">
        <v>27.07</v>
      </c>
      <c r="S843" t="s">
        <v>36</v>
      </c>
      <c r="T843">
        <f t="shared" si="55"/>
        <v>0</v>
      </c>
      <c r="U843">
        <v>0</v>
      </c>
      <c r="V843">
        <v>0</v>
      </c>
      <c r="W843">
        <v>0</v>
      </c>
    </row>
    <row r="844" spans="1:23" x14ac:dyDescent="0.35">
      <c r="A844" s="7" t="s">
        <v>932</v>
      </c>
      <c r="B844" t="s">
        <v>933</v>
      </c>
      <c r="C844" s="1">
        <v>45713</v>
      </c>
      <c r="D844">
        <v>53</v>
      </c>
      <c r="E844" t="str">
        <f t="shared" si="52"/>
        <v>45-54</v>
      </c>
      <c r="F844" t="s">
        <v>138</v>
      </c>
      <c r="G844" t="s">
        <v>38</v>
      </c>
      <c r="H844" t="s">
        <v>20</v>
      </c>
      <c r="I844">
        <v>2</v>
      </c>
      <c r="J844" t="s">
        <v>21</v>
      </c>
      <c r="K844">
        <v>40</v>
      </c>
      <c r="L844" t="str">
        <f t="shared" si="53"/>
        <v>2+years</v>
      </c>
      <c r="M844" t="s">
        <v>68</v>
      </c>
      <c r="N844">
        <v>14500</v>
      </c>
      <c r="O844">
        <v>13</v>
      </c>
      <c r="P844">
        <v>188500</v>
      </c>
      <c r="Q844">
        <f t="shared" si="54"/>
        <v>14500</v>
      </c>
      <c r="R844" s="13">
        <v>137.53</v>
      </c>
      <c r="S844" t="s">
        <v>36</v>
      </c>
      <c r="T844">
        <f t="shared" si="55"/>
        <v>0</v>
      </c>
      <c r="U844">
        <v>0</v>
      </c>
      <c r="V844">
        <v>0</v>
      </c>
      <c r="W844">
        <v>0</v>
      </c>
    </row>
    <row r="845" spans="1:23" x14ac:dyDescent="0.35">
      <c r="A845" s="7" t="s">
        <v>932</v>
      </c>
      <c r="B845" t="s">
        <v>933</v>
      </c>
      <c r="C845" s="1">
        <v>45713</v>
      </c>
      <c r="D845">
        <v>53</v>
      </c>
      <c r="E845" t="str">
        <f t="shared" si="52"/>
        <v>45-54</v>
      </c>
      <c r="F845" t="s">
        <v>138</v>
      </c>
      <c r="G845" t="s">
        <v>33</v>
      </c>
      <c r="H845" t="s">
        <v>20</v>
      </c>
      <c r="I845">
        <v>2</v>
      </c>
      <c r="J845" t="s">
        <v>21</v>
      </c>
      <c r="K845">
        <v>40</v>
      </c>
      <c r="L845" t="str">
        <f t="shared" si="53"/>
        <v>2+years</v>
      </c>
      <c r="M845" t="s">
        <v>100</v>
      </c>
      <c r="N845">
        <v>75000</v>
      </c>
      <c r="O845">
        <v>9</v>
      </c>
      <c r="P845">
        <v>675000</v>
      </c>
      <c r="Q845">
        <f t="shared" si="54"/>
        <v>75000</v>
      </c>
      <c r="R845" s="13">
        <v>147.35</v>
      </c>
      <c r="S845" t="s">
        <v>36</v>
      </c>
      <c r="T845">
        <f t="shared" si="55"/>
        <v>0</v>
      </c>
      <c r="U845">
        <v>0</v>
      </c>
      <c r="V845">
        <v>0</v>
      </c>
      <c r="W845">
        <v>0</v>
      </c>
    </row>
    <row r="846" spans="1:23" x14ac:dyDescent="0.35">
      <c r="A846" s="7" t="s">
        <v>934</v>
      </c>
      <c r="B846" t="s">
        <v>935</v>
      </c>
      <c r="C846" s="1">
        <v>45713</v>
      </c>
      <c r="D846">
        <v>28</v>
      </c>
      <c r="E846" t="str">
        <f t="shared" si="52"/>
        <v>25-34</v>
      </c>
      <c r="F846" t="s">
        <v>46</v>
      </c>
      <c r="G846" t="s">
        <v>38</v>
      </c>
      <c r="H846" t="s">
        <v>20</v>
      </c>
      <c r="I846">
        <v>4</v>
      </c>
      <c r="J846" t="s">
        <v>109</v>
      </c>
      <c r="K846">
        <v>22</v>
      </c>
      <c r="L846" t="str">
        <f t="shared" si="53"/>
        <v>1-2 years</v>
      </c>
      <c r="M846" t="s">
        <v>59</v>
      </c>
      <c r="N846">
        <v>24000</v>
      </c>
      <c r="O846">
        <v>10</v>
      </c>
      <c r="P846">
        <v>240000</v>
      </c>
      <c r="Q846">
        <f t="shared" si="54"/>
        <v>24000</v>
      </c>
      <c r="R846" s="13">
        <v>124.12</v>
      </c>
      <c r="S846" t="s">
        <v>36</v>
      </c>
      <c r="T846">
        <f t="shared" si="55"/>
        <v>0</v>
      </c>
      <c r="U846">
        <v>0</v>
      </c>
      <c r="V846">
        <v>0</v>
      </c>
      <c r="W846">
        <v>0</v>
      </c>
    </row>
    <row r="847" spans="1:23" x14ac:dyDescent="0.35">
      <c r="A847" s="7" t="s">
        <v>934</v>
      </c>
      <c r="B847" t="s">
        <v>935</v>
      </c>
      <c r="C847" s="1">
        <v>45713</v>
      </c>
      <c r="D847">
        <v>28</v>
      </c>
      <c r="E847" t="str">
        <f t="shared" si="52"/>
        <v>25-34</v>
      </c>
      <c r="F847" t="s">
        <v>46</v>
      </c>
      <c r="G847" t="s">
        <v>27</v>
      </c>
      <c r="H847" t="s">
        <v>20</v>
      </c>
      <c r="I847">
        <v>4</v>
      </c>
      <c r="J847" t="s">
        <v>109</v>
      </c>
      <c r="K847">
        <v>22</v>
      </c>
      <c r="L847" t="str">
        <f t="shared" si="53"/>
        <v>1-2 years</v>
      </c>
      <c r="M847" t="s">
        <v>83</v>
      </c>
      <c r="N847">
        <v>7500</v>
      </c>
      <c r="O847">
        <v>5</v>
      </c>
      <c r="P847">
        <v>37500</v>
      </c>
      <c r="Q847">
        <f t="shared" si="54"/>
        <v>7500</v>
      </c>
      <c r="R847" s="13">
        <v>134.41999999999999</v>
      </c>
      <c r="S847" t="s">
        <v>36</v>
      </c>
      <c r="T847">
        <f t="shared" si="55"/>
        <v>0</v>
      </c>
      <c r="U847">
        <v>0</v>
      </c>
      <c r="V847">
        <v>0</v>
      </c>
      <c r="W847">
        <v>0</v>
      </c>
    </row>
    <row r="848" spans="1:23" x14ac:dyDescent="0.35">
      <c r="A848" s="7" t="s">
        <v>934</v>
      </c>
      <c r="B848" t="s">
        <v>935</v>
      </c>
      <c r="C848" s="1">
        <v>45713</v>
      </c>
      <c r="D848">
        <v>28</v>
      </c>
      <c r="E848" t="str">
        <f t="shared" si="52"/>
        <v>25-34</v>
      </c>
      <c r="F848" t="s">
        <v>46</v>
      </c>
      <c r="G848" t="s">
        <v>19</v>
      </c>
      <c r="H848" t="s">
        <v>20</v>
      </c>
      <c r="I848">
        <v>4</v>
      </c>
      <c r="J848" t="s">
        <v>109</v>
      </c>
      <c r="K848">
        <v>22</v>
      </c>
      <c r="L848" t="str">
        <f t="shared" si="53"/>
        <v>1-2 years</v>
      </c>
      <c r="M848" t="s">
        <v>55</v>
      </c>
      <c r="N848">
        <v>16000</v>
      </c>
      <c r="O848">
        <v>9</v>
      </c>
      <c r="P848">
        <v>144000</v>
      </c>
      <c r="Q848">
        <f t="shared" si="54"/>
        <v>16000</v>
      </c>
      <c r="R848" s="13">
        <v>116.31</v>
      </c>
      <c r="S848" t="s">
        <v>36</v>
      </c>
      <c r="T848">
        <f t="shared" si="55"/>
        <v>0</v>
      </c>
      <c r="U848">
        <v>0</v>
      </c>
      <c r="V848">
        <v>0</v>
      </c>
      <c r="W848">
        <v>0</v>
      </c>
    </row>
    <row r="849" spans="1:23" x14ac:dyDescent="0.35">
      <c r="A849" s="7" t="s">
        <v>936</v>
      </c>
      <c r="B849" t="s">
        <v>937</v>
      </c>
      <c r="C849" s="1">
        <v>45682</v>
      </c>
      <c r="D849">
        <v>80</v>
      </c>
      <c r="E849" t="str">
        <f t="shared" si="52"/>
        <v>55+</v>
      </c>
      <c r="F849" t="s">
        <v>86</v>
      </c>
      <c r="G849" t="s">
        <v>27</v>
      </c>
      <c r="H849" t="s">
        <v>28</v>
      </c>
      <c r="I849">
        <v>2</v>
      </c>
      <c r="J849" t="s">
        <v>21</v>
      </c>
      <c r="K849">
        <v>57</v>
      </c>
      <c r="L849" t="str">
        <f t="shared" si="53"/>
        <v>2+years</v>
      </c>
      <c r="M849" t="s">
        <v>79</v>
      </c>
      <c r="N849">
        <v>1000</v>
      </c>
      <c r="O849">
        <v>5</v>
      </c>
      <c r="P849">
        <v>5000</v>
      </c>
      <c r="Q849">
        <f t="shared" si="54"/>
        <v>1000</v>
      </c>
      <c r="R849" s="13">
        <v>63</v>
      </c>
      <c r="S849" t="s">
        <v>23</v>
      </c>
      <c r="T849">
        <f t="shared" si="55"/>
        <v>1</v>
      </c>
      <c r="U849">
        <v>0</v>
      </c>
      <c r="V849">
        <v>0</v>
      </c>
      <c r="W849">
        <v>0</v>
      </c>
    </row>
    <row r="850" spans="1:23" x14ac:dyDescent="0.35">
      <c r="A850" s="7" t="s">
        <v>936</v>
      </c>
      <c r="B850" t="s">
        <v>937</v>
      </c>
      <c r="C850" s="1">
        <v>45682</v>
      </c>
      <c r="D850">
        <v>80</v>
      </c>
      <c r="E850" t="str">
        <f t="shared" si="52"/>
        <v>55+</v>
      </c>
      <c r="F850" t="s">
        <v>86</v>
      </c>
      <c r="G850" t="s">
        <v>38</v>
      </c>
      <c r="H850" t="s">
        <v>28</v>
      </c>
      <c r="I850">
        <v>2</v>
      </c>
      <c r="J850" t="s">
        <v>21</v>
      </c>
      <c r="K850">
        <v>57</v>
      </c>
      <c r="L850" t="str">
        <f t="shared" si="53"/>
        <v>2+years</v>
      </c>
      <c r="M850" t="s">
        <v>68</v>
      </c>
      <c r="N850">
        <v>14500</v>
      </c>
      <c r="O850">
        <v>9</v>
      </c>
      <c r="P850">
        <v>130500</v>
      </c>
      <c r="Q850">
        <f t="shared" si="54"/>
        <v>14500</v>
      </c>
      <c r="R850" s="13">
        <v>174.4</v>
      </c>
      <c r="S850" t="s">
        <v>23</v>
      </c>
      <c r="T850">
        <f t="shared" si="55"/>
        <v>1</v>
      </c>
      <c r="U850">
        <v>0</v>
      </c>
      <c r="V850">
        <v>0</v>
      </c>
      <c r="W850">
        <v>0</v>
      </c>
    </row>
    <row r="851" spans="1:23" x14ac:dyDescent="0.35">
      <c r="A851" s="7" t="s">
        <v>936</v>
      </c>
      <c r="B851" t="s">
        <v>937</v>
      </c>
      <c r="C851" s="1">
        <v>45682</v>
      </c>
      <c r="D851">
        <v>80</v>
      </c>
      <c r="E851" t="str">
        <f t="shared" si="52"/>
        <v>55+</v>
      </c>
      <c r="F851" t="s">
        <v>86</v>
      </c>
      <c r="G851" t="s">
        <v>19</v>
      </c>
      <c r="H851" t="s">
        <v>28</v>
      </c>
      <c r="I851">
        <v>2</v>
      </c>
      <c r="J851" t="s">
        <v>21</v>
      </c>
      <c r="K851">
        <v>57</v>
      </c>
      <c r="L851" t="str">
        <f t="shared" si="53"/>
        <v>2+years</v>
      </c>
      <c r="M851" t="s">
        <v>48</v>
      </c>
      <c r="N851">
        <v>9000</v>
      </c>
      <c r="O851">
        <v>10</v>
      </c>
      <c r="P851">
        <v>90000</v>
      </c>
      <c r="Q851">
        <f t="shared" si="54"/>
        <v>9000</v>
      </c>
      <c r="R851" s="13">
        <v>185.28</v>
      </c>
      <c r="S851" t="s">
        <v>23</v>
      </c>
      <c r="T851">
        <f t="shared" si="55"/>
        <v>1</v>
      </c>
      <c r="U851">
        <v>0</v>
      </c>
      <c r="V851">
        <v>0</v>
      </c>
      <c r="W851">
        <v>0</v>
      </c>
    </row>
    <row r="852" spans="1:23" x14ac:dyDescent="0.35">
      <c r="A852" s="7" t="s">
        <v>938</v>
      </c>
      <c r="B852" t="s">
        <v>939</v>
      </c>
      <c r="C852" s="1">
        <v>45713</v>
      </c>
      <c r="D852">
        <v>49</v>
      </c>
      <c r="E852" t="str">
        <f t="shared" si="52"/>
        <v>45-54</v>
      </c>
      <c r="F852" t="s">
        <v>72</v>
      </c>
      <c r="G852" t="s">
        <v>19</v>
      </c>
      <c r="H852" t="s">
        <v>28</v>
      </c>
      <c r="I852">
        <v>3</v>
      </c>
      <c r="J852" t="s">
        <v>47</v>
      </c>
      <c r="K852">
        <v>28</v>
      </c>
      <c r="L852" t="str">
        <f t="shared" si="53"/>
        <v>2+years</v>
      </c>
      <c r="M852" t="s">
        <v>22</v>
      </c>
      <c r="N852">
        <v>35000</v>
      </c>
      <c r="O852">
        <v>5</v>
      </c>
      <c r="P852">
        <v>175000</v>
      </c>
      <c r="Q852">
        <f t="shared" si="54"/>
        <v>35000</v>
      </c>
      <c r="R852" s="13">
        <v>11.12</v>
      </c>
      <c r="S852" t="s">
        <v>36</v>
      </c>
      <c r="T852">
        <f t="shared" si="55"/>
        <v>0</v>
      </c>
      <c r="U852">
        <v>0</v>
      </c>
      <c r="V852">
        <v>0</v>
      </c>
      <c r="W852">
        <v>0</v>
      </c>
    </row>
    <row r="853" spans="1:23" x14ac:dyDescent="0.35">
      <c r="A853" s="7" t="s">
        <v>938</v>
      </c>
      <c r="B853" t="s">
        <v>939</v>
      </c>
      <c r="C853" s="1">
        <v>45713</v>
      </c>
      <c r="D853">
        <v>49</v>
      </c>
      <c r="E853" t="str">
        <f t="shared" si="52"/>
        <v>45-54</v>
      </c>
      <c r="F853" t="s">
        <v>72</v>
      </c>
      <c r="G853" t="s">
        <v>33</v>
      </c>
      <c r="H853" t="s">
        <v>28</v>
      </c>
      <c r="I853">
        <v>3</v>
      </c>
      <c r="J853" t="s">
        <v>47</v>
      </c>
      <c r="K853">
        <v>28</v>
      </c>
      <c r="L853" t="str">
        <f t="shared" si="53"/>
        <v>2+years</v>
      </c>
      <c r="M853" t="s">
        <v>39</v>
      </c>
      <c r="N853">
        <v>9000</v>
      </c>
      <c r="O853">
        <v>2</v>
      </c>
      <c r="P853">
        <v>18000</v>
      </c>
      <c r="Q853">
        <f t="shared" si="54"/>
        <v>9000</v>
      </c>
      <c r="R853" s="13">
        <v>46.36</v>
      </c>
      <c r="S853" t="s">
        <v>36</v>
      </c>
      <c r="T853">
        <f t="shared" si="55"/>
        <v>0</v>
      </c>
      <c r="U853">
        <v>0</v>
      </c>
      <c r="V853">
        <v>0</v>
      </c>
      <c r="W853">
        <v>0</v>
      </c>
    </row>
    <row r="854" spans="1:23" x14ac:dyDescent="0.35">
      <c r="A854" s="7" t="s">
        <v>940</v>
      </c>
      <c r="B854" t="s">
        <v>941</v>
      </c>
      <c r="C854" s="1">
        <v>45682</v>
      </c>
      <c r="D854">
        <v>49</v>
      </c>
      <c r="E854" t="str">
        <f t="shared" si="52"/>
        <v>45-54</v>
      </c>
      <c r="F854" t="s">
        <v>26</v>
      </c>
      <c r="G854" t="s">
        <v>27</v>
      </c>
      <c r="H854" t="s">
        <v>28</v>
      </c>
      <c r="I854">
        <v>4</v>
      </c>
      <c r="J854" t="s">
        <v>109</v>
      </c>
      <c r="K854">
        <v>28</v>
      </c>
      <c r="L854" t="str">
        <f t="shared" si="53"/>
        <v>2+years</v>
      </c>
      <c r="M854" t="s">
        <v>79</v>
      </c>
      <c r="N854">
        <v>1000</v>
      </c>
      <c r="O854">
        <v>5</v>
      </c>
      <c r="P854">
        <v>5000</v>
      </c>
      <c r="Q854">
        <f t="shared" si="54"/>
        <v>1000</v>
      </c>
      <c r="R854" s="13">
        <v>169.24</v>
      </c>
      <c r="S854" t="s">
        <v>23</v>
      </c>
      <c r="T854">
        <f t="shared" si="55"/>
        <v>1</v>
      </c>
      <c r="U854">
        <v>0</v>
      </c>
      <c r="V854">
        <v>0</v>
      </c>
      <c r="W854">
        <v>0</v>
      </c>
    </row>
    <row r="855" spans="1:23" x14ac:dyDescent="0.35">
      <c r="A855" s="7" t="s">
        <v>940</v>
      </c>
      <c r="B855" t="s">
        <v>941</v>
      </c>
      <c r="C855" s="1">
        <v>45682</v>
      </c>
      <c r="D855">
        <v>49</v>
      </c>
      <c r="E855" t="str">
        <f t="shared" si="52"/>
        <v>45-54</v>
      </c>
      <c r="F855" t="s">
        <v>26</v>
      </c>
      <c r="G855" t="s">
        <v>19</v>
      </c>
      <c r="H855" t="s">
        <v>28</v>
      </c>
      <c r="I855">
        <v>4</v>
      </c>
      <c r="J855" t="s">
        <v>109</v>
      </c>
      <c r="K855">
        <v>28</v>
      </c>
      <c r="L855" t="str">
        <f t="shared" si="53"/>
        <v>2+years</v>
      </c>
      <c r="M855" t="s">
        <v>55</v>
      </c>
      <c r="N855">
        <v>16000</v>
      </c>
      <c r="O855">
        <v>7</v>
      </c>
      <c r="P855">
        <v>112000</v>
      </c>
      <c r="Q855">
        <f t="shared" si="54"/>
        <v>16000</v>
      </c>
      <c r="R855" s="13">
        <v>70.25</v>
      </c>
      <c r="S855" t="s">
        <v>23</v>
      </c>
      <c r="T855">
        <f t="shared" si="55"/>
        <v>1</v>
      </c>
      <c r="U855">
        <v>0</v>
      </c>
      <c r="V855">
        <v>0</v>
      </c>
      <c r="W855">
        <v>0</v>
      </c>
    </row>
    <row r="856" spans="1:23" x14ac:dyDescent="0.35">
      <c r="A856" s="7" t="s">
        <v>940</v>
      </c>
      <c r="B856" t="s">
        <v>941</v>
      </c>
      <c r="C856" s="1">
        <v>45682</v>
      </c>
      <c r="D856">
        <v>49</v>
      </c>
      <c r="E856" t="str">
        <f t="shared" si="52"/>
        <v>45-54</v>
      </c>
      <c r="F856" t="s">
        <v>26</v>
      </c>
      <c r="G856" t="s">
        <v>33</v>
      </c>
      <c r="H856" t="s">
        <v>28</v>
      </c>
      <c r="I856">
        <v>4</v>
      </c>
      <c r="J856" t="s">
        <v>109</v>
      </c>
      <c r="K856">
        <v>28</v>
      </c>
      <c r="L856" t="str">
        <f t="shared" si="53"/>
        <v>2+years</v>
      </c>
      <c r="M856" t="s">
        <v>59</v>
      </c>
      <c r="N856">
        <v>24000</v>
      </c>
      <c r="O856">
        <v>6</v>
      </c>
      <c r="P856">
        <v>144000</v>
      </c>
      <c r="Q856">
        <f t="shared" si="54"/>
        <v>24000</v>
      </c>
      <c r="R856" s="13">
        <v>36.54</v>
      </c>
      <c r="S856" t="s">
        <v>23</v>
      </c>
      <c r="T856">
        <f t="shared" si="55"/>
        <v>1</v>
      </c>
      <c r="U856">
        <v>0</v>
      </c>
      <c r="V856">
        <v>0</v>
      </c>
      <c r="W856">
        <v>0</v>
      </c>
    </row>
    <row r="857" spans="1:23" x14ac:dyDescent="0.35">
      <c r="A857" s="7" t="s">
        <v>942</v>
      </c>
      <c r="B857" t="s">
        <v>943</v>
      </c>
      <c r="C857" s="1">
        <v>45713</v>
      </c>
      <c r="D857">
        <v>50</v>
      </c>
      <c r="E857" t="str">
        <f t="shared" si="52"/>
        <v>45-54</v>
      </c>
      <c r="F857" t="s">
        <v>75</v>
      </c>
      <c r="G857" t="s">
        <v>27</v>
      </c>
      <c r="H857" t="s">
        <v>20</v>
      </c>
      <c r="I857">
        <v>4</v>
      </c>
      <c r="J857" t="s">
        <v>109</v>
      </c>
      <c r="K857">
        <v>34</v>
      </c>
      <c r="L857" t="str">
        <f t="shared" si="53"/>
        <v>2+years</v>
      </c>
      <c r="M857" t="s">
        <v>79</v>
      </c>
      <c r="N857">
        <v>1000</v>
      </c>
      <c r="O857">
        <v>1</v>
      </c>
      <c r="P857">
        <v>1000</v>
      </c>
      <c r="Q857">
        <f t="shared" si="54"/>
        <v>1000</v>
      </c>
      <c r="R857" s="13">
        <v>177.53</v>
      </c>
      <c r="S857" t="s">
        <v>36</v>
      </c>
      <c r="T857">
        <f t="shared" si="55"/>
        <v>0</v>
      </c>
      <c r="U857">
        <v>0</v>
      </c>
      <c r="V857">
        <v>0</v>
      </c>
      <c r="W857">
        <v>0</v>
      </c>
    </row>
    <row r="858" spans="1:23" x14ac:dyDescent="0.35">
      <c r="A858" s="7" t="s">
        <v>944</v>
      </c>
      <c r="B858" t="s">
        <v>945</v>
      </c>
      <c r="C858" s="1">
        <v>45682</v>
      </c>
      <c r="D858">
        <v>31</v>
      </c>
      <c r="E858" t="str">
        <f t="shared" si="52"/>
        <v>25-34</v>
      </c>
      <c r="F858" t="s">
        <v>78</v>
      </c>
      <c r="G858" t="s">
        <v>27</v>
      </c>
      <c r="H858" t="s">
        <v>28</v>
      </c>
      <c r="I858">
        <v>3</v>
      </c>
      <c r="J858" t="s">
        <v>47</v>
      </c>
      <c r="K858">
        <v>38</v>
      </c>
      <c r="L858" t="str">
        <f t="shared" si="53"/>
        <v>2+years</v>
      </c>
      <c r="M858" t="s">
        <v>37</v>
      </c>
      <c r="N858">
        <v>500</v>
      </c>
      <c r="O858">
        <v>1</v>
      </c>
      <c r="P858">
        <v>500</v>
      </c>
      <c r="Q858">
        <f t="shared" si="54"/>
        <v>500</v>
      </c>
      <c r="R858" s="13">
        <v>119.04</v>
      </c>
      <c r="S858" t="s">
        <v>23</v>
      </c>
      <c r="T858">
        <f t="shared" si="55"/>
        <v>1</v>
      </c>
      <c r="U858">
        <v>0</v>
      </c>
      <c r="V858">
        <v>0</v>
      </c>
      <c r="W858">
        <v>0</v>
      </c>
    </row>
    <row r="859" spans="1:23" x14ac:dyDescent="0.35">
      <c r="A859" s="7" t="s">
        <v>944</v>
      </c>
      <c r="B859" t="s">
        <v>945</v>
      </c>
      <c r="C859" s="1">
        <v>45682</v>
      </c>
      <c r="D859">
        <v>31</v>
      </c>
      <c r="E859" t="str">
        <f t="shared" si="52"/>
        <v>25-34</v>
      </c>
      <c r="F859" t="s">
        <v>78</v>
      </c>
      <c r="G859" t="s">
        <v>19</v>
      </c>
      <c r="H859" t="s">
        <v>28</v>
      </c>
      <c r="I859">
        <v>3</v>
      </c>
      <c r="J859" t="s">
        <v>47</v>
      </c>
      <c r="K859">
        <v>38</v>
      </c>
      <c r="L859" t="str">
        <f t="shared" si="53"/>
        <v>2+years</v>
      </c>
      <c r="M859" t="s">
        <v>48</v>
      </c>
      <c r="N859">
        <v>9000</v>
      </c>
      <c r="O859">
        <v>20</v>
      </c>
      <c r="P859">
        <v>180000</v>
      </c>
      <c r="Q859">
        <f t="shared" si="54"/>
        <v>9000</v>
      </c>
      <c r="R859" s="13">
        <v>193.97</v>
      </c>
      <c r="S859" t="s">
        <v>23</v>
      </c>
      <c r="T859">
        <f t="shared" si="55"/>
        <v>1</v>
      </c>
      <c r="U859">
        <v>0</v>
      </c>
      <c r="V859">
        <v>0</v>
      </c>
      <c r="W859">
        <v>0</v>
      </c>
    </row>
    <row r="860" spans="1:23" x14ac:dyDescent="0.35">
      <c r="A860" s="7" t="s">
        <v>946</v>
      </c>
      <c r="B860" t="s">
        <v>947</v>
      </c>
      <c r="C860" s="1">
        <v>45682</v>
      </c>
      <c r="D860">
        <v>57</v>
      </c>
      <c r="E860" t="str">
        <f t="shared" si="52"/>
        <v>55+</v>
      </c>
      <c r="F860" t="s">
        <v>135</v>
      </c>
      <c r="G860" t="s">
        <v>38</v>
      </c>
      <c r="H860" t="s">
        <v>20</v>
      </c>
      <c r="I860">
        <v>3</v>
      </c>
      <c r="J860" t="s">
        <v>47</v>
      </c>
      <c r="K860">
        <v>56</v>
      </c>
      <c r="L860" t="str">
        <f t="shared" si="53"/>
        <v>2+years</v>
      </c>
      <c r="M860" t="s">
        <v>59</v>
      </c>
      <c r="N860">
        <v>24000</v>
      </c>
      <c r="O860">
        <v>13</v>
      </c>
      <c r="P860">
        <v>312000</v>
      </c>
      <c r="Q860">
        <f t="shared" si="54"/>
        <v>24000</v>
      </c>
      <c r="R860" s="13">
        <v>190.4</v>
      </c>
      <c r="S860" t="s">
        <v>36</v>
      </c>
      <c r="T860">
        <f t="shared" si="55"/>
        <v>0</v>
      </c>
      <c r="U860">
        <v>0</v>
      </c>
      <c r="V860">
        <v>0</v>
      </c>
      <c r="W860">
        <v>0</v>
      </c>
    </row>
    <row r="861" spans="1:23" x14ac:dyDescent="0.35">
      <c r="A861" s="7" t="s">
        <v>948</v>
      </c>
      <c r="B861" t="s">
        <v>949</v>
      </c>
      <c r="C861" s="1">
        <v>45682</v>
      </c>
      <c r="D861">
        <v>67</v>
      </c>
      <c r="E861" t="str">
        <f t="shared" si="52"/>
        <v>55+</v>
      </c>
      <c r="F861" t="s">
        <v>138</v>
      </c>
      <c r="G861" t="s">
        <v>27</v>
      </c>
      <c r="H861" t="s">
        <v>20</v>
      </c>
      <c r="I861">
        <v>1</v>
      </c>
      <c r="J861" t="s">
        <v>34</v>
      </c>
      <c r="K861">
        <v>16</v>
      </c>
      <c r="L861" t="str">
        <f t="shared" si="53"/>
        <v>1-2 years</v>
      </c>
      <c r="M861" t="s">
        <v>83</v>
      </c>
      <c r="N861">
        <v>7500</v>
      </c>
      <c r="O861">
        <v>5</v>
      </c>
      <c r="P861">
        <v>37500</v>
      </c>
      <c r="Q861">
        <f t="shared" si="54"/>
        <v>7500</v>
      </c>
      <c r="R861" s="13">
        <v>57.34</v>
      </c>
      <c r="S861" t="s">
        <v>23</v>
      </c>
      <c r="T861">
        <f t="shared" si="55"/>
        <v>1</v>
      </c>
      <c r="U861">
        <v>0</v>
      </c>
      <c r="V861">
        <v>0</v>
      </c>
      <c r="W861">
        <v>0</v>
      </c>
    </row>
    <row r="862" spans="1:23" x14ac:dyDescent="0.35">
      <c r="A862" s="7" t="s">
        <v>950</v>
      </c>
      <c r="B862" t="s">
        <v>951</v>
      </c>
      <c r="C862" s="1">
        <v>45741</v>
      </c>
      <c r="D862">
        <v>54</v>
      </c>
      <c r="E862" t="str">
        <f t="shared" si="52"/>
        <v>45-54</v>
      </c>
      <c r="F862" t="s">
        <v>86</v>
      </c>
      <c r="G862" t="s">
        <v>33</v>
      </c>
      <c r="H862" t="s">
        <v>28</v>
      </c>
      <c r="I862">
        <v>5</v>
      </c>
      <c r="J862" t="s">
        <v>52</v>
      </c>
      <c r="K862">
        <v>48</v>
      </c>
      <c r="L862" t="str">
        <f t="shared" si="53"/>
        <v>2+years</v>
      </c>
      <c r="M862" t="s">
        <v>68</v>
      </c>
      <c r="N862">
        <v>14500</v>
      </c>
      <c r="O862">
        <v>13</v>
      </c>
      <c r="P862">
        <v>188500</v>
      </c>
      <c r="Q862">
        <f t="shared" si="54"/>
        <v>14500</v>
      </c>
      <c r="R862" s="13">
        <v>98.18</v>
      </c>
      <c r="S862" t="s">
        <v>23</v>
      </c>
      <c r="T862">
        <f t="shared" si="55"/>
        <v>1</v>
      </c>
      <c r="U862">
        <v>0</v>
      </c>
      <c r="V862">
        <v>0</v>
      </c>
      <c r="W862">
        <v>0</v>
      </c>
    </row>
    <row r="863" spans="1:23" x14ac:dyDescent="0.35">
      <c r="A863" s="7" t="s">
        <v>952</v>
      </c>
      <c r="B863" t="s">
        <v>953</v>
      </c>
      <c r="C863" s="1">
        <v>45682</v>
      </c>
      <c r="D863">
        <v>50</v>
      </c>
      <c r="E863" t="str">
        <f t="shared" si="52"/>
        <v>45-54</v>
      </c>
      <c r="F863" t="s">
        <v>18</v>
      </c>
      <c r="G863" t="s">
        <v>27</v>
      </c>
      <c r="H863" t="s">
        <v>20</v>
      </c>
      <c r="I863">
        <v>3</v>
      </c>
      <c r="J863" t="s">
        <v>47</v>
      </c>
      <c r="K863">
        <v>49</v>
      </c>
      <c r="L863" t="str">
        <f t="shared" si="53"/>
        <v>2+years</v>
      </c>
      <c r="M863" t="s">
        <v>97</v>
      </c>
      <c r="N863">
        <v>900</v>
      </c>
      <c r="O863">
        <v>15</v>
      </c>
      <c r="P863">
        <v>13500</v>
      </c>
      <c r="Q863">
        <f t="shared" si="54"/>
        <v>900</v>
      </c>
      <c r="R863" s="13">
        <v>102.91</v>
      </c>
      <c r="S863" t="s">
        <v>36</v>
      </c>
      <c r="T863">
        <f t="shared" si="55"/>
        <v>0</v>
      </c>
      <c r="U863">
        <v>0</v>
      </c>
      <c r="V863">
        <v>0</v>
      </c>
      <c r="W863">
        <v>0</v>
      </c>
    </row>
    <row r="864" spans="1:23" x14ac:dyDescent="0.35">
      <c r="A864" s="7" t="s">
        <v>952</v>
      </c>
      <c r="B864" t="s">
        <v>953</v>
      </c>
      <c r="C864" s="1">
        <v>45682</v>
      </c>
      <c r="D864">
        <v>50</v>
      </c>
      <c r="E864" t="str">
        <f t="shared" si="52"/>
        <v>45-54</v>
      </c>
      <c r="F864" t="s">
        <v>18</v>
      </c>
      <c r="G864" t="s">
        <v>38</v>
      </c>
      <c r="H864" t="s">
        <v>20</v>
      </c>
      <c r="I864">
        <v>3</v>
      </c>
      <c r="J864" t="s">
        <v>47</v>
      </c>
      <c r="K864">
        <v>49</v>
      </c>
      <c r="L864" t="str">
        <f t="shared" si="53"/>
        <v>2+years</v>
      </c>
      <c r="M864" t="s">
        <v>35</v>
      </c>
      <c r="N864">
        <v>20000</v>
      </c>
      <c r="O864">
        <v>5</v>
      </c>
      <c r="P864">
        <v>100000</v>
      </c>
      <c r="Q864">
        <f t="shared" si="54"/>
        <v>20000</v>
      </c>
      <c r="R864" s="13">
        <v>129.69999999999999</v>
      </c>
      <c r="S864" t="s">
        <v>36</v>
      </c>
      <c r="T864">
        <f t="shared" si="55"/>
        <v>0</v>
      </c>
      <c r="U864">
        <v>0</v>
      </c>
      <c r="V864">
        <v>0</v>
      </c>
      <c r="W864">
        <v>0</v>
      </c>
    </row>
    <row r="865" spans="1:23" x14ac:dyDescent="0.35">
      <c r="A865" s="7" t="s">
        <v>954</v>
      </c>
      <c r="B865" t="s">
        <v>955</v>
      </c>
      <c r="C865" s="1">
        <v>45682</v>
      </c>
      <c r="D865">
        <v>26</v>
      </c>
      <c r="E865" t="str">
        <f t="shared" si="52"/>
        <v>25-34</v>
      </c>
      <c r="F865" t="s">
        <v>96</v>
      </c>
      <c r="G865" t="s">
        <v>33</v>
      </c>
      <c r="H865" t="s">
        <v>28</v>
      </c>
      <c r="I865">
        <v>4</v>
      </c>
      <c r="J865" t="s">
        <v>109</v>
      </c>
      <c r="K865">
        <v>28</v>
      </c>
      <c r="L865" t="str">
        <f t="shared" si="53"/>
        <v>2+years</v>
      </c>
      <c r="M865" t="s">
        <v>68</v>
      </c>
      <c r="N865">
        <v>14500</v>
      </c>
      <c r="O865">
        <v>10</v>
      </c>
      <c r="P865">
        <v>145000</v>
      </c>
      <c r="Q865">
        <f t="shared" si="54"/>
        <v>14500</v>
      </c>
      <c r="R865" s="13">
        <v>104.86</v>
      </c>
      <c r="S865" t="s">
        <v>36</v>
      </c>
      <c r="T865">
        <f t="shared" si="55"/>
        <v>0</v>
      </c>
      <c r="U865">
        <v>0</v>
      </c>
      <c r="V865">
        <v>0</v>
      </c>
      <c r="W865">
        <v>0</v>
      </c>
    </row>
    <row r="866" spans="1:23" x14ac:dyDescent="0.35">
      <c r="A866" s="7" t="s">
        <v>956</v>
      </c>
      <c r="B866" t="s">
        <v>957</v>
      </c>
      <c r="C866" s="1">
        <v>45682</v>
      </c>
      <c r="D866">
        <v>25</v>
      </c>
      <c r="E866" t="str">
        <f t="shared" si="52"/>
        <v>25-34</v>
      </c>
      <c r="F866" t="s">
        <v>123</v>
      </c>
      <c r="G866" t="s">
        <v>33</v>
      </c>
      <c r="H866" t="s">
        <v>20</v>
      </c>
      <c r="I866">
        <v>4</v>
      </c>
      <c r="J866" t="s">
        <v>109</v>
      </c>
      <c r="K866">
        <v>33</v>
      </c>
      <c r="L866" t="str">
        <f t="shared" si="53"/>
        <v>2+years</v>
      </c>
      <c r="M866" t="s">
        <v>35</v>
      </c>
      <c r="N866">
        <v>20000</v>
      </c>
      <c r="O866">
        <v>1</v>
      </c>
      <c r="P866">
        <v>20000</v>
      </c>
      <c r="Q866">
        <f t="shared" si="54"/>
        <v>20000</v>
      </c>
      <c r="R866" s="13">
        <v>153.85</v>
      </c>
      <c r="S866" t="s">
        <v>23</v>
      </c>
      <c r="T866">
        <f t="shared" si="55"/>
        <v>1</v>
      </c>
      <c r="U866">
        <v>0</v>
      </c>
      <c r="V866">
        <v>0</v>
      </c>
      <c r="W866">
        <v>0</v>
      </c>
    </row>
    <row r="867" spans="1:23" x14ac:dyDescent="0.35">
      <c r="A867" s="7" t="s">
        <v>956</v>
      </c>
      <c r="B867" t="s">
        <v>957</v>
      </c>
      <c r="C867" s="1">
        <v>45682</v>
      </c>
      <c r="D867">
        <v>25</v>
      </c>
      <c r="E867" t="str">
        <f t="shared" si="52"/>
        <v>25-34</v>
      </c>
      <c r="F867" t="s">
        <v>123</v>
      </c>
      <c r="G867" t="s">
        <v>19</v>
      </c>
      <c r="H867" t="s">
        <v>20</v>
      </c>
      <c r="I867">
        <v>4</v>
      </c>
      <c r="J867" t="s">
        <v>109</v>
      </c>
      <c r="K867">
        <v>33</v>
      </c>
      <c r="L867" t="str">
        <f t="shared" si="53"/>
        <v>2+years</v>
      </c>
      <c r="M867" t="s">
        <v>55</v>
      </c>
      <c r="N867">
        <v>16000</v>
      </c>
      <c r="O867">
        <v>15</v>
      </c>
      <c r="P867">
        <v>240000</v>
      </c>
      <c r="Q867">
        <f t="shared" si="54"/>
        <v>16000</v>
      </c>
      <c r="R867" s="13">
        <v>148.22999999999999</v>
      </c>
      <c r="S867" t="s">
        <v>23</v>
      </c>
      <c r="T867">
        <f t="shared" si="55"/>
        <v>1</v>
      </c>
      <c r="U867">
        <v>0</v>
      </c>
      <c r="V867">
        <v>0</v>
      </c>
      <c r="W867">
        <v>0</v>
      </c>
    </row>
    <row r="868" spans="1:23" x14ac:dyDescent="0.35">
      <c r="A868" s="7" t="s">
        <v>956</v>
      </c>
      <c r="B868" t="s">
        <v>957</v>
      </c>
      <c r="C868" s="1">
        <v>45682</v>
      </c>
      <c r="D868">
        <v>25</v>
      </c>
      <c r="E868" t="str">
        <f t="shared" si="52"/>
        <v>25-34</v>
      </c>
      <c r="F868" t="s">
        <v>123</v>
      </c>
      <c r="G868" t="s">
        <v>27</v>
      </c>
      <c r="H868" t="s">
        <v>20</v>
      </c>
      <c r="I868">
        <v>4</v>
      </c>
      <c r="J868" t="s">
        <v>109</v>
      </c>
      <c r="K868">
        <v>33</v>
      </c>
      <c r="L868" t="str">
        <f t="shared" si="53"/>
        <v>2+years</v>
      </c>
      <c r="M868" t="s">
        <v>159</v>
      </c>
      <c r="N868">
        <v>600</v>
      </c>
      <c r="O868">
        <v>13</v>
      </c>
      <c r="P868">
        <v>7800</v>
      </c>
      <c r="Q868">
        <f t="shared" si="54"/>
        <v>600</v>
      </c>
      <c r="R868" s="13">
        <v>157.34</v>
      </c>
      <c r="S868" t="s">
        <v>23</v>
      </c>
      <c r="T868">
        <f t="shared" si="55"/>
        <v>1</v>
      </c>
      <c r="U868">
        <v>0</v>
      </c>
      <c r="V868">
        <v>0</v>
      </c>
      <c r="W868">
        <v>0</v>
      </c>
    </row>
    <row r="869" spans="1:23" x14ac:dyDescent="0.35">
      <c r="A869" s="7" t="s">
        <v>958</v>
      </c>
      <c r="B869" t="s">
        <v>959</v>
      </c>
      <c r="C869" s="1">
        <v>45682</v>
      </c>
      <c r="D869">
        <v>26</v>
      </c>
      <c r="E869" t="str">
        <f t="shared" si="52"/>
        <v>25-34</v>
      </c>
      <c r="F869" t="s">
        <v>105</v>
      </c>
      <c r="G869" t="s">
        <v>33</v>
      </c>
      <c r="H869" t="s">
        <v>28</v>
      </c>
      <c r="I869">
        <v>4</v>
      </c>
      <c r="J869" t="s">
        <v>109</v>
      </c>
      <c r="K869">
        <v>21</v>
      </c>
      <c r="L869" t="str">
        <f t="shared" si="53"/>
        <v>1-2 years</v>
      </c>
      <c r="M869" t="s">
        <v>68</v>
      </c>
      <c r="N869">
        <v>14500</v>
      </c>
      <c r="O869">
        <v>20</v>
      </c>
      <c r="P869">
        <v>290000</v>
      </c>
      <c r="Q869">
        <f t="shared" si="54"/>
        <v>14500</v>
      </c>
      <c r="R869" s="13">
        <v>37.42</v>
      </c>
      <c r="S869" t="s">
        <v>36</v>
      </c>
      <c r="T869">
        <f t="shared" si="55"/>
        <v>0</v>
      </c>
      <c r="U869">
        <v>0</v>
      </c>
      <c r="V869">
        <v>0</v>
      </c>
      <c r="W869">
        <v>0</v>
      </c>
    </row>
    <row r="870" spans="1:23" x14ac:dyDescent="0.35">
      <c r="A870" s="7" t="s">
        <v>958</v>
      </c>
      <c r="B870" t="s">
        <v>959</v>
      </c>
      <c r="C870" s="1">
        <v>45682</v>
      </c>
      <c r="D870">
        <v>26</v>
      </c>
      <c r="E870" t="str">
        <f t="shared" si="52"/>
        <v>25-34</v>
      </c>
      <c r="F870" t="s">
        <v>105</v>
      </c>
      <c r="G870" t="s">
        <v>38</v>
      </c>
      <c r="H870" t="s">
        <v>28</v>
      </c>
      <c r="I870">
        <v>4</v>
      </c>
      <c r="J870" t="s">
        <v>109</v>
      </c>
      <c r="K870">
        <v>21</v>
      </c>
      <c r="L870" t="str">
        <f t="shared" si="53"/>
        <v>1-2 years</v>
      </c>
      <c r="M870" t="s">
        <v>62</v>
      </c>
      <c r="N870">
        <v>30000</v>
      </c>
      <c r="O870">
        <v>4</v>
      </c>
      <c r="P870">
        <v>120000</v>
      </c>
      <c r="Q870">
        <f t="shared" si="54"/>
        <v>30000</v>
      </c>
      <c r="R870" s="13">
        <v>174.39</v>
      </c>
      <c r="S870" t="s">
        <v>36</v>
      </c>
      <c r="T870">
        <f t="shared" si="55"/>
        <v>0</v>
      </c>
      <c r="U870">
        <v>0</v>
      </c>
      <c r="V870">
        <v>0</v>
      </c>
      <c r="W870">
        <v>0</v>
      </c>
    </row>
    <row r="871" spans="1:23" x14ac:dyDescent="0.35">
      <c r="A871" s="7" t="s">
        <v>960</v>
      </c>
      <c r="B871" t="s">
        <v>961</v>
      </c>
      <c r="C871" s="1">
        <v>45682</v>
      </c>
      <c r="D871">
        <v>18</v>
      </c>
      <c r="E871" t="str">
        <f t="shared" si="52"/>
        <v>Under25</v>
      </c>
      <c r="F871" t="s">
        <v>444</v>
      </c>
      <c r="G871" t="s">
        <v>27</v>
      </c>
      <c r="H871" t="s">
        <v>28</v>
      </c>
      <c r="I871">
        <v>2</v>
      </c>
      <c r="J871" t="s">
        <v>21</v>
      </c>
      <c r="K871">
        <v>8</v>
      </c>
      <c r="L871" t="str">
        <f t="shared" si="53"/>
        <v>6-12 months</v>
      </c>
      <c r="M871" t="s">
        <v>187</v>
      </c>
      <c r="N871">
        <v>6500</v>
      </c>
      <c r="O871">
        <v>20</v>
      </c>
      <c r="P871">
        <v>130000</v>
      </c>
      <c r="Q871">
        <f t="shared" si="54"/>
        <v>6500</v>
      </c>
      <c r="R871" s="13">
        <v>60.91</v>
      </c>
      <c r="S871" t="s">
        <v>36</v>
      </c>
      <c r="T871">
        <f t="shared" si="55"/>
        <v>0</v>
      </c>
      <c r="U871">
        <v>0</v>
      </c>
      <c r="V871">
        <v>0</v>
      </c>
      <c r="W871">
        <v>0</v>
      </c>
    </row>
    <row r="872" spans="1:23" x14ac:dyDescent="0.35">
      <c r="A872" s="7" t="s">
        <v>962</v>
      </c>
      <c r="B872" t="s">
        <v>963</v>
      </c>
      <c r="C872" s="1">
        <v>45713</v>
      </c>
      <c r="D872">
        <v>66</v>
      </c>
      <c r="E872" t="str">
        <f t="shared" si="52"/>
        <v>55+</v>
      </c>
      <c r="F872" t="s">
        <v>144</v>
      </c>
      <c r="G872" t="s">
        <v>19</v>
      </c>
      <c r="H872" t="s">
        <v>20</v>
      </c>
      <c r="I872">
        <v>1</v>
      </c>
      <c r="J872" t="s">
        <v>34</v>
      </c>
      <c r="K872">
        <v>9</v>
      </c>
      <c r="L872" t="str">
        <f t="shared" si="53"/>
        <v>6-12 months</v>
      </c>
      <c r="M872" t="s">
        <v>55</v>
      </c>
      <c r="N872">
        <v>16000</v>
      </c>
      <c r="O872">
        <v>5</v>
      </c>
      <c r="P872">
        <v>80000</v>
      </c>
      <c r="Q872">
        <f t="shared" si="54"/>
        <v>16000</v>
      </c>
      <c r="R872" s="13">
        <v>42.24</v>
      </c>
      <c r="S872" t="s">
        <v>23</v>
      </c>
      <c r="T872">
        <f t="shared" si="55"/>
        <v>1</v>
      </c>
      <c r="U872">
        <v>0</v>
      </c>
      <c r="V872">
        <v>0</v>
      </c>
      <c r="W872">
        <v>0</v>
      </c>
    </row>
    <row r="873" spans="1:23" x14ac:dyDescent="0.35">
      <c r="A873" s="7" t="s">
        <v>964</v>
      </c>
      <c r="B873" t="s">
        <v>965</v>
      </c>
      <c r="C873" s="1">
        <v>45741</v>
      </c>
      <c r="D873">
        <v>71</v>
      </c>
      <c r="E873" t="str">
        <f t="shared" si="52"/>
        <v>55+</v>
      </c>
      <c r="F873" t="s">
        <v>82</v>
      </c>
      <c r="G873" t="s">
        <v>38</v>
      </c>
      <c r="H873" t="s">
        <v>20</v>
      </c>
      <c r="I873">
        <v>4</v>
      </c>
      <c r="J873" t="s">
        <v>109</v>
      </c>
      <c r="K873">
        <v>6</v>
      </c>
      <c r="L873" t="str">
        <f t="shared" si="53"/>
        <v>6-12 months</v>
      </c>
      <c r="M873" t="s">
        <v>35</v>
      </c>
      <c r="N873">
        <v>20000</v>
      </c>
      <c r="O873">
        <v>15</v>
      </c>
      <c r="P873">
        <v>300000</v>
      </c>
      <c r="Q873">
        <f t="shared" si="54"/>
        <v>20000</v>
      </c>
      <c r="R873" s="13">
        <v>180.53</v>
      </c>
      <c r="S873" t="s">
        <v>23</v>
      </c>
      <c r="T873">
        <f t="shared" si="55"/>
        <v>1</v>
      </c>
      <c r="U873">
        <v>0</v>
      </c>
      <c r="V873">
        <v>0</v>
      </c>
      <c r="W873">
        <v>0</v>
      </c>
    </row>
    <row r="874" spans="1:23" x14ac:dyDescent="0.35">
      <c r="A874" s="7" t="s">
        <v>966</v>
      </c>
      <c r="B874" t="s">
        <v>967</v>
      </c>
      <c r="C874" s="1">
        <v>45713</v>
      </c>
      <c r="D874">
        <v>76</v>
      </c>
      <c r="E874" t="str">
        <f t="shared" si="52"/>
        <v>55+</v>
      </c>
      <c r="F874" t="s">
        <v>113</v>
      </c>
      <c r="G874" t="s">
        <v>38</v>
      </c>
      <c r="H874" t="s">
        <v>28</v>
      </c>
      <c r="I874">
        <v>2</v>
      </c>
      <c r="J874" t="s">
        <v>21</v>
      </c>
      <c r="K874">
        <v>38</v>
      </c>
      <c r="L874" t="str">
        <f t="shared" si="53"/>
        <v>2+years</v>
      </c>
      <c r="M874" t="s">
        <v>39</v>
      </c>
      <c r="N874">
        <v>9000</v>
      </c>
      <c r="O874">
        <v>14</v>
      </c>
      <c r="P874">
        <v>126000</v>
      </c>
      <c r="Q874">
        <f t="shared" si="54"/>
        <v>9000</v>
      </c>
      <c r="R874" s="13">
        <v>20.98</v>
      </c>
      <c r="S874" t="s">
        <v>23</v>
      </c>
      <c r="T874">
        <f t="shared" si="55"/>
        <v>1</v>
      </c>
      <c r="U874">
        <v>0</v>
      </c>
      <c r="V874">
        <v>0</v>
      </c>
      <c r="W874">
        <v>0</v>
      </c>
    </row>
    <row r="875" spans="1:23" x14ac:dyDescent="0.35">
      <c r="A875" s="7" t="s">
        <v>966</v>
      </c>
      <c r="B875" t="s">
        <v>967</v>
      </c>
      <c r="C875" s="1">
        <v>45713</v>
      </c>
      <c r="D875">
        <v>76</v>
      </c>
      <c r="E875" t="str">
        <f t="shared" si="52"/>
        <v>55+</v>
      </c>
      <c r="F875" t="s">
        <v>113</v>
      </c>
      <c r="G875" t="s">
        <v>19</v>
      </c>
      <c r="H875" t="s">
        <v>28</v>
      </c>
      <c r="I875">
        <v>2</v>
      </c>
      <c r="J875" t="s">
        <v>21</v>
      </c>
      <c r="K875">
        <v>38</v>
      </c>
      <c r="L875" t="str">
        <f t="shared" si="53"/>
        <v>2+years</v>
      </c>
      <c r="M875" t="s">
        <v>22</v>
      </c>
      <c r="N875">
        <v>35000</v>
      </c>
      <c r="O875">
        <v>19</v>
      </c>
      <c r="P875">
        <v>665000</v>
      </c>
      <c r="Q875">
        <f t="shared" si="54"/>
        <v>35000</v>
      </c>
      <c r="R875" s="13">
        <v>169.8</v>
      </c>
      <c r="S875" t="s">
        <v>23</v>
      </c>
      <c r="T875">
        <f t="shared" si="55"/>
        <v>1</v>
      </c>
      <c r="U875">
        <v>0</v>
      </c>
      <c r="V875">
        <v>0</v>
      </c>
      <c r="W875">
        <v>0</v>
      </c>
    </row>
    <row r="876" spans="1:23" x14ac:dyDescent="0.35">
      <c r="A876" s="7" t="s">
        <v>968</v>
      </c>
      <c r="B876" t="s">
        <v>969</v>
      </c>
      <c r="C876" s="1">
        <v>45682</v>
      </c>
      <c r="D876">
        <v>20</v>
      </c>
      <c r="E876" t="str">
        <f t="shared" si="52"/>
        <v>Under25</v>
      </c>
      <c r="F876" t="s">
        <v>86</v>
      </c>
      <c r="G876" t="s">
        <v>38</v>
      </c>
      <c r="H876" t="s">
        <v>28</v>
      </c>
      <c r="I876">
        <v>2</v>
      </c>
      <c r="J876" t="s">
        <v>21</v>
      </c>
      <c r="K876">
        <v>32</v>
      </c>
      <c r="L876" t="str">
        <f t="shared" si="53"/>
        <v>2+years</v>
      </c>
      <c r="M876" t="s">
        <v>59</v>
      </c>
      <c r="N876">
        <v>24000</v>
      </c>
      <c r="O876">
        <v>14</v>
      </c>
      <c r="P876">
        <v>336000</v>
      </c>
      <c r="Q876">
        <f t="shared" si="54"/>
        <v>24000</v>
      </c>
      <c r="R876" s="13">
        <v>13.17</v>
      </c>
      <c r="S876" t="s">
        <v>36</v>
      </c>
      <c r="T876">
        <f t="shared" si="55"/>
        <v>0</v>
      </c>
      <c r="U876">
        <v>0</v>
      </c>
      <c r="V876">
        <v>0</v>
      </c>
      <c r="W876">
        <v>0</v>
      </c>
    </row>
    <row r="877" spans="1:23" x14ac:dyDescent="0.35">
      <c r="A877" s="7" t="s">
        <v>968</v>
      </c>
      <c r="B877" t="s">
        <v>969</v>
      </c>
      <c r="C877" s="1">
        <v>45682</v>
      </c>
      <c r="D877">
        <v>20</v>
      </c>
      <c r="E877" t="str">
        <f t="shared" si="52"/>
        <v>Under25</v>
      </c>
      <c r="F877" t="s">
        <v>86</v>
      </c>
      <c r="G877" t="s">
        <v>19</v>
      </c>
      <c r="H877" t="s">
        <v>28</v>
      </c>
      <c r="I877">
        <v>2</v>
      </c>
      <c r="J877" t="s">
        <v>21</v>
      </c>
      <c r="K877">
        <v>32</v>
      </c>
      <c r="L877" t="str">
        <f t="shared" si="53"/>
        <v>2+years</v>
      </c>
      <c r="M877" t="s">
        <v>22</v>
      </c>
      <c r="N877">
        <v>35000</v>
      </c>
      <c r="O877">
        <v>20</v>
      </c>
      <c r="P877">
        <v>700000</v>
      </c>
      <c r="Q877">
        <f t="shared" si="54"/>
        <v>35000</v>
      </c>
      <c r="R877" s="13">
        <v>23.83</v>
      </c>
      <c r="S877" t="s">
        <v>36</v>
      </c>
      <c r="T877">
        <f t="shared" si="55"/>
        <v>0</v>
      </c>
      <c r="U877">
        <v>0</v>
      </c>
      <c r="V877">
        <v>0</v>
      </c>
      <c r="W877">
        <v>0</v>
      </c>
    </row>
    <row r="878" spans="1:23" x14ac:dyDescent="0.35">
      <c r="A878" s="7" t="s">
        <v>968</v>
      </c>
      <c r="B878" t="s">
        <v>969</v>
      </c>
      <c r="C878" s="1">
        <v>45682</v>
      </c>
      <c r="D878">
        <v>20</v>
      </c>
      <c r="E878" t="str">
        <f t="shared" si="52"/>
        <v>Under25</v>
      </c>
      <c r="F878" t="s">
        <v>86</v>
      </c>
      <c r="G878" t="s">
        <v>33</v>
      </c>
      <c r="H878" t="s">
        <v>28</v>
      </c>
      <c r="I878">
        <v>2</v>
      </c>
      <c r="J878" t="s">
        <v>21</v>
      </c>
      <c r="K878">
        <v>32</v>
      </c>
      <c r="L878" t="str">
        <f t="shared" si="53"/>
        <v>2+years</v>
      </c>
      <c r="M878" t="s">
        <v>110</v>
      </c>
      <c r="N878">
        <v>25000</v>
      </c>
      <c r="O878">
        <v>14</v>
      </c>
      <c r="P878">
        <v>350000</v>
      </c>
      <c r="Q878">
        <f t="shared" si="54"/>
        <v>25000</v>
      </c>
      <c r="R878" s="13">
        <v>89.94</v>
      </c>
      <c r="S878" t="s">
        <v>36</v>
      </c>
      <c r="T878">
        <f t="shared" si="55"/>
        <v>0</v>
      </c>
      <c r="U878">
        <v>0</v>
      </c>
      <c r="V878">
        <v>0</v>
      </c>
      <c r="W878">
        <v>0</v>
      </c>
    </row>
    <row r="879" spans="1:23" x14ac:dyDescent="0.35">
      <c r="A879" s="7" t="s">
        <v>970</v>
      </c>
      <c r="B879" t="s">
        <v>971</v>
      </c>
      <c r="C879" s="1">
        <v>45741</v>
      </c>
      <c r="D879">
        <v>36</v>
      </c>
      <c r="E879" t="str">
        <f t="shared" si="52"/>
        <v>35-44</v>
      </c>
      <c r="F879" t="s">
        <v>96</v>
      </c>
      <c r="G879" t="s">
        <v>33</v>
      </c>
      <c r="H879" t="s">
        <v>20</v>
      </c>
      <c r="I879">
        <v>4</v>
      </c>
      <c r="J879" t="s">
        <v>109</v>
      </c>
      <c r="K879">
        <v>31</v>
      </c>
      <c r="L879" t="str">
        <f t="shared" si="53"/>
        <v>2+years</v>
      </c>
      <c r="M879" t="s">
        <v>62</v>
      </c>
      <c r="N879">
        <v>30000</v>
      </c>
      <c r="O879">
        <v>13</v>
      </c>
      <c r="P879">
        <v>390000</v>
      </c>
      <c r="Q879">
        <f t="shared" si="54"/>
        <v>30000</v>
      </c>
      <c r="R879" s="13">
        <v>176.69</v>
      </c>
      <c r="S879" t="s">
        <v>23</v>
      </c>
      <c r="T879">
        <f t="shared" si="55"/>
        <v>1</v>
      </c>
      <c r="U879">
        <v>0</v>
      </c>
      <c r="V879">
        <v>0</v>
      </c>
      <c r="W879">
        <v>0</v>
      </c>
    </row>
    <row r="880" spans="1:23" x14ac:dyDescent="0.35">
      <c r="A880" s="7" t="s">
        <v>970</v>
      </c>
      <c r="B880" t="s">
        <v>971</v>
      </c>
      <c r="C880" s="1">
        <v>45741</v>
      </c>
      <c r="D880">
        <v>36</v>
      </c>
      <c r="E880" t="str">
        <f t="shared" si="52"/>
        <v>35-44</v>
      </c>
      <c r="F880" t="s">
        <v>96</v>
      </c>
      <c r="G880" t="s">
        <v>27</v>
      </c>
      <c r="H880" t="s">
        <v>20</v>
      </c>
      <c r="I880">
        <v>4</v>
      </c>
      <c r="J880" t="s">
        <v>109</v>
      </c>
      <c r="K880">
        <v>31</v>
      </c>
      <c r="L880" t="str">
        <f t="shared" si="53"/>
        <v>2+years</v>
      </c>
      <c r="M880" t="s">
        <v>83</v>
      </c>
      <c r="N880">
        <v>7500</v>
      </c>
      <c r="O880">
        <v>12</v>
      </c>
      <c r="P880">
        <v>90000</v>
      </c>
      <c r="Q880">
        <f t="shared" si="54"/>
        <v>7500</v>
      </c>
      <c r="R880" s="13">
        <v>166.7</v>
      </c>
      <c r="S880" t="s">
        <v>23</v>
      </c>
      <c r="T880">
        <f t="shared" si="55"/>
        <v>1</v>
      </c>
      <c r="U880">
        <v>0</v>
      </c>
      <c r="V880">
        <v>0</v>
      </c>
      <c r="W880">
        <v>0</v>
      </c>
    </row>
    <row r="881" spans="1:23" x14ac:dyDescent="0.35">
      <c r="A881" s="7" t="s">
        <v>970</v>
      </c>
      <c r="B881" t="s">
        <v>971</v>
      </c>
      <c r="C881" s="1">
        <v>45741</v>
      </c>
      <c r="D881">
        <v>36</v>
      </c>
      <c r="E881" t="str">
        <f t="shared" si="52"/>
        <v>35-44</v>
      </c>
      <c r="F881" t="s">
        <v>96</v>
      </c>
      <c r="G881" t="s">
        <v>19</v>
      </c>
      <c r="H881" t="s">
        <v>20</v>
      </c>
      <c r="I881">
        <v>4</v>
      </c>
      <c r="J881" t="s">
        <v>109</v>
      </c>
      <c r="K881">
        <v>31</v>
      </c>
      <c r="L881" t="str">
        <f t="shared" si="53"/>
        <v>2+years</v>
      </c>
      <c r="M881" t="s">
        <v>22</v>
      </c>
      <c r="N881">
        <v>35000</v>
      </c>
      <c r="O881">
        <v>6</v>
      </c>
      <c r="P881">
        <v>210000</v>
      </c>
      <c r="Q881">
        <f t="shared" si="54"/>
        <v>35000</v>
      </c>
      <c r="R881" s="13">
        <v>160.05000000000001</v>
      </c>
      <c r="S881" t="s">
        <v>23</v>
      </c>
      <c r="T881">
        <f t="shared" si="55"/>
        <v>1</v>
      </c>
      <c r="U881">
        <v>0</v>
      </c>
      <c r="V881">
        <v>0</v>
      </c>
      <c r="W881">
        <v>0</v>
      </c>
    </row>
    <row r="882" spans="1:23" x14ac:dyDescent="0.35">
      <c r="A882" s="7" t="s">
        <v>972</v>
      </c>
      <c r="B882" t="s">
        <v>973</v>
      </c>
      <c r="C882" s="1">
        <v>45713</v>
      </c>
      <c r="D882">
        <v>52</v>
      </c>
      <c r="E882" t="str">
        <f t="shared" si="52"/>
        <v>45-54</v>
      </c>
      <c r="F882" t="s">
        <v>291</v>
      </c>
      <c r="G882" t="s">
        <v>27</v>
      </c>
      <c r="H882" t="s">
        <v>28</v>
      </c>
      <c r="I882">
        <v>2</v>
      </c>
      <c r="J882" t="s">
        <v>21</v>
      </c>
      <c r="K882">
        <v>9</v>
      </c>
      <c r="L882" t="str">
        <f t="shared" si="53"/>
        <v>6-12 months</v>
      </c>
      <c r="M882" t="s">
        <v>29</v>
      </c>
      <c r="N882">
        <v>5500</v>
      </c>
      <c r="O882">
        <v>7</v>
      </c>
      <c r="P882">
        <v>38500</v>
      </c>
      <c r="Q882">
        <f t="shared" si="54"/>
        <v>5500</v>
      </c>
      <c r="R882" s="13">
        <v>61.08</v>
      </c>
      <c r="S882" t="s">
        <v>23</v>
      </c>
      <c r="T882">
        <f t="shared" si="55"/>
        <v>1</v>
      </c>
      <c r="U882">
        <v>0</v>
      </c>
      <c r="V882">
        <v>0</v>
      </c>
      <c r="W882">
        <v>0</v>
      </c>
    </row>
    <row r="883" spans="1:23" x14ac:dyDescent="0.35">
      <c r="A883" s="7" t="s">
        <v>974</v>
      </c>
      <c r="B883" t="s">
        <v>975</v>
      </c>
      <c r="C883" s="1">
        <v>45713</v>
      </c>
      <c r="D883">
        <v>18</v>
      </c>
      <c r="E883" t="str">
        <f t="shared" si="52"/>
        <v>Under25</v>
      </c>
      <c r="F883" t="s">
        <v>147</v>
      </c>
      <c r="G883" t="s">
        <v>27</v>
      </c>
      <c r="H883" t="s">
        <v>28</v>
      </c>
      <c r="I883">
        <v>2</v>
      </c>
      <c r="J883" t="s">
        <v>21</v>
      </c>
      <c r="K883">
        <v>23</v>
      </c>
      <c r="L883" t="str">
        <f t="shared" si="53"/>
        <v>1-2 years</v>
      </c>
      <c r="M883" t="s">
        <v>29</v>
      </c>
      <c r="N883">
        <v>5500</v>
      </c>
      <c r="O883">
        <v>8</v>
      </c>
      <c r="P883">
        <v>44000</v>
      </c>
      <c r="Q883">
        <f t="shared" si="54"/>
        <v>5500</v>
      </c>
      <c r="R883" s="13">
        <v>23.24</v>
      </c>
      <c r="S883" t="s">
        <v>36</v>
      </c>
      <c r="T883">
        <f t="shared" si="55"/>
        <v>0</v>
      </c>
      <c r="U883">
        <v>0</v>
      </c>
      <c r="V883">
        <v>0</v>
      </c>
      <c r="W883">
        <v>0</v>
      </c>
    </row>
    <row r="884" spans="1:23" x14ac:dyDescent="0.35">
      <c r="A884" s="7" t="s">
        <v>974</v>
      </c>
      <c r="B884" t="s">
        <v>975</v>
      </c>
      <c r="C884" s="1">
        <v>45713</v>
      </c>
      <c r="D884">
        <v>18</v>
      </c>
      <c r="E884" t="str">
        <f t="shared" si="52"/>
        <v>Under25</v>
      </c>
      <c r="F884" t="s">
        <v>147</v>
      </c>
      <c r="G884" t="s">
        <v>19</v>
      </c>
      <c r="H884" t="s">
        <v>28</v>
      </c>
      <c r="I884">
        <v>2</v>
      </c>
      <c r="J884" t="s">
        <v>21</v>
      </c>
      <c r="K884">
        <v>23</v>
      </c>
      <c r="L884" t="str">
        <f t="shared" si="53"/>
        <v>1-2 years</v>
      </c>
      <c r="M884" t="s">
        <v>43</v>
      </c>
      <c r="N884">
        <v>4500</v>
      </c>
      <c r="O884">
        <v>16</v>
      </c>
      <c r="P884">
        <v>72000</v>
      </c>
      <c r="Q884">
        <f t="shared" si="54"/>
        <v>4500</v>
      </c>
      <c r="R884" s="13">
        <v>112.62</v>
      </c>
      <c r="S884" t="s">
        <v>36</v>
      </c>
      <c r="T884">
        <f t="shared" si="55"/>
        <v>0</v>
      </c>
      <c r="U884">
        <v>0</v>
      </c>
      <c r="V884">
        <v>0</v>
      </c>
      <c r="W884">
        <v>0</v>
      </c>
    </row>
    <row r="885" spans="1:23" x14ac:dyDescent="0.35">
      <c r="A885" s="7" t="s">
        <v>976</v>
      </c>
      <c r="B885" t="s">
        <v>977</v>
      </c>
      <c r="C885" s="1">
        <v>45741</v>
      </c>
      <c r="D885">
        <v>59</v>
      </c>
      <c r="E885" t="str">
        <f t="shared" si="52"/>
        <v>55+</v>
      </c>
      <c r="F885" t="s">
        <v>147</v>
      </c>
      <c r="G885" t="s">
        <v>38</v>
      </c>
      <c r="H885" t="s">
        <v>20</v>
      </c>
      <c r="I885">
        <v>2</v>
      </c>
      <c r="J885" t="s">
        <v>21</v>
      </c>
      <c r="K885">
        <v>50</v>
      </c>
      <c r="L885" t="str">
        <f t="shared" si="53"/>
        <v>2+years</v>
      </c>
      <c r="M885" t="s">
        <v>68</v>
      </c>
      <c r="N885">
        <v>14500</v>
      </c>
      <c r="O885">
        <v>4</v>
      </c>
      <c r="P885">
        <v>58000</v>
      </c>
      <c r="Q885">
        <f t="shared" si="54"/>
        <v>14500</v>
      </c>
      <c r="R885" s="13">
        <v>159.9</v>
      </c>
      <c r="S885" t="s">
        <v>36</v>
      </c>
      <c r="T885">
        <f t="shared" si="55"/>
        <v>0</v>
      </c>
      <c r="U885">
        <v>0</v>
      </c>
      <c r="V885">
        <v>0</v>
      </c>
      <c r="W885">
        <v>0</v>
      </c>
    </row>
    <row r="886" spans="1:23" x14ac:dyDescent="0.35">
      <c r="A886" s="7" t="s">
        <v>976</v>
      </c>
      <c r="B886" t="s">
        <v>977</v>
      </c>
      <c r="C886" s="1">
        <v>45741</v>
      </c>
      <c r="D886">
        <v>59</v>
      </c>
      <c r="E886" t="str">
        <f t="shared" si="52"/>
        <v>55+</v>
      </c>
      <c r="F886" t="s">
        <v>147</v>
      </c>
      <c r="G886" t="s">
        <v>33</v>
      </c>
      <c r="H886" t="s">
        <v>20</v>
      </c>
      <c r="I886">
        <v>2</v>
      </c>
      <c r="J886" t="s">
        <v>21</v>
      </c>
      <c r="K886">
        <v>50</v>
      </c>
      <c r="L886" t="str">
        <f t="shared" si="53"/>
        <v>2+years</v>
      </c>
      <c r="M886" t="s">
        <v>35</v>
      </c>
      <c r="N886">
        <v>20000</v>
      </c>
      <c r="O886">
        <v>20</v>
      </c>
      <c r="P886">
        <v>400000</v>
      </c>
      <c r="Q886">
        <f t="shared" si="54"/>
        <v>20000</v>
      </c>
      <c r="R886" s="13">
        <v>156.44</v>
      </c>
      <c r="S886" t="s">
        <v>36</v>
      </c>
      <c r="T886">
        <f t="shared" si="55"/>
        <v>0</v>
      </c>
      <c r="U886">
        <v>0</v>
      </c>
      <c r="V886">
        <v>0</v>
      </c>
      <c r="W886">
        <v>0</v>
      </c>
    </row>
    <row r="887" spans="1:23" x14ac:dyDescent="0.35">
      <c r="A887" s="7" t="s">
        <v>976</v>
      </c>
      <c r="B887" t="s">
        <v>977</v>
      </c>
      <c r="C887" s="1">
        <v>45741</v>
      </c>
      <c r="D887">
        <v>59</v>
      </c>
      <c r="E887" t="str">
        <f t="shared" si="52"/>
        <v>55+</v>
      </c>
      <c r="F887" t="s">
        <v>147</v>
      </c>
      <c r="G887" t="s">
        <v>27</v>
      </c>
      <c r="H887" t="s">
        <v>20</v>
      </c>
      <c r="I887">
        <v>2</v>
      </c>
      <c r="J887" t="s">
        <v>21</v>
      </c>
      <c r="K887">
        <v>50</v>
      </c>
      <c r="L887" t="str">
        <f t="shared" si="53"/>
        <v>2+years</v>
      </c>
      <c r="M887" t="s">
        <v>79</v>
      </c>
      <c r="N887">
        <v>1000</v>
      </c>
      <c r="O887">
        <v>2</v>
      </c>
      <c r="P887">
        <v>2000</v>
      </c>
      <c r="Q887">
        <f t="shared" si="54"/>
        <v>1000</v>
      </c>
      <c r="R887" s="13">
        <v>164.81</v>
      </c>
      <c r="S887" t="s">
        <v>36</v>
      </c>
      <c r="T887">
        <f t="shared" si="55"/>
        <v>0</v>
      </c>
      <c r="U887">
        <v>0</v>
      </c>
      <c r="V887">
        <v>0</v>
      </c>
      <c r="W887">
        <v>0</v>
      </c>
    </row>
    <row r="888" spans="1:23" x14ac:dyDescent="0.35">
      <c r="A888" s="7" t="s">
        <v>978</v>
      </c>
      <c r="B888" t="s">
        <v>979</v>
      </c>
      <c r="C888" s="1">
        <v>45713</v>
      </c>
      <c r="D888">
        <v>29</v>
      </c>
      <c r="E888" t="str">
        <f t="shared" si="52"/>
        <v>25-34</v>
      </c>
      <c r="F888" t="s">
        <v>26</v>
      </c>
      <c r="G888" t="s">
        <v>27</v>
      </c>
      <c r="H888" t="s">
        <v>20</v>
      </c>
      <c r="I888">
        <v>3</v>
      </c>
      <c r="J888" t="s">
        <v>47</v>
      </c>
      <c r="K888">
        <v>56</v>
      </c>
      <c r="L888" t="str">
        <f t="shared" si="53"/>
        <v>2+years</v>
      </c>
      <c r="M888" t="s">
        <v>79</v>
      </c>
      <c r="N888">
        <v>1000</v>
      </c>
      <c r="O888">
        <v>12</v>
      </c>
      <c r="P888">
        <v>12000</v>
      </c>
      <c r="Q888">
        <f t="shared" si="54"/>
        <v>1000</v>
      </c>
      <c r="R888" s="13">
        <v>31.28</v>
      </c>
      <c r="S888" t="s">
        <v>23</v>
      </c>
      <c r="T888">
        <f t="shared" si="55"/>
        <v>1</v>
      </c>
      <c r="U888">
        <v>0</v>
      </c>
      <c r="V888">
        <v>0</v>
      </c>
      <c r="W888">
        <v>0</v>
      </c>
    </row>
    <row r="889" spans="1:23" x14ac:dyDescent="0.35">
      <c r="A889" s="7" t="s">
        <v>978</v>
      </c>
      <c r="B889" t="s">
        <v>979</v>
      </c>
      <c r="C889" s="1">
        <v>45713</v>
      </c>
      <c r="D889">
        <v>29</v>
      </c>
      <c r="E889" t="str">
        <f t="shared" si="52"/>
        <v>25-34</v>
      </c>
      <c r="F889" t="s">
        <v>26</v>
      </c>
      <c r="G889" t="s">
        <v>33</v>
      </c>
      <c r="H889" t="s">
        <v>20</v>
      </c>
      <c r="I889">
        <v>3</v>
      </c>
      <c r="J889" t="s">
        <v>47</v>
      </c>
      <c r="K889">
        <v>56</v>
      </c>
      <c r="L889" t="str">
        <f t="shared" si="53"/>
        <v>2+years</v>
      </c>
      <c r="M889" t="s">
        <v>110</v>
      </c>
      <c r="N889">
        <v>25000</v>
      </c>
      <c r="O889">
        <v>4</v>
      </c>
      <c r="P889">
        <v>100000</v>
      </c>
      <c r="Q889">
        <f t="shared" si="54"/>
        <v>25000</v>
      </c>
      <c r="R889" s="13">
        <v>163.92</v>
      </c>
      <c r="S889" t="s">
        <v>23</v>
      </c>
      <c r="T889">
        <f t="shared" si="55"/>
        <v>1</v>
      </c>
      <c r="U889">
        <v>0</v>
      </c>
      <c r="V889">
        <v>0</v>
      </c>
      <c r="W889">
        <v>0</v>
      </c>
    </row>
    <row r="890" spans="1:23" x14ac:dyDescent="0.35">
      <c r="A890" s="7" t="s">
        <v>978</v>
      </c>
      <c r="B890" t="s">
        <v>979</v>
      </c>
      <c r="C890" s="1">
        <v>45713</v>
      </c>
      <c r="D890">
        <v>29</v>
      </c>
      <c r="E890" t="str">
        <f t="shared" si="52"/>
        <v>25-34</v>
      </c>
      <c r="F890" t="s">
        <v>26</v>
      </c>
      <c r="G890" t="s">
        <v>19</v>
      </c>
      <c r="H890" t="s">
        <v>20</v>
      </c>
      <c r="I890">
        <v>3</v>
      </c>
      <c r="J890" t="s">
        <v>47</v>
      </c>
      <c r="K890">
        <v>56</v>
      </c>
      <c r="L890" t="str">
        <f t="shared" si="53"/>
        <v>2+years</v>
      </c>
      <c r="M890" t="s">
        <v>43</v>
      </c>
      <c r="N890">
        <v>4500</v>
      </c>
      <c r="O890">
        <v>14</v>
      </c>
      <c r="P890">
        <v>63000</v>
      </c>
      <c r="Q890">
        <f t="shared" si="54"/>
        <v>4500</v>
      </c>
      <c r="R890" s="13">
        <v>88.1</v>
      </c>
      <c r="S890" t="s">
        <v>23</v>
      </c>
      <c r="T890">
        <f t="shared" si="55"/>
        <v>1</v>
      </c>
      <c r="U890">
        <v>0</v>
      </c>
      <c r="V890">
        <v>0</v>
      </c>
      <c r="W890">
        <v>0</v>
      </c>
    </row>
    <row r="891" spans="1:23" x14ac:dyDescent="0.35">
      <c r="A891" s="7" t="s">
        <v>980</v>
      </c>
      <c r="B891" t="s">
        <v>981</v>
      </c>
      <c r="C891" s="1">
        <v>45713</v>
      </c>
      <c r="D891">
        <v>47</v>
      </c>
      <c r="E891" t="str">
        <f t="shared" si="52"/>
        <v>45-54</v>
      </c>
      <c r="F891" t="s">
        <v>207</v>
      </c>
      <c r="G891" t="s">
        <v>33</v>
      </c>
      <c r="H891" t="s">
        <v>28</v>
      </c>
      <c r="I891">
        <v>1</v>
      </c>
      <c r="J891" t="s">
        <v>34</v>
      </c>
      <c r="K891">
        <v>19</v>
      </c>
      <c r="L891" t="str">
        <f t="shared" si="53"/>
        <v>1-2 years</v>
      </c>
      <c r="M891" t="s">
        <v>68</v>
      </c>
      <c r="N891">
        <v>14500</v>
      </c>
      <c r="O891">
        <v>17</v>
      </c>
      <c r="P891">
        <v>246500</v>
      </c>
      <c r="Q891">
        <f t="shared" si="54"/>
        <v>14500</v>
      </c>
      <c r="R891" s="13">
        <v>30.75</v>
      </c>
      <c r="S891" t="s">
        <v>23</v>
      </c>
      <c r="T891">
        <f t="shared" si="55"/>
        <v>1</v>
      </c>
      <c r="U891">
        <v>0</v>
      </c>
      <c r="V891">
        <v>0</v>
      </c>
      <c r="W891">
        <v>0</v>
      </c>
    </row>
    <row r="892" spans="1:23" x14ac:dyDescent="0.35">
      <c r="A892" s="7" t="s">
        <v>980</v>
      </c>
      <c r="B892" t="s">
        <v>981</v>
      </c>
      <c r="C892" s="1">
        <v>45713</v>
      </c>
      <c r="D892">
        <v>47</v>
      </c>
      <c r="E892" t="str">
        <f t="shared" si="52"/>
        <v>45-54</v>
      </c>
      <c r="F892" t="s">
        <v>207</v>
      </c>
      <c r="G892" t="s">
        <v>27</v>
      </c>
      <c r="H892" t="s">
        <v>28</v>
      </c>
      <c r="I892">
        <v>1</v>
      </c>
      <c r="J892" t="s">
        <v>34</v>
      </c>
      <c r="K892">
        <v>19</v>
      </c>
      <c r="L892" t="str">
        <f t="shared" si="53"/>
        <v>1-2 years</v>
      </c>
      <c r="M892" t="s">
        <v>83</v>
      </c>
      <c r="N892">
        <v>7500</v>
      </c>
      <c r="O892">
        <v>5</v>
      </c>
      <c r="P892">
        <v>37500</v>
      </c>
      <c r="Q892">
        <f t="shared" si="54"/>
        <v>7500</v>
      </c>
      <c r="R892" s="13">
        <v>157.55000000000001</v>
      </c>
      <c r="S892" t="s">
        <v>23</v>
      </c>
      <c r="T892">
        <f t="shared" si="55"/>
        <v>1</v>
      </c>
      <c r="U892">
        <v>0</v>
      </c>
      <c r="V892">
        <v>0</v>
      </c>
      <c r="W892">
        <v>0</v>
      </c>
    </row>
    <row r="893" spans="1:23" x14ac:dyDescent="0.35">
      <c r="A893" s="7" t="s">
        <v>982</v>
      </c>
      <c r="B893" t="s">
        <v>983</v>
      </c>
      <c r="C893" s="1">
        <v>45741</v>
      </c>
      <c r="D893">
        <v>68</v>
      </c>
      <c r="E893" t="str">
        <f t="shared" si="52"/>
        <v>55+</v>
      </c>
      <c r="F893" t="s">
        <v>105</v>
      </c>
      <c r="G893" t="s">
        <v>38</v>
      </c>
      <c r="H893" t="s">
        <v>28</v>
      </c>
      <c r="I893">
        <v>1</v>
      </c>
      <c r="J893" t="s">
        <v>34</v>
      </c>
      <c r="K893">
        <v>55</v>
      </c>
      <c r="L893" t="str">
        <f t="shared" si="53"/>
        <v>2+years</v>
      </c>
      <c r="M893" t="s">
        <v>39</v>
      </c>
      <c r="N893">
        <v>9000</v>
      </c>
      <c r="O893">
        <v>13</v>
      </c>
      <c r="P893">
        <v>117000</v>
      </c>
      <c r="Q893">
        <f t="shared" si="54"/>
        <v>9000</v>
      </c>
      <c r="R893" s="13">
        <v>67.989999999999995</v>
      </c>
      <c r="S893" t="s">
        <v>36</v>
      </c>
      <c r="T893">
        <f t="shared" si="55"/>
        <v>0</v>
      </c>
      <c r="U893">
        <v>0</v>
      </c>
      <c r="V893">
        <v>0</v>
      </c>
      <c r="W893">
        <v>0</v>
      </c>
    </row>
    <row r="894" spans="1:23" x14ac:dyDescent="0.35">
      <c r="A894" s="7" t="s">
        <v>984</v>
      </c>
      <c r="B894" t="s">
        <v>985</v>
      </c>
      <c r="C894" s="1">
        <v>45682</v>
      </c>
      <c r="D894">
        <v>71</v>
      </c>
      <c r="E894" t="str">
        <f t="shared" si="52"/>
        <v>55+</v>
      </c>
      <c r="F894" t="s">
        <v>46</v>
      </c>
      <c r="G894" t="s">
        <v>33</v>
      </c>
      <c r="H894" t="s">
        <v>28</v>
      </c>
      <c r="I894">
        <v>2</v>
      </c>
      <c r="J894" t="s">
        <v>21</v>
      </c>
      <c r="K894">
        <v>49</v>
      </c>
      <c r="L894" t="str">
        <f t="shared" si="53"/>
        <v>2+years</v>
      </c>
      <c r="M894" t="s">
        <v>100</v>
      </c>
      <c r="N894">
        <v>75000</v>
      </c>
      <c r="O894">
        <v>18</v>
      </c>
      <c r="P894">
        <v>1350000</v>
      </c>
      <c r="Q894">
        <f t="shared" si="54"/>
        <v>75000</v>
      </c>
      <c r="R894" s="13">
        <v>80.7</v>
      </c>
      <c r="S894" t="s">
        <v>36</v>
      </c>
      <c r="T894">
        <f t="shared" si="55"/>
        <v>0</v>
      </c>
      <c r="U894">
        <v>0</v>
      </c>
      <c r="V894">
        <v>0</v>
      </c>
      <c r="W894">
        <v>0</v>
      </c>
    </row>
    <row r="895" spans="1:23" x14ac:dyDescent="0.35">
      <c r="A895" s="7" t="s">
        <v>986</v>
      </c>
      <c r="B895" t="s">
        <v>987</v>
      </c>
      <c r="C895" s="1">
        <v>45741</v>
      </c>
      <c r="D895">
        <v>56</v>
      </c>
      <c r="E895" t="str">
        <f t="shared" si="52"/>
        <v>55+</v>
      </c>
      <c r="F895" t="s">
        <v>147</v>
      </c>
      <c r="G895" t="s">
        <v>27</v>
      </c>
      <c r="H895" t="s">
        <v>20</v>
      </c>
      <c r="I895">
        <v>5</v>
      </c>
      <c r="J895" t="s">
        <v>52</v>
      </c>
      <c r="K895">
        <v>53</v>
      </c>
      <c r="L895" t="str">
        <f t="shared" si="53"/>
        <v>2+years</v>
      </c>
      <c r="M895" t="s">
        <v>29</v>
      </c>
      <c r="N895">
        <v>5500</v>
      </c>
      <c r="O895">
        <v>18</v>
      </c>
      <c r="P895">
        <v>99000</v>
      </c>
      <c r="Q895">
        <f t="shared" si="54"/>
        <v>5500</v>
      </c>
      <c r="R895" s="13">
        <v>128.94999999999999</v>
      </c>
      <c r="S895" t="s">
        <v>36</v>
      </c>
      <c r="T895">
        <f t="shared" si="55"/>
        <v>0</v>
      </c>
      <c r="U895">
        <v>0</v>
      </c>
      <c r="V895">
        <v>0</v>
      </c>
      <c r="W895">
        <v>0</v>
      </c>
    </row>
    <row r="896" spans="1:23" x14ac:dyDescent="0.35">
      <c r="A896" s="7" t="s">
        <v>988</v>
      </c>
      <c r="B896" t="s">
        <v>989</v>
      </c>
      <c r="C896" s="1">
        <v>45741</v>
      </c>
      <c r="D896">
        <v>60</v>
      </c>
      <c r="E896" t="str">
        <f t="shared" si="52"/>
        <v>55+</v>
      </c>
      <c r="F896" t="s">
        <v>78</v>
      </c>
      <c r="G896" t="s">
        <v>19</v>
      </c>
      <c r="H896" t="s">
        <v>20</v>
      </c>
      <c r="I896">
        <v>1</v>
      </c>
      <c r="J896" t="s">
        <v>34</v>
      </c>
      <c r="K896">
        <v>57</v>
      </c>
      <c r="L896" t="str">
        <f t="shared" si="53"/>
        <v>2+years</v>
      </c>
      <c r="M896" t="s">
        <v>48</v>
      </c>
      <c r="N896">
        <v>9000</v>
      </c>
      <c r="O896">
        <v>17</v>
      </c>
      <c r="P896">
        <v>153000</v>
      </c>
      <c r="Q896">
        <f t="shared" si="54"/>
        <v>9000</v>
      </c>
      <c r="R896" s="13">
        <v>43.14</v>
      </c>
      <c r="S896" t="s">
        <v>23</v>
      </c>
      <c r="T896">
        <f t="shared" si="55"/>
        <v>1</v>
      </c>
      <c r="U896">
        <v>0</v>
      </c>
      <c r="V896">
        <v>0</v>
      </c>
      <c r="W896">
        <v>0</v>
      </c>
    </row>
    <row r="897" spans="1:23" x14ac:dyDescent="0.35">
      <c r="A897" s="7" t="s">
        <v>988</v>
      </c>
      <c r="B897" t="s">
        <v>989</v>
      </c>
      <c r="C897" s="1">
        <v>45741</v>
      </c>
      <c r="D897">
        <v>60</v>
      </c>
      <c r="E897" t="str">
        <f t="shared" si="52"/>
        <v>55+</v>
      </c>
      <c r="F897" t="s">
        <v>78</v>
      </c>
      <c r="G897" t="s">
        <v>33</v>
      </c>
      <c r="H897" t="s">
        <v>20</v>
      </c>
      <c r="I897">
        <v>1</v>
      </c>
      <c r="J897" t="s">
        <v>34</v>
      </c>
      <c r="K897">
        <v>57</v>
      </c>
      <c r="L897" t="str">
        <f t="shared" si="53"/>
        <v>2+years</v>
      </c>
      <c r="M897" t="s">
        <v>59</v>
      </c>
      <c r="N897">
        <v>24000</v>
      </c>
      <c r="O897">
        <v>6</v>
      </c>
      <c r="P897">
        <v>144000</v>
      </c>
      <c r="Q897">
        <f t="shared" si="54"/>
        <v>24000</v>
      </c>
      <c r="R897" s="13">
        <v>104.51</v>
      </c>
      <c r="S897" t="s">
        <v>23</v>
      </c>
      <c r="T897">
        <f t="shared" si="55"/>
        <v>1</v>
      </c>
      <c r="U897">
        <v>0</v>
      </c>
      <c r="V897">
        <v>0</v>
      </c>
      <c r="W897">
        <v>0</v>
      </c>
    </row>
    <row r="898" spans="1:23" x14ac:dyDescent="0.35">
      <c r="A898" s="7" t="s">
        <v>990</v>
      </c>
      <c r="B898" t="s">
        <v>991</v>
      </c>
      <c r="C898" s="1">
        <v>45682</v>
      </c>
      <c r="D898">
        <v>49</v>
      </c>
      <c r="E898" t="str">
        <f t="shared" si="52"/>
        <v>45-54</v>
      </c>
      <c r="F898" t="s">
        <v>183</v>
      </c>
      <c r="G898" t="s">
        <v>38</v>
      </c>
      <c r="H898" t="s">
        <v>28</v>
      </c>
      <c r="I898">
        <v>1</v>
      </c>
      <c r="J898" t="s">
        <v>34</v>
      </c>
      <c r="K898">
        <v>8</v>
      </c>
      <c r="L898" t="str">
        <f t="shared" si="53"/>
        <v>6-12 months</v>
      </c>
      <c r="M898" t="s">
        <v>35</v>
      </c>
      <c r="N898">
        <v>20000</v>
      </c>
      <c r="O898">
        <v>19</v>
      </c>
      <c r="P898">
        <v>380000</v>
      </c>
      <c r="Q898">
        <f t="shared" si="54"/>
        <v>20000</v>
      </c>
      <c r="R898" s="13">
        <v>161.16999999999999</v>
      </c>
      <c r="S898" t="s">
        <v>36</v>
      </c>
      <c r="T898">
        <f t="shared" si="55"/>
        <v>0</v>
      </c>
      <c r="U898">
        <v>0</v>
      </c>
      <c r="V898">
        <v>0</v>
      </c>
      <c r="W898">
        <v>0</v>
      </c>
    </row>
    <row r="899" spans="1:23" x14ac:dyDescent="0.35">
      <c r="A899" s="7" t="s">
        <v>990</v>
      </c>
      <c r="B899" t="s">
        <v>991</v>
      </c>
      <c r="C899" s="1">
        <v>45682</v>
      </c>
      <c r="D899">
        <v>49</v>
      </c>
      <c r="E899" t="str">
        <f t="shared" ref="E899:E962" si="56">IF(D899&lt;25,"Under25",IF(D899&lt;35,"25-34",IF(D899&lt;45,"35-44",IF(D899&lt;55,"45-54","55+"))) )</f>
        <v>45-54</v>
      </c>
      <c r="F899" t="s">
        <v>183</v>
      </c>
      <c r="G899" t="s">
        <v>19</v>
      </c>
      <c r="H899" t="s">
        <v>28</v>
      </c>
      <c r="I899">
        <v>1</v>
      </c>
      <c r="J899" t="s">
        <v>34</v>
      </c>
      <c r="K899">
        <v>8</v>
      </c>
      <c r="L899" t="str">
        <f t="shared" ref="L899:L962" si="57">IF(K899&lt;6,"0-5 months",IF(K899&lt;13,"6-12 months",IF(K899&lt;25,"1-2 years","2+years")))</f>
        <v>6-12 months</v>
      </c>
      <c r="M899" t="s">
        <v>43</v>
      </c>
      <c r="N899">
        <v>4500</v>
      </c>
      <c r="O899">
        <v>10</v>
      </c>
      <c r="P899">
        <v>45000</v>
      </c>
      <c r="Q899">
        <f t="shared" ref="Q899:Q962" si="58">P899/O899</f>
        <v>4500</v>
      </c>
      <c r="R899" s="13">
        <v>70.39</v>
      </c>
      <c r="S899" t="s">
        <v>36</v>
      </c>
      <c r="T899">
        <f t="shared" ref="T899:T962" si="59">IF(S899="yes",1,0)</f>
        <v>0</v>
      </c>
      <c r="U899">
        <v>0</v>
      </c>
      <c r="V899">
        <v>0</v>
      </c>
      <c r="W899">
        <v>0</v>
      </c>
    </row>
    <row r="900" spans="1:23" x14ac:dyDescent="0.35">
      <c r="A900" s="7" t="s">
        <v>990</v>
      </c>
      <c r="B900" t="s">
        <v>991</v>
      </c>
      <c r="C900" s="1">
        <v>45682</v>
      </c>
      <c r="D900">
        <v>49</v>
      </c>
      <c r="E900" t="str">
        <f t="shared" si="56"/>
        <v>45-54</v>
      </c>
      <c r="F900" t="s">
        <v>183</v>
      </c>
      <c r="G900" t="s">
        <v>33</v>
      </c>
      <c r="H900" t="s">
        <v>28</v>
      </c>
      <c r="I900">
        <v>1</v>
      </c>
      <c r="J900" t="s">
        <v>34</v>
      </c>
      <c r="K900">
        <v>8</v>
      </c>
      <c r="L900" t="str">
        <f t="shared" si="57"/>
        <v>6-12 months</v>
      </c>
      <c r="M900" t="s">
        <v>62</v>
      </c>
      <c r="N900">
        <v>30000</v>
      </c>
      <c r="O900">
        <v>17</v>
      </c>
      <c r="P900">
        <v>510000</v>
      </c>
      <c r="Q900">
        <f t="shared" si="58"/>
        <v>30000</v>
      </c>
      <c r="R900" s="13">
        <v>143.01</v>
      </c>
      <c r="S900" t="s">
        <v>36</v>
      </c>
      <c r="T900">
        <f t="shared" si="59"/>
        <v>0</v>
      </c>
      <c r="U900">
        <v>0</v>
      </c>
      <c r="V900">
        <v>0</v>
      </c>
      <c r="W900">
        <v>0</v>
      </c>
    </row>
    <row r="901" spans="1:23" x14ac:dyDescent="0.35">
      <c r="A901" s="7" t="s">
        <v>992</v>
      </c>
      <c r="B901" t="s">
        <v>443</v>
      </c>
      <c r="C901" s="1">
        <v>45741</v>
      </c>
      <c r="D901">
        <v>29</v>
      </c>
      <c r="E901" t="str">
        <f t="shared" si="56"/>
        <v>25-34</v>
      </c>
      <c r="F901" t="s">
        <v>252</v>
      </c>
      <c r="G901" t="s">
        <v>27</v>
      </c>
      <c r="H901" t="s">
        <v>20</v>
      </c>
      <c r="I901">
        <v>4</v>
      </c>
      <c r="J901" t="s">
        <v>109</v>
      </c>
      <c r="K901">
        <v>53</v>
      </c>
      <c r="L901" t="str">
        <f t="shared" si="57"/>
        <v>2+years</v>
      </c>
      <c r="M901" t="s">
        <v>79</v>
      </c>
      <c r="N901">
        <v>1000</v>
      </c>
      <c r="O901">
        <v>5</v>
      </c>
      <c r="P901">
        <v>5000</v>
      </c>
      <c r="Q901">
        <f t="shared" si="58"/>
        <v>1000</v>
      </c>
      <c r="R901" s="13">
        <v>12.91</v>
      </c>
      <c r="S901" t="s">
        <v>23</v>
      </c>
      <c r="T901">
        <f t="shared" si="59"/>
        <v>1</v>
      </c>
      <c r="U901">
        <v>0</v>
      </c>
      <c r="V901">
        <v>0</v>
      </c>
      <c r="W901">
        <v>0</v>
      </c>
    </row>
    <row r="902" spans="1:23" x14ac:dyDescent="0.35">
      <c r="A902" s="7" t="s">
        <v>992</v>
      </c>
      <c r="B902" t="s">
        <v>443</v>
      </c>
      <c r="C902" s="1">
        <v>45741</v>
      </c>
      <c r="D902">
        <v>29</v>
      </c>
      <c r="E902" t="str">
        <f t="shared" si="56"/>
        <v>25-34</v>
      </c>
      <c r="F902" t="s">
        <v>252</v>
      </c>
      <c r="G902" t="s">
        <v>38</v>
      </c>
      <c r="H902" t="s">
        <v>20</v>
      </c>
      <c r="I902">
        <v>4</v>
      </c>
      <c r="J902" t="s">
        <v>109</v>
      </c>
      <c r="K902">
        <v>53</v>
      </c>
      <c r="L902" t="str">
        <f t="shared" si="57"/>
        <v>2+years</v>
      </c>
      <c r="M902" t="s">
        <v>68</v>
      </c>
      <c r="N902">
        <v>14500</v>
      </c>
      <c r="O902">
        <v>3</v>
      </c>
      <c r="P902">
        <v>43500</v>
      </c>
      <c r="Q902">
        <f t="shared" si="58"/>
        <v>14500</v>
      </c>
      <c r="R902" s="13">
        <v>43.35</v>
      </c>
      <c r="S902" t="s">
        <v>23</v>
      </c>
      <c r="T902">
        <f t="shared" si="59"/>
        <v>1</v>
      </c>
      <c r="U902">
        <v>0</v>
      </c>
      <c r="V902">
        <v>0</v>
      </c>
      <c r="W902">
        <v>0</v>
      </c>
    </row>
    <row r="903" spans="1:23" x14ac:dyDescent="0.35">
      <c r="A903" s="7" t="s">
        <v>993</v>
      </c>
      <c r="B903" t="s">
        <v>994</v>
      </c>
      <c r="C903" s="1">
        <v>45741</v>
      </c>
      <c r="D903">
        <v>67</v>
      </c>
      <c r="E903" t="str">
        <f t="shared" si="56"/>
        <v>55+</v>
      </c>
      <c r="F903" t="s">
        <v>72</v>
      </c>
      <c r="G903" t="s">
        <v>27</v>
      </c>
      <c r="H903" t="s">
        <v>28</v>
      </c>
      <c r="I903">
        <v>5</v>
      </c>
      <c r="J903" t="s">
        <v>52</v>
      </c>
      <c r="K903">
        <v>56</v>
      </c>
      <c r="L903" t="str">
        <f t="shared" si="57"/>
        <v>2+years</v>
      </c>
      <c r="M903" t="s">
        <v>29</v>
      </c>
      <c r="N903">
        <v>5500</v>
      </c>
      <c r="O903">
        <v>14</v>
      </c>
      <c r="P903">
        <v>77000</v>
      </c>
      <c r="Q903">
        <f t="shared" si="58"/>
        <v>5500</v>
      </c>
      <c r="R903" s="13">
        <v>146.47999999999999</v>
      </c>
      <c r="S903" t="s">
        <v>36</v>
      </c>
      <c r="T903">
        <f t="shared" si="59"/>
        <v>0</v>
      </c>
      <c r="U903">
        <v>0</v>
      </c>
      <c r="V903">
        <v>0</v>
      </c>
      <c r="W903">
        <v>0</v>
      </c>
    </row>
    <row r="904" spans="1:23" x14ac:dyDescent="0.35">
      <c r="A904" s="7" t="s">
        <v>993</v>
      </c>
      <c r="B904" t="s">
        <v>994</v>
      </c>
      <c r="C904" s="1">
        <v>45741</v>
      </c>
      <c r="D904">
        <v>67</v>
      </c>
      <c r="E904" t="str">
        <f t="shared" si="56"/>
        <v>55+</v>
      </c>
      <c r="F904" t="s">
        <v>72</v>
      </c>
      <c r="G904" t="s">
        <v>33</v>
      </c>
      <c r="H904" t="s">
        <v>28</v>
      </c>
      <c r="I904">
        <v>5</v>
      </c>
      <c r="J904" t="s">
        <v>52</v>
      </c>
      <c r="K904">
        <v>56</v>
      </c>
      <c r="L904" t="str">
        <f t="shared" si="57"/>
        <v>2+years</v>
      </c>
      <c r="M904" t="s">
        <v>62</v>
      </c>
      <c r="N904">
        <v>30000</v>
      </c>
      <c r="O904">
        <v>5</v>
      </c>
      <c r="P904">
        <v>150000</v>
      </c>
      <c r="Q904">
        <f t="shared" si="58"/>
        <v>30000</v>
      </c>
      <c r="R904" s="13">
        <v>29.3</v>
      </c>
      <c r="S904" t="s">
        <v>36</v>
      </c>
      <c r="T904">
        <f t="shared" si="59"/>
        <v>0</v>
      </c>
      <c r="U904">
        <v>0</v>
      </c>
      <c r="V904">
        <v>0</v>
      </c>
      <c r="W904">
        <v>0</v>
      </c>
    </row>
    <row r="905" spans="1:23" x14ac:dyDescent="0.35">
      <c r="A905" s="7" t="s">
        <v>995</v>
      </c>
      <c r="B905" t="s">
        <v>996</v>
      </c>
      <c r="C905" s="1">
        <v>45713</v>
      </c>
      <c r="D905">
        <v>74</v>
      </c>
      <c r="E905" t="str">
        <f t="shared" si="56"/>
        <v>55+</v>
      </c>
      <c r="F905" t="s">
        <v>135</v>
      </c>
      <c r="G905" t="s">
        <v>19</v>
      </c>
      <c r="H905" t="s">
        <v>20</v>
      </c>
      <c r="I905">
        <v>4</v>
      </c>
      <c r="J905" t="s">
        <v>109</v>
      </c>
      <c r="K905">
        <v>45</v>
      </c>
      <c r="L905" t="str">
        <f t="shared" si="57"/>
        <v>2+years</v>
      </c>
      <c r="M905" t="s">
        <v>55</v>
      </c>
      <c r="N905">
        <v>16000</v>
      </c>
      <c r="O905">
        <v>14</v>
      </c>
      <c r="P905">
        <v>224000</v>
      </c>
      <c r="Q905">
        <f t="shared" si="58"/>
        <v>16000</v>
      </c>
      <c r="R905" s="13">
        <v>120.52</v>
      </c>
      <c r="S905" t="s">
        <v>36</v>
      </c>
      <c r="T905">
        <f t="shared" si="59"/>
        <v>0</v>
      </c>
      <c r="U905">
        <v>0</v>
      </c>
      <c r="V905">
        <v>0</v>
      </c>
      <c r="W905">
        <v>0</v>
      </c>
    </row>
    <row r="906" spans="1:23" x14ac:dyDescent="0.35">
      <c r="A906" s="7" t="s">
        <v>995</v>
      </c>
      <c r="B906" t="s">
        <v>996</v>
      </c>
      <c r="C906" s="1">
        <v>45713</v>
      </c>
      <c r="D906">
        <v>74</v>
      </c>
      <c r="E906" t="str">
        <f t="shared" si="56"/>
        <v>55+</v>
      </c>
      <c r="F906" t="s">
        <v>135</v>
      </c>
      <c r="G906" t="s">
        <v>33</v>
      </c>
      <c r="H906" t="s">
        <v>20</v>
      </c>
      <c r="I906">
        <v>4</v>
      </c>
      <c r="J906" t="s">
        <v>109</v>
      </c>
      <c r="K906">
        <v>45</v>
      </c>
      <c r="L906" t="str">
        <f t="shared" si="57"/>
        <v>2+years</v>
      </c>
      <c r="M906" t="s">
        <v>35</v>
      </c>
      <c r="N906">
        <v>20000</v>
      </c>
      <c r="O906">
        <v>19</v>
      </c>
      <c r="P906">
        <v>380000</v>
      </c>
      <c r="Q906">
        <f t="shared" si="58"/>
        <v>20000</v>
      </c>
      <c r="R906" s="13">
        <v>24.61</v>
      </c>
      <c r="S906" t="s">
        <v>36</v>
      </c>
      <c r="T906">
        <f t="shared" si="59"/>
        <v>0</v>
      </c>
      <c r="U906">
        <v>0</v>
      </c>
      <c r="V906">
        <v>0</v>
      </c>
      <c r="W906">
        <v>0</v>
      </c>
    </row>
    <row r="907" spans="1:23" x14ac:dyDescent="0.35">
      <c r="A907" s="7" t="s">
        <v>995</v>
      </c>
      <c r="B907" t="s">
        <v>996</v>
      </c>
      <c r="C907" s="1">
        <v>45713</v>
      </c>
      <c r="D907">
        <v>74</v>
      </c>
      <c r="E907" t="str">
        <f t="shared" si="56"/>
        <v>55+</v>
      </c>
      <c r="F907" t="s">
        <v>135</v>
      </c>
      <c r="G907" t="s">
        <v>27</v>
      </c>
      <c r="H907" t="s">
        <v>20</v>
      </c>
      <c r="I907">
        <v>4</v>
      </c>
      <c r="J907" t="s">
        <v>109</v>
      </c>
      <c r="K907">
        <v>45</v>
      </c>
      <c r="L907" t="str">
        <f t="shared" si="57"/>
        <v>2+years</v>
      </c>
      <c r="M907" t="s">
        <v>37</v>
      </c>
      <c r="N907">
        <v>500</v>
      </c>
      <c r="O907">
        <v>5</v>
      </c>
      <c r="P907">
        <v>2500</v>
      </c>
      <c r="Q907">
        <f t="shared" si="58"/>
        <v>500</v>
      </c>
      <c r="R907" s="13">
        <v>8.5399999999999991</v>
      </c>
      <c r="S907" t="s">
        <v>36</v>
      </c>
      <c r="T907">
        <f t="shared" si="59"/>
        <v>0</v>
      </c>
      <c r="U907">
        <v>0</v>
      </c>
      <c r="V907">
        <v>0</v>
      </c>
      <c r="W907">
        <v>0</v>
      </c>
    </row>
    <row r="908" spans="1:23" x14ac:dyDescent="0.35">
      <c r="A908" s="7" t="s">
        <v>997</v>
      </c>
      <c r="B908" t="s">
        <v>998</v>
      </c>
      <c r="C908" s="1">
        <v>45741</v>
      </c>
      <c r="D908">
        <v>63</v>
      </c>
      <c r="E908" t="str">
        <f t="shared" si="56"/>
        <v>55+</v>
      </c>
      <c r="F908" t="s">
        <v>144</v>
      </c>
      <c r="G908" t="s">
        <v>27</v>
      </c>
      <c r="H908" t="s">
        <v>28</v>
      </c>
      <c r="I908">
        <v>4</v>
      </c>
      <c r="J908" t="s">
        <v>109</v>
      </c>
      <c r="K908">
        <v>20</v>
      </c>
      <c r="L908" t="str">
        <f t="shared" si="57"/>
        <v>1-2 years</v>
      </c>
      <c r="M908" t="s">
        <v>97</v>
      </c>
      <c r="N908">
        <v>900</v>
      </c>
      <c r="O908">
        <v>10</v>
      </c>
      <c r="P908">
        <v>9000</v>
      </c>
      <c r="Q908">
        <f t="shared" si="58"/>
        <v>900</v>
      </c>
      <c r="R908" s="13">
        <v>187.4</v>
      </c>
      <c r="S908" t="s">
        <v>23</v>
      </c>
      <c r="T908">
        <f t="shared" si="59"/>
        <v>1</v>
      </c>
      <c r="U908">
        <v>0</v>
      </c>
      <c r="V908">
        <v>0</v>
      </c>
      <c r="W908">
        <v>0</v>
      </c>
    </row>
    <row r="909" spans="1:23" x14ac:dyDescent="0.35">
      <c r="A909" s="7" t="s">
        <v>999</v>
      </c>
      <c r="B909" t="s">
        <v>1000</v>
      </c>
      <c r="C909" s="1">
        <v>45682</v>
      </c>
      <c r="D909">
        <v>43</v>
      </c>
      <c r="E909" t="str">
        <f t="shared" si="56"/>
        <v>35-44</v>
      </c>
      <c r="F909" t="s">
        <v>126</v>
      </c>
      <c r="G909" t="s">
        <v>27</v>
      </c>
      <c r="H909" t="s">
        <v>28</v>
      </c>
      <c r="I909">
        <v>5</v>
      </c>
      <c r="J909" t="s">
        <v>52</v>
      </c>
      <c r="K909">
        <v>1</v>
      </c>
      <c r="L909" t="str">
        <f t="shared" si="57"/>
        <v>0-5 months</v>
      </c>
      <c r="M909" t="s">
        <v>29</v>
      </c>
      <c r="N909">
        <v>5500</v>
      </c>
      <c r="O909">
        <v>19</v>
      </c>
      <c r="P909">
        <v>104500</v>
      </c>
      <c r="Q909">
        <f t="shared" si="58"/>
        <v>5500</v>
      </c>
      <c r="R909" s="13">
        <v>114.83</v>
      </c>
      <c r="S909" t="s">
        <v>36</v>
      </c>
      <c r="T909">
        <f t="shared" si="59"/>
        <v>0</v>
      </c>
      <c r="U909">
        <v>0</v>
      </c>
      <c r="V909">
        <v>0</v>
      </c>
      <c r="W909">
        <v>0</v>
      </c>
    </row>
    <row r="910" spans="1:23" x14ac:dyDescent="0.35">
      <c r="A910" s="7" t="s">
        <v>1001</v>
      </c>
      <c r="B910" t="s">
        <v>1002</v>
      </c>
      <c r="C910" s="1">
        <v>45713</v>
      </c>
      <c r="D910">
        <v>59</v>
      </c>
      <c r="E910" t="str">
        <f t="shared" si="56"/>
        <v>55+</v>
      </c>
      <c r="F910" t="s">
        <v>58</v>
      </c>
      <c r="G910" t="s">
        <v>27</v>
      </c>
      <c r="H910" t="s">
        <v>28</v>
      </c>
      <c r="I910">
        <v>2</v>
      </c>
      <c r="J910" t="s">
        <v>21</v>
      </c>
      <c r="K910">
        <v>54</v>
      </c>
      <c r="L910" t="str">
        <f t="shared" si="57"/>
        <v>2+years</v>
      </c>
      <c r="M910" t="s">
        <v>29</v>
      </c>
      <c r="N910">
        <v>5500</v>
      </c>
      <c r="O910">
        <v>11</v>
      </c>
      <c r="P910">
        <v>60500</v>
      </c>
      <c r="Q910">
        <f t="shared" si="58"/>
        <v>5500</v>
      </c>
      <c r="R910" s="13">
        <v>30.22</v>
      </c>
      <c r="S910" t="s">
        <v>36</v>
      </c>
      <c r="T910">
        <f t="shared" si="59"/>
        <v>0</v>
      </c>
      <c r="U910">
        <v>0</v>
      </c>
      <c r="V910">
        <v>0</v>
      </c>
      <c r="W910">
        <v>0</v>
      </c>
    </row>
    <row r="911" spans="1:23" x14ac:dyDescent="0.35">
      <c r="A911" s="7" t="s">
        <v>1001</v>
      </c>
      <c r="B911" t="s">
        <v>1002</v>
      </c>
      <c r="C911" s="1">
        <v>45713</v>
      </c>
      <c r="D911">
        <v>59</v>
      </c>
      <c r="E911" t="str">
        <f t="shared" si="56"/>
        <v>55+</v>
      </c>
      <c r="F911" t="s">
        <v>58</v>
      </c>
      <c r="G911" t="s">
        <v>33</v>
      </c>
      <c r="H911" t="s">
        <v>28</v>
      </c>
      <c r="I911">
        <v>2</v>
      </c>
      <c r="J911" t="s">
        <v>21</v>
      </c>
      <c r="K911">
        <v>54</v>
      </c>
      <c r="L911" t="str">
        <f t="shared" si="57"/>
        <v>2+years</v>
      </c>
      <c r="M911" t="s">
        <v>35</v>
      </c>
      <c r="N911">
        <v>20000</v>
      </c>
      <c r="O911">
        <v>20</v>
      </c>
      <c r="P911">
        <v>400000</v>
      </c>
      <c r="Q911">
        <f t="shared" si="58"/>
        <v>20000</v>
      </c>
      <c r="R911" s="13">
        <v>160.06</v>
      </c>
      <c r="S911" t="s">
        <v>36</v>
      </c>
      <c r="T911">
        <f t="shared" si="59"/>
        <v>0</v>
      </c>
      <c r="U911">
        <v>0</v>
      </c>
      <c r="V911">
        <v>0</v>
      </c>
      <c r="W911">
        <v>0</v>
      </c>
    </row>
    <row r="912" spans="1:23" x14ac:dyDescent="0.35">
      <c r="A912" s="7" t="s">
        <v>1003</v>
      </c>
      <c r="B912" t="s">
        <v>1004</v>
      </c>
      <c r="C912" s="1">
        <v>45682</v>
      </c>
      <c r="D912">
        <v>65</v>
      </c>
      <c r="E912" t="str">
        <f t="shared" si="56"/>
        <v>55+</v>
      </c>
      <c r="F912" t="s">
        <v>108</v>
      </c>
      <c r="G912" t="s">
        <v>38</v>
      </c>
      <c r="H912" t="s">
        <v>28</v>
      </c>
      <c r="I912">
        <v>4</v>
      </c>
      <c r="J912" t="s">
        <v>109</v>
      </c>
      <c r="K912">
        <v>22</v>
      </c>
      <c r="L912" t="str">
        <f t="shared" si="57"/>
        <v>1-2 years</v>
      </c>
      <c r="M912" t="s">
        <v>59</v>
      </c>
      <c r="N912">
        <v>24000</v>
      </c>
      <c r="O912">
        <v>10</v>
      </c>
      <c r="P912">
        <v>240000</v>
      </c>
      <c r="Q912">
        <f t="shared" si="58"/>
        <v>24000</v>
      </c>
      <c r="R912" s="13">
        <v>126.21</v>
      </c>
      <c r="S912" t="s">
        <v>36</v>
      </c>
      <c r="T912">
        <f t="shared" si="59"/>
        <v>0</v>
      </c>
      <c r="U912">
        <v>0</v>
      </c>
      <c r="V912">
        <v>0</v>
      </c>
      <c r="W912">
        <v>0</v>
      </c>
    </row>
    <row r="913" spans="1:23" x14ac:dyDescent="0.35">
      <c r="A913" s="7" t="s">
        <v>1003</v>
      </c>
      <c r="B913" t="s">
        <v>1004</v>
      </c>
      <c r="C913" s="1">
        <v>45682</v>
      </c>
      <c r="D913">
        <v>65</v>
      </c>
      <c r="E913" t="str">
        <f t="shared" si="56"/>
        <v>55+</v>
      </c>
      <c r="F913" t="s">
        <v>108</v>
      </c>
      <c r="G913" t="s">
        <v>27</v>
      </c>
      <c r="H913" t="s">
        <v>28</v>
      </c>
      <c r="I913">
        <v>4</v>
      </c>
      <c r="J913" t="s">
        <v>109</v>
      </c>
      <c r="K913">
        <v>22</v>
      </c>
      <c r="L913" t="str">
        <f t="shared" si="57"/>
        <v>1-2 years</v>
      </c>
      <c r="M913" t="s">
        <v>187</v>
      </c>
      <c r="N913">
        <v>6500</v>
      </c>
      <c r="O913">
        <v>18</v>
      </c>
      <c r="P913">
        <v>117000</v>
      </c>
      <c r="Q913">
        <f t="shared" si="58"/>
        <v>6500</v>
      </c>
      <c r="R913" s="13">
        <v>129.21</v>
      </c>
      <c r="S913" t="s">
        <v>36</v>
      </c>
      <c r="T913">
        <f t="shared" si="59"/>
        <v>0</v>
      </c>
      <c r="U913">
        <v>0</v>
      </c>
      <c r="V913">
        <v>0</v>
      </c>
      <c r="W913">
        <v>0</v>
      </c>
    </row>
    <row r="914" spans="1:23" x14ac:dyDescent="0.35">
      <c r="A914" s="7" t="s">
        <v>1003</v>
      </c>
      <c r="B914" t="s">
        <v>1004</v>
      </c>
      <c r="C914" s="1">
        <v>45682</v>
      </c>
      <c r="D914">
        <v>65</v>
      </c>
      <c r="E914" t="str">
        <f t="shared" si="56"/>
        <v>55+</v>
      </c>
      <c r="F914" t="s">
        <v>108</v>
      </c>
      <c r="G914" t="s">
        <v>33</v>
      </c>
      <c r="H914" t="s">
        <v>28</v>
      </c>
      <c r="I914">
        <v>4</v>
      </c>
      <c r="J914" t="s">
        <v>109</v>
      </c>
      <c r="K914">
        <v>22</v>
      </c>
      <c r="L914" t="str">
        <f t="shared" si="57"/>
        <v>1-2 years</v>
      </c>
      <c r="M914" t="s">
        <v>35</v>
      </c>
      <c r="N914">
        <v>20000</v>
      </c>
      <c r="O914">
        <v>20</v>
      </c>
      <c r="P914">
        <v>400000</v>
      </c>
      <c r="Q914">
        <f t="shared" si="58"/>
        <v>20000</v>
      </c>
      <c r="R914" s="13">
        <v>38.89</v>
      </c>
      <c r="S914" t="s">
        <v>36</v>
      </c>
      <c r="T914">
        <f t="shared" si="59"/>
        <v>0</v>
      </c>
      <c r="U914">
        <v>0</v>
      </c>
      <c r="V914">
        <v>0</v>
      </c>
      <c r="W914">
        <v>0</v>
      </c>
    </row>
    <row r="915" spans="1:23" x14ac:dyDescent="0.35">
      <c r="A915" s="7" t="s">
        <v>1005</v>
      </c>
      <c r="B915" t="s">
        <v>1006</v>
      </c>
      <c r="C915" s="1">
        <v>45682</v>
      </c>
      <c r="D915">
        <v>22</v>
      </c>
      <c r="E915" t="str">
        <f t="shared" si="56"/>
        <v>Under25</v>
      </c>
      <c r="F915" t="s">
        <v>72</v>
      </c>
      <c r="G915" t="s">
        <v>19</v>
      </c>
      <c r="H915" t="s">
        <v>20</v>
      </c>
      <c r="I915">
        <v>5</v>
      </c>
      <c r="J915" t="s">
        <v>52</v>
      </c>
      <c r="K915">
        <v>49</v>
      </c>
      <c r="L915" t="str">
        <f t="shared" si="57"/>
        <v>2+years</v>
      </c>
      <c r="M915" t="s">
        <v>55</v>
      </c>
      <c r="N915">
        <v>16000</v>
      </c>
      <c r="O915">
        <v>7</v>
      </c>
      <c r="P915">
        <v>112000</v>
      </c>
      <c r="Q915">
        <f t="shared" si="58"/>
        <v>16000</v>
      </c>
      <c r="R915" s="13">
        <v>55.36</v>
      </c>
      <c r="S915" t="s">
        <v>36</v>
      </c>
      <c r="T915">
        <f t="shared" si="59"/>
        <v>0</v>
      </c>
      <c r="U915">
        <v>0</v>
      </c>
      <c r="V915">
        <v>0</v>
      </c>
      <c r="W915">
        <v>0</v>
      </c>
    </row>
    <row r="916" spans="1:23" x14ac:dyDescent="0.35">
      <c r="A916" s="7" t="s">
        <v>1007</v>
      </c>
      <c r="B916" t="s">
        <v>1008</v>
      </c>
      <c r="C916" s="1">
        <v>45682</v>
      </c>
      <c r="D916">
        <v>72</v>
      </c>
      <c r="E916" t="str">
        <f t="shared" si="56"/>
        <v>55+</v>
      </c>
      <c r="F916" t="s">
        <v>291</v>
      </c>
      <c r="G916" t="s">
        <v>33</v>
      </c>
      <c r="H916" t="s">
        <v>28</v>
      </c>
      <c r="I916">
        <v>4</v>
      </c>
      <c r="J916" t="s">
        <v>109</v>
      </c>
      <c r="K916">
        <v>26</v>
      </c>
      <c r="L916" t="str">
        <f t="shared" si="57"/>
        <v>2+years</v>
      </c>
      <c r="M916" t="s">
        <v>100</v>
      </c>
      <c r="N916">
        <v>75000</v>
      </c>
      <c r="O916">
        <v>1</v>
      </c>
      <c r="P916">
        <v>75000</v>
      </c>
      <c r="Q916">
        <f t="shared" si="58"/>
        <v>75000</v>
      </c>
      <c r="R916" s="13">
        <v>36.51</v>
      </c>
      <c r="S916" t="s">
        <v>36</v>
      </c>
      <c r="T916">
        <f t="shared" si="59"/>
        <v>0</v>
      </c>
      <c r="U916">
        <v>0</v>
      </c>
      <c r="V916">
        <v>0</v>
      </c>
      <c r="W916">
        <v>0</v>
      </c>
    </row>
    <row r="917" spans="1:23" x14ac:dyDescent="0.35">
      <c r="A917" s="7" t="s">
        <v>1009</v>
      </c>
      <c r="B917" t="s">
        <v>1010</v>
      </c>
      <c r="C917" s="1">
        <v>45682</v>
      </c>
      <c r="D917">
        <v>56</v>
      </c>
      <c r="E917" t="str">
        <f t="shared" si="56"/>
        <v>55+</v>
      </c>
      <c r="F917" t="s">
        <v>58</v>
      </c>
      <c r="G917" t="s">
        <v>19</v>
      </c>
      <c r="H917" t="s">
        <v>28</v>
      </c>
      <c r="I917">
        <v>1</v>
      </c>
      <c r="J917" t="s">
        <v>34</v>
      </c>
      <c r="K917">
        <v>6</v>
      </c>
      <c r="L917" t="str">
        <f t="shared" si="57"/>
        <v>6-12 months</v>
      </c>
      <c r="M917" t="s">
        <v>48</v>
      </c>
      <c r="N917">
        <v>9000</v>
      </c>
      <c r="O917">
        <v>5</v>
      </c>
      <c r="P917">
        <v>45000</v>
      </c>
      <c r="Q917">
        <f t="shared" si="58"/>
        <v>9000</v>
      </c>
      <c r="R917" s="13">
        <v>153.78</v>
      </c>
      <c r="S917" t="s">
        <v>36</v>
      </c>
      <c r="T917">
        <f t="shared" si="59"/>
        <v>0</v>
      </c>
      <c r="U917">
        <v>0</v>
      </c>
      <c r="V917">
        <v>0</v>
      </c>
      <c r="W917">
        <v>0</v>
      </c>
    </row>
    <row r="918" spans="1:23" x14ac:dyDescent="0.35">
      <c r="A918" s="7" t="s">
        <v>1009</v>
      </c>
      <c r="B918" t="s">
        <v>1010</v>
      </c>
      <c r="C918" s="1">
        <v>45682</v>
      </c>
      <c r="D918">
        <v>56</v>
      </c>
      <c r="E918" t="str">
        <f t="shared" si="56"/>
        <v>55+</v>
      </c>
      <c r="F918" t="s">
        <v>58</v>
      </c>
      <c r="G918" t="s">
        <v>38</v>
      </c>
      <c r="H918" t="s">
        <v>28</v>
      </c>
      <c r="I918">
        <v>1</v>
      </c>
      <c r="J918" t="s">
        <v>34</v>
      </c>
      <c r="K918">
        <v>6</v>
      </c>
      <c r="L918" t="str">
        <f t="shared" si="57"/>
        <v>6-12 months</v>
      </c>
      <c r="M918" t="s">
        <v>62</v>
      </c>
      <c r="N918">
        <v>30000</v>
      </c>
      <c r="O918">
        <v>6</v>
      </c>
      <c r="P918">
        <v>180000</v>
      </c>
      <c r="Q918">
        <f t="shared" si="58"/>
        <v>30000</v>
      </c>
      <c r="R918" s="13">
        <v>190.46</v>
      </c>
      <c r="S918" t="s">
        <v>36</v>
      </c>
      <c r="T918">
        <f t="shared" si="59"/>
        <v>0</v>
      </c>
      <c r="U918">
        <v>0</v>
      </c>
      <c r="V918">
        <v>0</v>
      </c>
      <c r="W918">
        <v>0</v>
      </c>
    </row>
    <row r="919" spans="1:23" x14ac:dyDescent="0.35">
      <c r="A919" s="7" t="s">
        <v>1011</v>
      </c>
      <c r="B919" t="s">
        <v>1012</v>
      </c>
      <c r="C919" s="1">
        <v>45682</v>
      </c>
      <c r="D919">
        <v>57</v>
      </c>
      <c r="E919" t="str">
        <f t="shared" si="56"/>
        <v>55+</v>
      </c>
      <c r="F919" t="s">
        <v>126</v>
      </c>
      <c r="G919" t="s">
        <v>19</v>
      </c>
      <c r="H919" t="s">
        <v>20</v>
      </c>
      <c r="I919">
        <v>3</v>
      </c>
      <c r="J919" t="s">
        <v>47</v>
      </c>
      <c r="K919">
        <v>46</v>
      </c>
      <c r="L919" t="str">
        <f t="shared" si="57"/>
        <v>2+years</v>
      </c>
      <c r="M919" t="s">
        <v>48</v>
      </c>
      <c r="N919">
        <v>9000</v>
      </c>
      <c r="O919">
        <v>4</v>
      </c>
      <c r="P919">
        <v>36000</v>
      </c>
      <c r="Q919">
        <f t="shared" si="58"/>
        <v>9000</v>
      </c>
      <c r="R919" s="13">
        <v>51.96</v>
      </c>
      <c r="S919" t="s">
        <v>36</v>
      </c>
      <c r="T919">
        <f t="shared" si="59"/>
        <v>0</v>
      </c>
      <c r="U919">
        <v>0</v>
      </c>
      <c r="V919">
        <v>0</v>
      </c>
      <c r="W919">
        <v>0</v>
      </c>
    </row>
    <row r="920" spans="1:23" x14ac:dyDescent="0.35">
      <c r="A920" s="7" t="s">
        <v>1011</v>
      </c>
      <c r="B920" t="s">
        <v>1012</v>
      </c>
      <c r="C920" s="1">
        <v>45682</v>
      </c>
      <c r="D920">
        <v>57</v>
      </c>
      <c r="E920" t="str">
        <f t="shared" si="56"/>
        <v>55+</v>
      </c>
      <c r="F920" t="s">
        <v>126</v>
      </c>
      <c r="G920" t="s">
        <v>27</v>
      </c>
      <c r="H920" t="s">
        <v>20</v>
      </c>
      <c r="I920">
        <v>3</v>
      </c>
      <c r="J920" t="s">
        <v>47</v>
      </c>
      <c r="K920">
        <v>46</v>
      </c>
      <c r="L920" t="str">
        <f t="shared" si="57"/>
        <v>2+years</v>
      </c>
      <c r="M920" t="s">
        <v>97</v>
      </c>
      <c r="N920">
        <v>900</v>
      </c>
      <c r="O920">
        <v>20</v>
      </c>
      <c r="P920">
        <v>18000</v>
      </c>
      <c r="Q920">
        <f t="shared" si="58"/>
        <v>900</v>
      </c>
      <c r="R920" s="13">
        <v>40.909999999999997</v>
      </c>
      <c r="S920" t="s">
        <v>36</v>
      </c>
      <c r="T920">
        <f t="shared" si="59"/>
        <v>0</v>
      </c>
      <c r="U920">
        <v>0</v>
      </c>
      <c r="V920">
        <v>0</v>
      </c>
      <c r="W920">
        <v>0</v>
      </c>
    </row>
    <row r="921" spans="1:23" x14ac:dyDescent="0.35">
      <c r="A921" s="7" t="s">
        <v>1013</v>
      </c>
      <c r="B921" t="s">
        <v>1014</v>
      </c>
      <c r="C921" s="1">
        <v>45741</v>
      </c>
      <c r="D921">
        <v>79</v>
      </c>
      <c r="E921" t="str">
        <f t="shared" si="56"/>
        <v>55+</v>
      </c>
      <c r="F921" t="s">
        <v>183</v>
      </c>
      <c r="G921" t="s">
        <v>27</v>
      </c>
      <c r="H921" t="s">
        <v>28</v>
      </c>
      <c r="I921">
        <v>1</v>
      </c>
      <c r="J921" t="s">
        <v>34</v>
      </c>
      <c r="K921">
        <v>8</v>
      </c>
      <c r="L921" t="str">
        <f t="shared" si="57"/>
        <v>6-12 months</v>
      </c>
      <c r="M921" t="s">
        <v>97</v>
      </c>
      <c r="N921">
        <v>900</v>
      </c>
      <c r="O921">
        <v>8</v>
      </c>
      <c r="P921">
        <v>7200</v>
      </c>
      <c r="Q921">
        <f t="shared" si="58"/>
        <v>900</v>
      </c>
      <c r="R921" s="13">
        <v>81.8</v>
      </c>
      <c r="S921" t="s">
        <v>36</v>
      </c>
      <c r="T921">
        <f t="shared" si="59"/>
        <v>0</v>
      </c>
      <c r="U921">
        <v>0</v>
      </c>
      <c r="V921">
        <v>0</v>
      </c>
      <c r="W921">
        <v>0</v>
      </c>
    </row>
    <row r="922" spans="1:23" x14ac:dyDescent="0.35">
      <c r="A922" s="7" t="s">
        <v>1013</v>
      </c>
      <c r="B922" t="s">
        <v>1014</v>
      </c>
      <c r="C922" s="1">
        <v>45741</v>
      </c>
      <c r="D922">
        <v>79</v>
      </c>
      <c r="E922" t="str">
        <f t="shared" si="56"/>
        <v>55+</v>
      </c>
      <c r="F922" t="s">
        <v>183</v>
      </c>
      <c r="G922" t="s">
        <v>38</v>
      </c>
      <c r="H922" t="s">
        <v>28</v>
      </c>
      <c r="I922">
        <v>1</v>
      </c>
      <c r="J922" t="s">
        <v>34</v>
      </c>
      <c r="K922">
        <v>8</v>
      </c>
      <c r="L922" t="str">
        <f t="shared" si="57"/>
        <v>6-12 months</v>
      </c>
      <c r="M922" t="s">
        <v>39</v>
      </c>
      <c r="N922">
        <v>9000</v>
      </c>
      <c r="O922">
        <v>19</v>
      </c>
      <c r="P922">
        <v>171000</v>
      </c>
      <c r="Q922">
        <f t="shared" si="58"/>
        <v>9000</v>
      </c>
      <c r="R922" s="13">
        <v>54.2</v>
      </c>
      <c r="S922" t="s">
        <v>36</v>
      </c>
      <c r="T922">
        <f t="shared" si="59"/>
        <v>0</v>
      </c>
      <c r="U922">
        <v>0</v>
      </c>
      <c r="V922">
        <v>0</v>
      </c>
      <c r="W922">
        <v>0</v>
      </c>
    </row>
    <row r="923" spans="1:23" x14ac:dyDescent="0.35">
      <c r="A923" s="7" t="s">
        <v>1013</v>
      </c>
      <c r="B923" t="s">
        <v>1014</v>
      </c>
      <c r="C923" s="1">
        <v>45741</v>
      </c>
      <c r="D923">
        <v>79</v>
      </c>
      <c r="E923" t="str">
        <f t="shared" si="56"/>
        <v>55+</v>
      </c>
      <c r="F923" t="s">
        <v>183</v>
      </c>
      <c r="G923" t="s">
        <v>19</v>
      </c>
      <c r="H923" t="s">
        <v>28</v>
      </c>
      <c r="I923">
        <v>1</v>
      </c>
      <c r="J923" t="s">
        <v>34</v>
      </c>
      <c r="K923">
        <v>8</v>
      </c>
      <c r="L923" t="str">
        <f t="shared" si="57"/>
        <v>6-12 months</v>
      </c>
      <c r="M923" t="s">
        <v>55</v>
      </c>
      <c r="N923">
        <v>16000</v>
      </c>
      <c r="O923">
        <v>18</v>
      </c>
      <c r="P923">
        <v>288000</v>
      </c>
      <c r="Q923">
        <f t="shared" si="58"/>
        <v>16000</v>
      </c>
      <c r="R923" s="13">
        <v>49.64</v>
      </c>
      <c r="S923" t="s">
        <v>36</v>
      </c>
      <c r="T923">
        <f t="shared" si="59"/>
        <v>0</v>
      </c>
      <c r="U923">
        <v>0</v>
      </c>
      <c r="V923">
        <v>0</v>
      </c>
      <c r="W923">
        <v>0</v>
      </c>
    </row>
    <row r="924" spans="1:23" x14ac:dyDescent="0.35">
      <c r="A924" s="7" t="s">
        <v>1015</v>
      </c>
      <c r="B924" t="s">
        <v>1016</v>
      </c>
      <c r="C924" s="1">
        <v>45713</v>
      </c>
      <c r="D924">
        <v>54</v>
      </c>
      <c r="E924" t="str">
        <f t="shared" si="56"/>
        <v>45-54</v>
      </c>
      <c r="F924" t="s">
        <v>105</v>
      </c>
      <c r="G924" t="s">
        <v>19</v>
      </c>
      <c r="H924" t="s">
        <v>28</v>
      </c>
      <c r="I924">
        <v>2</v>
      </c>
      <c r="J924" t="s">
        <v>21</v>
      </c>
      <c r="K924">
        <v>6</v>
      </c>
      <c r="L924" t="str">
        <f t="shared" si="57"/>
        <v>6-12 months</v>
      </c>
      <c r="M924" t="s">
        <v>22</v>
      </c>
      <c r="N924">
        <v>35000</v>
      </c>
      <c r="O924">
        <v>18</v>
      </c>
      <c r="P924">
        <v>630000</v>
      </c>
      <c r="Q924">
        <f t="shared" si="58"/>
        <v>35000</v>
      </c>
      <c r="R924" s="13">
        <v>192.29</v>
      </c>
      <c r="S924" t="s">
        <v>36</v>
      </c>
      <c r="T924">
        <f t="shared" si="59"/>
        <v>0</v>
      </c>
      <c r="U924">
        <v>0</v>
      </c>
      <c r="V924">
        <v>0</v>
      </c>
      <c r="W924">
        <v>0</v>
      </c>
    </row>
    <row r="925" spans="1:23" x14ac:dyDescent="0.35">
      <c r="A925" s="7" t="s">
        <v>1017</v>
      </c>
      <c r="B925" t="s">
        <v>1018</v>
      </c>
      <c r="C925" s="1">
        <v>45741</v>
      </c>
      <c r="D925">
        <v>21</v>
      </c>
      <c r="E925" t="str">
        <f t="shared" si="56"/>
        <v>Under25</v>
      </c>
      <c r="F925" t="s">
        <v>444</v>
      </c>
      <c r="G925" t="s">
        <v>33</v>
      </c>
      <c r="H925" t="s">
        <v>28</v>
      </c>
      <c r="I925">
        <v>2</v>
      </c>
      <c r="J925" t="s">
        <v>21</v>
      </c>
      <c r="K925">
        <v>54</v>
      </c>
      <c r="L925" t="str">
        <f t="shared" si="57"/>
        <v>2+years</v>
      </c>
      <c r="M925" t="s">
        <v>100</v>
      </c>
      <c r="N925">
        <v>75000</v>
      </c>
      <c r="O925">
        <v>7</v>
      </c>
      <c r="P925">
        <v>525000</v>
      </c>
      <c r="Q925">
        <f t="shared" si="58"/>
        <v>75000</v>
      </c>
      <c r="R925" s="13">
        <v>199.85</v>
      </c>
      <c r="S925" t="s">
        <v>23</v>
      </c>
      <c r="T925">
        <f t="shared" si="59"/>
        <v>1</v>
      </c>
      <c r="U925">
        <v>0</v>
      </c>
      <c r="V925">
        <v>0</v>
      </c>
      <c r="W925">
        <v>0</v>
      </c>
    </row>
    <row r="926" spans="1:23" x14ac:dyDescent="0.35">
      <c r="A926" s="7" t="s">
        <v>1017</v>
      </c>
      <c r="B926" t="s">
        <v>1018</v>
      </c>
      <c r="C926" s="1">
        <v>45741</v>
      </c>
      <c r="D926">
        <v>21</v>
      </c>
      <c r="E926" t="str">
        <f t="shared" si="56"/>
        <v>Under25</v>
      </c>
      <c r="F926" t="s">
        <v>444</v>
      </c>
      <c r="G926" t="s">
        <v>27</v>
      </c>
      <c r="H926" t="s">
        <v>28</v>
      </c>
      <c r="I926">
        <v>2</v>
      </c>
      <c r="J926" t="s">
        <v>21</v>
      </c>
      <c r="K926">
        <v>54</v>
      </c>
      <c r="L926" t="str">
        <f t="shared" si="57"/>
        <v>2+years</v>
      </c>
      <c r="M926" t="s">
        <v>187</v>
      </c>
      <c r="N926">
        <v>6500</v>
      </c>
      <c r="O926">
        <v>6</v>
      </c>
      <c r="P926">
        <v>39000</v>
      </c>
      <c r="Q926">
        <f t="shared" si="58"/>
        <v>6500</v>
      </c>
      <c r="R926" s="13">
        <v>56.62</v>
      </c>
      <c r="S926" t="s">
        <v>23</v>
      </c>
      <c r="T926">
        <f t="shared" si="59"/>
        <v>1</v>
      </c>
      <c r="U926">
        <v>0</v>
      </c>
      <c r="V926">
        <v>0</v>
      </c>
      <c r="W926">
        <v>0</v>
      </c>
    </row>
    <row r="927" spans="1:23" x14ac:dyDescent="0.35">
      <c r="A927" s="7" t="s">
        <v>1019</v>
      </c>
      <c r="B927" t="s">
        <v>1020</v>
      </c>
      <c r="C927" s="1">
        <v>45682</v>
      </c>
      <c r="D927">
        <v>24</v>
      </c>
      <c r="E927" t="str">
        <f t="shared" si="56"/>
        <v>Under25</v>
      </c>
      <c r="F927" t="s">
        <v>144</v>
      </c>
      <c r="G927" t="s">
        <v>27</v>
      </c>
      <c r="H927" t="s">
        <v>20</v>
      </c>
      <c r="I927">
        <v>2</v>
      </c>
      <c r="J927" t="s">
        <v>21</v>
      </c>
      <c r="K927">
        <v>26</v>
      </c>
      <c r="L927" t="str">
        <f t="shared" si="57"/>
        <v>2+years</v>
      </c>
      <c r="M927" t="s">
        <v>187</v>
      </c>
      <c r="N927">
        <v>6500</v>
      </c>
      <c r="O927">
        <v>11</v>
      </c>
      <c r="P927">
        <v>71500</v>
      </c>
      <c r="Q927">
        <f t="shared" si="58"/>
        <v>6500</v>
      </c>
      <c r="R927" s="13">
        <v>191.5</v>
      </c>
      <c r="S927" t="s">
        <v>36</v>
      </c>
      <c r="T927">
        <f t="shared" si="59"/>
        <v>0</v>
      </c>
      <c r="U927">
        <v>0</v>
      </c>
      <c r="V927">
        <v>0</v>
      </c>
      <c r="W927">
        <v>0</v>
      </c>
    </row>
    <row r="928" spans="1:23" x14ac:dyDescent="0.35">
      <c r="A928" s="7" t="s">
        <v>1019</v>
      </c>
      <c r="B928" t="s">
        <v>1020</v>
      </c>
      <c r="C928" s="1">
        <v>45682</v>
      </c>
      <c r="D928">
        <v>24</v>
      </c>
      <c r="E928" t="str">
        <f t="shared" si="56"/>
        <v>Under25</v>
      </c>
      <c r="F928" t="s">
        <v>144</v>
      </c>
      <c r="G928" t="s">
        <v>38</v>
      </c>
      <c r="H928" t="s">
        <v>20</v>
      </c>
      <c r="I928">
        <v>2</v>
      </c>
      <c r="J928" t="s">
        <v>21</v>
      </c>
      <c r="K928">
        <v>26</v>
      </c>
      <c r="L928" t="str">
        <f t="shared" si="57"/>
        <v>2+years</v>
      </c>
      <c r="M928" t="s">
        <v>62</v>
      </c>
      <c r="N928">
        <v>30000</v>
      </c>
      <c r="O928">
        <v>15</v>
      </c>
      <c r="P928">
        <v>450000</v>
      </c>
      <c r="Q928">
        <f t="shared" si="58"/>
        <v>30000</v>
      </c>
      <c r="R928" s="13">
        <v>127.22</v>
      </c>
      <c r="S928" t="s">
        <v>36</v>
      </c>
      <c r="T928">
        <f t="shared" si="59"/>
        <v>0</v>
      </c>
      <c r="U928">
        <v>0</v>
      </c>
      <c r="V928">
        <v>0</v>
      </c>
      <c r="W928">
        <v>0</v>
      </c>
    </row>
    <row r="929" spans="1:23" x14ac:dyDescent="0.35">
      <c r="A929" s="7" t="s">
        <v>1021</v>
      </c>
      <c r="B929" t="s">
        <v>1022</v>
      </c>
      <c r="C929" s="1">
        <v>45682</v>
      </c>
      <c r="D929">
        <v>47</v>
      </c>
      <c r="E929" t="str">
        <f t="shared" si="56"/>
        <v>45-54</v>
      </c>
      <c r="F929" t="s">
        <v>252</v>
      </c>
      <c r="G929" t="s">
        <v>19</v>
      </c>
      <c r="H929" t="s">
        <v>28</v>
      </c>
      <c r="I929">
        <v>5</v>
      </c>
      <c r="J929" t="s">
        <v>52</v>
      </c>
      <c r="K929">
        <v>14</v>
      </c>
      <c r="L929" t="str">
        <f t="shared" si="57"/>
        <v>1-2 years</v>
      </c>
      <c r="M929" t="s">
        <v>22</v>
      </c>
      <c r="N929">
        <v>35000</v>
      </c>
      <c r="O929">
        <v>1</v>
      </c>
      <c r="P929">
        <v>35000</v>
      </c>
      <c r="Q929">
        <f t="shared" si="58"/>
        <v>35000</v>
      </c>
      <c r="R929" s="13">
        <v>1.35</v>
      </c>
      <c r="S929" t="s">
        <v>36</v>
      </c>
      <c r="T929">
        <f t="shared" si="59"/>
        <v>0</v>
      </c>
      <c r="U929">
        <v>0</v>
      </c>
      <c r="V929">
        <v>0</v>
      </c>
      <c r="W929">
        <v>0</v>
      </c>
    </row>
    <row r="930" spans="1:23" x14ac:dyDescent="0.35">
      <c r="A930" s="7" t="s">
        <v>1021</v>
      </c>
      <c r="B930" t="s">
        <v>1022</v>
      </c>
      <c r="C930" s="1">
        <v>45682</v>
      </c>
      <c r="D930">
        <v>47</v>
      </c>
      <c r="E930" t="str">
        <f t="shared" si="56"/>
        <v>45-54</v>
      </c>
      <c r="F930" t="s">
        <v>252</v>
      </c>
      <c r="G930" t="s">
        <v>33</v>
      </c>
      <c r="H930" t="s">
        <v>28</v>
      </c>
      <c r="I930">
        <v>5</v>
      </c>
      <c r="J930" t="s">
        <v>52</v>
      </c>
      <c r="K930">
        <v>14</v>
      </c>
      <c r="L930" t="str">
        <f t="shared" si="57"/>
        <v>1-2 years</v>
      </c>
      <c r="M930" t="s">
        <v>62</v>
      </c>
      <c r="N930">
        <v>30000</v>
      </c>
      <c r="O930">
        <v>16</v>
      </c>
      <c r="P930">
        <v>480000</v>
      </c>
      <c r="Q930">
        <f t="shared" si="58"/>
        <v>30000</v>
      </c>
      <c r="R930" s="13">
        <v>82.93</v>
      </c>
      <c r="S930" t="s">
        <v>36</v>
      </c>
      <c r="T930">
        <f t="shared" si="59"/>
        <v>0</v>
      </c>
      <c r="U930">
        <v>0</v>
      </c>
      <c r="V930">
        <v>0</v>
      </c>
      <c r="W930">
        <v>0</v>
      </c>
    </row>
    <row r="931" spans="1:23" x14ac:dyDescent="0.35">
      <c r="A931" s="7" t="s">
        <v>1021</v>
      </c>
      <c r="B931" t="s">
        <v>1022</v>
      </c>
      <c r="C931" s="1">
        <v>45682</v>
      </c>
      <c r="D931">
        <v>47</v>
      </c>
      <c r="E931" t="str">
        <f t="shared" si="56"/>
        <v>45-54</v>
      </c>
      <c r="F931" t="s">
        <v>252</v>
      </c>
      <c r="G931" t="s">
        <v>38</v>
      </c>
      <c r="H931" t="s">
        <v>28</v>
      </c>
      <c r="I931">
        <v>5</v>
      </c>
      <c r="J931" t="s">
        <v>52</v>
      </c>
      <c r="K931">
        <v>14</v>
      </c>
      <c r="L931" t="str">
        <f t="shared" si="57"/>
        <v>1-2 years</v>
      </c>
      <c r="M931" t="s">
        <v>68</v>
      </c>
      <c r="N931">
        <v>14500</v>
      </c>
      <c r="O931">
        <v>3</v>
      </c>
      <c r="P931">
        <v>43500</v>
      </c>
      <c r="Q931">
        <f t="shared" si="58"/>
        <v>14500</v>
      </c>
      <c r="R931" s="13">
        <v>107.86</v>
      </c>
      <c r="S931" t="s">
        <v>36</v>
      </c>
      <c r="T931">
        <f t="shared" si="59"/>
        <v>0</v>
      </c>
      <c r="U931">
        <v>0</v>
      </c>
      <c r="V931">
        <v>0</v>
      </c>
      <c r="W931">
        <v>0</v>
      </c>
    </row>
    <row r="932" spans="1:23" x14ac:dyDescent="0.35">
      <c r="A932" s="7" t="s">
        <v>1023</v>
      </c>
      <c r="B932" t="s">
        <v>1024</v>
      </c>
      <c r="C932" s="1">
        <v>45682</v>
      </c>
      <c r="D932">
        <v>75</v>
      </c>
      <c r="E932" t="str">
        <f t="shared" si="56"/>
        <v>55+</v>
      </c>
      <c r="F932" t="s">
        <v>42</v>
      </c>
      <c r="G932" t="s">
        <v>33</v>
      </c>
      <c r="H932" t="s">
        <v>20</v>
      </c>
      <c r="I932">
        <v>2</v>
      </c>
      <c r="J932" t="s">
        <v>21</v>
      </c>
      <c r="K932">
        <v>29</v>
      </c>
      <c r="L932" t="str">
        <f t="shared" si="57"/>
        <v>2+years</v>
      </c>
      <c r="M932" t="s">
        <v>35</v>
      </c>
      <c r="N932">
        <v>20000</v>
      </c>
      <c r="O932">
        <v>10</v>
      </c>
      <c r="P932">
        <v>200000</v>
      </c>
      <c r="Q932">
        <f t="shared" si="58"/>
        <v>20000</v>
      </c>
      <c r="R932" s="13">
        <v>163.35</v>
      </c>
      <c r="S932" t="s">
        <v>36</v>
      </c>
      <c r="T932">
        <f t="shared" si="59"/>
        <v>0</v>
      </c>
      <c r="U932">
        <v>0</v>
      </c>
      <c r="V932">
        <v>0</v>
      </c>
      <c r="W932">
        <v>0</v>
      </c>
    </row>
    <row r="933" spans="1:23" x14ac:dyDescent="0.35">
      <c r="A933" s="7" t="s">
        <v>1023</v>
      </c>
      <c r="B933" t="s">
        <v>1024</v>
      </c>
      <c r="C933" s="1">
        <v>45682</v>
      </c>
      <c r="D933">
        <v>75</v>
      </c>
      <c r="E933" t="str">
        <f t="shared" si="56"/>
        <v>55+</v>
      </c>
      <c r="F933" t="s">
        <v>42</v>
      </c>
      <c r="G933" t="s">
        <v>38</v>
      </c>
      <c r="H933" t="s">
        <v>20</v>
      </c>
      <c r="I933">
        <v>2</v>
      </c>
      <c r="J933" t="s">
        <v>21</v>
      </c>
      <c r="K933">
        <v>29</v>
      </c>
      <c r="L933" t="str">
        <f t="shared" si="57"/>
        <v>2+years</v>
      </c>
      <c r="M933" t="s">
        <v>35</v>
      </c>
      <c r="N933">
        <v>20000</v>
      </c>
      <c r="O933">
        <v>16</v>
      </c>
      <c r="P933">
        <v>320000</v>
      </c>
      <c r="Q933">
        <f t="shared" si="58"/>
        <v>20000</v>
      </c>
      <c r="R933" s="13">
        <v>47.23</v>
      </c>
      <c r="S933" t="s">
        <v>36</v>
      </c>
      <c r="T933">
        <f t="shared" si="59"/>
        <v>0</v>
      </c>
      <c r="U933">
        <v>0</v>
      </c>
      <c r="V933">
        <v>0</v>
      </c>
      <c r="W933">
        <v>0</v>
      </c>
    </row>
    <row r="934" spans="1:23" x14ac:dyDescent="0.35">
      <c r="A934" s="7" t="s">
        <v>1025</v>
      </c>
      <c r="B934" t="s">
        <v>1026</v>
      </c>
      <c r="C934" s="1">
        <v>45713</v>
      </c>
      <c r="D934">
        <v>20</v>
      </c>
      <c r="E934" t="str">
        <f t="shared" si="56"/>
        <v>Under25</v>
      </c>
      <c r="F934" t="s">
        <v>186</v>
      </c>
      <c r="G934" t="s">
        <v>27</v>
      </c>
      <c r="H934" t="s">
        <v>28</v>
      </c>
      <c r="I934">
        <v>1</v>
      </c>
      <c r="J934" t="s">
        <v>34</v>
      </c>
      <c r="K934">
        <v>58</v>
      </c>
      <c r="L934" t="str">
        <f t="shared" si="57"/>
        <v>2+years</v>
      </c>
      <c r="M934" t="s">
        <v>187</v>
      </c>
      <c r="N934">
        <v>6500</v>
      </c>
      <c r="O934">
        <v>18</v>
      </c>
      <c r="P934">
        <v>117000</v>
      </c>
      <c r="Q934">
        <f t="shared" si="58"/>
        <v>6500</v>
      </c>
      <c r="R934" s="13">
        <v>99.06</v>
      </c>
      <c r="S934" t="s">
        <v>23</v>
      </c>
      <c r="T934">
        <f t="shared" si="59"/>
        <v>1</v>
      </c>
      <c r="U934">
        <v>0</v>
      </c>
      <c r="V934">
        <v>0</v>
      </c>
      <c r="W934">
        <v>0</v>
      </c>
    </row>
    <row r="935" spans="1:23" x14ac:dyDescent="0.35">
      <c r="A935" s="7" t="s">
        <v>1025</v>
      </c>
      <c r="B935" t="s">
        <v>1026</v>
      </c>
      <c r="C935" s="1">
        <v>45713</v>
      </c>
      <c r="D935">
        <v>20</v>
      </c>
      <c r="E935" t="str">
        <f t="shared" si="56"/>
        <v>Under25</v>
      </c>
      <c r="F935" t="s">
        <v>186</v>
      </c>
      <c r="G935" t="s">
        <v>38</v>
      </c>
      <c r="H935" t="s">
        <v>28</v>
      </c>
      <c r="I935">
        <v>1</v>
      </c>
      <c r="J935" t="s">
        <v>34</v>
      </c>
      <c r="K935">
        <v>58</v>
      </c>
      <c r="L935" t="str">
        <f t="shared" si="57"/>
        <v>2+years</v>
      </c>
      <c r="M935" t="s">
        <v>35</v>
      </c>
      <c r="N935">
        <v>20000</v>
      </c>
      <c r="O935">
        <v>19</v>
      </c>
      <c r="P935">
        <v>380000</v>
      </c>
      <c r="Q935">
        <f t="shared" si="58"/>
        <v>20000</v>
      </c>
      <c r="R935" s="13">
        <v>132.13999999999999</v>
      </c>
      <c r="S935" t="s">
        <v>23</v>
      </c>
      <c r="T935">
        <f t="shared" si="59"/>
        <v>1</v>
      </c>
      <c r="U935">
        <v>0</v>
      </c>
      <c r="V935">
        <v>0</v>
      </c>
      <c r="W935">
        <v>0</v>
      </c>
    </row>
    <row r="936" spans="1:23" x14ac:dyDescent="0.35">
      <c r="A936" s="7" t="s">
        <v>1025</v>
      </c>
      <c r="B936" t="s">
        <v>1026</v>
      </c>
      <c r="C936" s="1">
        <v>45713</v>
      </c>
      <c r="D936">
        <v>20</v>
      </c>
      <c r="E936" t="str">
        <f t="shared" si="56"/>
        <v>Under25</v>
      </c>
      <c r="F936" t="s">
        <v>186</v>
      </c>
      <c r="G936" t="s">
        <v>19</v>
      </c>
      <c r="H936" t="s">
        <v>28</v>
      </c>
      <c r="I936">
        <v>1</v>
      </c>
      <c r="J936" t="s">
        <v>34</v>
      </c>
      <c r="K936">
        <v>58</v>
      </c>
      <c r="L936" t="str">
        <f t="shared" si="57"/>
        <v>2+years</v>
      </c>
      <c r="M936" t="s">
        <v>43</v>
      </c>
      <c r="N936">
        <v>4500</v>
      </c>
      <c r="O936">
        <v>5</v>
      </c>
      <c r="P936">
        <v>22500</v>
      </c>
      <c r="Q936">
        <f t="shared" si="58"/>
        <v>4500</v>
      </c>
      <c r="R936" s="13">
        <v>13.54</v>
      </c>
      <c r="S936" t="s">
        <v>23</v>
      </c>
      <c r="T936">
        <f t="shared" si="59"/>
        <v>1</v>
      </c>
      <c r="U936">
        <v>0</v>
      </c>
      <c r="V936">
        <v>0</v>
      </c>
      <c r="W936">
        <v>0</v>
      </c>
    </row>
    <row r="937" spans="1:23" x14ac:dyDescent="0.35">
      <c r="A937" s="7" t="s">
        <v>1027</v>
      </c>
      <c r="B937" t="s">
        <v>1028</v>
      </c>
      <c r="C937" s="1">
        <v>45741</v>
      </c>
      <c r="D937">
        <v>32</v>
      </c>
      <c r="E937" t="str">
        <f t="shared" si="56"/>
        <v>25-34</v>
      </c>
      <c r="F937" t="s">
        <v>138</v>
      </c>
      <c r="G937" t="s">
        <v>33</v>
      </c>
      <c r="H937" t="s">
        <v>20</v>
      </c>
      <c r="I937">
        <v>2</v>
      </c>
      <c r="J937" t="s">
        <v>21</v>
      </c>
      <c r="K937">
        <v>57</v>
      </c>
      <c r="L937" t="str">
        <f t="shared" si="57"/>
        <v>2+years</v>
      </c>
      <c r="M937" t="s">
        <v>54</v>
      </c>
      <c r="N937">
        <v>150000</v>
      </c>
      <c r="O937">
        <v>14</v>
      </c>
      <c r="P937">
        <v>2100000</v>
      </c>
      <c r="Q937">
        <f t="shared" si="58"/>
        <v>150000</v>
      </c>
      <c r="R937" s="13">
        <v>0.89</v>
      </c>
      <c r="S937" t="s">
        <v>36</v>
      </c>
      <c r="T937">
        <f t="shared" si="59"/>
        <v>0</v>
      </c>
      <c r="U937">
        <v>0</v>
      </c>
      <c r="V937">
        <v>0</v>
      </c>
      <c r="W937">
        <v>0</v>
      </c>
    </row>
    <row r="938" spans="1:23" x14ac:dyDescent="0.35">
      <c r="A938" s="7" t="s">
        <v>1029</v>
      </c>
      <c r="B938" t="s">
        <v>1030</v>
      </c>
      <c r="C938" s="1">
        <v>45682</v>
      </c>
      <c r="D938">
        <v>57</v>
      </c>
      <c r="E938" t="str">
        <f t="shared" si="56"/>
        <v>55+</v>
      </c>
      <c r="F938" t="s">
        <v>18</v>
      </c>
      <c r="G938" t="s">
        <v>38</v>
      </c>
      <c r="H938" t="s">
        <v>28</v>
      </c>
      <c r="I938">
        <v>5</v>
      </c>
      <c r="J938" t="s">
        <v>52</v>
      </c>
      <c r="K938">
        <v>18</v>
      </c>
      <c r="L938" t="str">
        <f t="shared" si="57"/>
        <v>1-2 years</v>
      </c>
      <c r="M938" t="s">
        <v>35</v>
      </c>
      <c r="N938">
        <v>20000</v>
      </c>
      <c r="O938">
        <v>14</v>
      </c>
      <c r="P938">
        <v>280000</v>
      </c>
      <c r="Q938">
        <f t="shared" si="58"/>
        <v>20000</v>
      </c>
      <c r="R938" s="13">
        <v>9.8699999999999992</v>
      </c>
      <c r="S938" t="s">
        <v>36</v>
      </c>
      <c r="T938">
        <f t="shared" si="59"/>
        <v>0</v>
      </c>
      <c r="U938">
        <v>0</v>
      </c>
      <c r="V938">
        <v>0</v>
      </c>
      <c r="W938">
        <v>0</v>
      </c>
    </row>
    <row r="939" spans="1:23" x14ac:dyDescent="0.35">
      <c r="A939" s="7" t="s">
        <v>1029</v>
      </c>
      <c r="B939" t="s">
        <v>1030</v>
      </c>
      <c r="C939" s="1">
        <v>45682</v>
      </c>
      <c r="D939">
        <v>57</v>
      </c>
      <c r="E939" t="str">
        <f t="shared" si="56"/>
        <v>55+</v>
      </c>
      <c r="F939" t="s">
        <v>18</v>
      </c>
      <c r="G939" t="s">
        <v>33</v>
      </c>
      <c r="H939" t="s">
        <v>28</v>
      </c>
      <c r="I939">
        <v>5</v>
      </c>
      <c r="J939" t="s">
        <v>52</v>
      </c>
      <c r="K939">
        <v>18</v>
      </c>
      <c r="L939" t="str">
        <f t="shared" si="57"/>
        <v>1-2 years</v>
      </c>
      <c r="M939" t="s">
        <v>54</v>
      </c>
      <c r="N939">
        <v>150000</v>
      </c>
      <c r="O939">
        <v>13</v>
      </c>
      <c r="P939">
        <v>1950000</v>
      </c>
      <c r="Q939">
        <f t="shared" si="58"/>
        <v>150000</v>
      </c>
      <c r="R939" s="13">
        <v>63.59</v>
      </c>
      <c r="S939" t="s">
        <v>36</v>
      </c>
      <c r="T939">
        <f t="shared" si="59"/>
        <v>0</v>
      </c>
      <c r="U939">
        <v>0</v>
      </c>
      <c r="V939">
        <v>0</v>
      </c>
      <c r="W939">
        <v>0</v>
      </c>
    </row>
    <row r="940" spans="1:23" x14ac:dyDescent="0.35">
      <c r="A940" s="7" t="s">
        <v>1031</v>
      </c>
      <c r="B940" t="s">
        <v>788</v>
      </c>
      <c r="C940" s="1">
        <v>45713</v>
      </c>
      <c r="D940">
        <v>58</v>
      </c>
      <c r="E940" t="str">
        <f t="shared" si="56"/>
        <v>55+</v>
      </c>
      <c r="F940" t="s">
        <v>291</v>
      </c>
      <c r="G940" t="s">
        <v>19</v>
      </c>
      <c r="H940" t="s">
        <v>20</v>
      </c>
      <c r="I940">
        <v>4</v>
      </c>
      <c r="J940" t="s">
        <v>109</v>
      </c>
      <c r="K940">
        <v>48</v>
      </c>
      <c r="L940" t="str">
        <f t="shared" si="57"/>
        <v>2+years</v>
      </c>
      <c r="M940" t="s">
        <v>43</v>
      </c>
      <c r="N940">
        <v>4500</v>
      </c>
      <c r="O940">
        <v>3</v>
      </c>
      <c r="P940">
        <v>13500</v>
      </c>
      <c r="Q940">
        <f t="shared" si="58"/>
        <v>4500</v>
      </c>
      <c r="R940" s="13">
        <v>66.180000000000007</v>
      </c>
      <c r="S940" t="s">
        <v>36</v>
      </c>
      <c r="T940">
        <f t="shared" si="59"/>
        <v>0</v>
      </c>
      <c r="U940">
        <v>0</v>
      </c>
      <c r="V940">
        <v>0</v>
      </c>
      <c r="W940">
        <v>0</v>
      </c>
    </row>
    <row r="941" spans="1:23" x14ac:dyDescent="0.35">
      <c r="A941" s="7" t="s">
        <v>1032</v>
      </c>
      <c r="B941" t="s">
        <v>1033</v>
      </c>
      <c r="C941" s="1">
        <v>45682</v>
      </c>
      <c r="D941">
        <v>76</v>
      </c>
      <c r="E941" t="str">
        <f t="shared" si="56"/>
        <v>55+</v>
      </c>
      <c r="F941" t="s">
        <v>67</v>
      </c>
      <c r="G941" t="s">
        <v>38</v>
      </c>
      <c r="H941" t="s">
        <v>28</v>
      </c>
      <c r="I941">
        <v>3</v>
      </c>
      <c r="J941" t="s">
        <v>47</v>
      </c>
      <c r="K941">
        <v>54</v>
      </c>
      <c r="L941" t="str">
        <f t="shared" si="57"/>
        <v>2+years</v>
      </c>
      <c r="M941" t="s">
        <v>59</v>
      </c>
      <c r="N941">
        <v>24000</v>
      </c>
      <c r="O941">
        <v>4</v>
      </c>
      <c r="P941">
        <v>96000</v>
      </c>
      <c r="Q941">
        <f t="shared" si="58"/>
        <v>24000</v>
      </c>
      <c r="R941" s="13">
        <v>124.1</v>
      </c>
      <c r="S941" t="s">
        <v>36</v>
      </c>
      <c r="T941">
        <f t="shared" si="59"/>
        <v>0</v>
      </c>
      <c r="U941">
        <v>0</v>
      </c>
      <c r="V941">
        <v>0</v>
      </c>
      <c r="W941">
        <v>0</v>
      </c>
    </row>
    <row r="942" spans="1:23" x14ac:dyDescent="0.35">
      <c r="A942" s="7" t="s">
        <v>1034</v>
      </c>
      <c r="B942" t="s">
        <v>1035</v>
      </c>
      <c r="C942" s="1">
        <v>45682</v>
      </c>
      <c r="D942">
        <v>31</v>
      </c>
      <c r="E942" t="str">
        <f t="shared" si="56"/>
        <v>25-34</v>
      </c>
      <c r="F942" t="s">
        <v>291</v>
      </c>
      <c r="G942" t="s">
        <v>38</v>
      </c>
      <c r="H942" t="s">
        <v>20</v>
      </c>
      <c r="I942">
        <v>4</v>
      </c>
      <c r="J942" t="s">
        <v>109</v>
      </c>
      <c r="K942">
        <v>59</v>
      </c>
      <c r="L942" t="str">
        <f t="shared" si="57"/>
        <v>2+years</v>
      </c>
      <c r="M942" t="s">
        <v>68</v>
      </c>
      <c r="N942">
        <v>14500</v>
      </c>
      <c r="O942">
        <v>20</v>
      </c>
      <c r="P942">
        <v>290000</v>
      </c>
      <c r="Q942">
        <f t="shared" si="58"/>
        <v>14500</v>
      </c>
      <c r="R942" s="13">
        <v>11.43</v>
      </c>
      <c r="S942" t="s">
        <v>36</v>
      </c>
      <c r="T942">
        <f t="shared" si="59"/>
        <v>0</v>
      </c>
      <c r="U942">
        <v>0</v>
      </c>
      <c r="V942">
        <v>0</v>
      </c>
      <c r="W942">
        <v>0</v>
      </c>
    </row>
    <row r="943" spans="1:23" x14ac:dyDescent="0.35">
      <c r="A943" s="7" t="s">
        <v>1034</v>
      </c>
      <c r="B943" t="s">
        <v>1035</v>
      </c>
      <c r="C943" s="1">
        <v>45682</v>
      </c>
      <c r="D943">
        <v>31</v>
      </c>
      <c r="E943" t="str">
        <f t="shared" si="56"/>
        <v>25-34</v>
      </c>
      <c r="F943" t="s">
        <v>291</v>
      </c>
      <c r="G943" t="s">
        <v>27</v>
      </c>
      <c r="H943" t="s">
        <v>20</v>
      </c>
      <c r="I943">
        <v>4</v>
      </c>
      <c r="J943" t="s">
        <v>109</v>
      </c>
      <c r="K943">
        <v>59</v>
      </c>
      <c r="L943" t="str">
        <f t="shared" si="57"/>
        <v>2+years</v>
      </c>
      <c r="M943" t="s">
        <v>83</v>
      </c>
      <c r="N943">
        <v>7500</v>
      </c>
      <c r="O943">
        <v>2</v>
      </c>
      <c r="P943">
        <v>15000</v>
      </c>
      <c r="Q943">
        <f t="shared" si="58"/>
        <v>7500</v>
      </c>
      <c r="R943" s="13">
        <v>13.63</v>
      </c>
      <c r="S943" t="s">
        <v>36</v>
      </c>
      <c r="T943">
        <f t="shared" si="59"/>
        <v>0</v>
      </c>
      <c r="U943">
        <v>0</v>
      </c>
      <c r="V943">
        <v>0</v>
      </c>
      <c r="W943">
        <v>0</v>
      </c>
    </row>
    <row r="944" spans="1:23" x14ac:dyDescent="0.35">
      <c r="A944" s="7" t="s">
        <v>1034</v>
      </c>
      <c r="B944" t="s">
        <v>1035</v>
      </c>
      <c r="C944" s="1">
        <v>45682</v>
      </c>
      <c r="D944">
        <v>31</v>
      </c>
      <c r="E944" t="str">
        <f t="shared" si="56"/>
        <v>25-34</v>
      </c>
      <c r="F944" t="s">
        <v>291</v>
      </c>
      <c r="G944" t="s">
        <v>33</v>
      </c>
      <c r="H944" t="s">
        <v>20</v>
      </c>
      <c r="I944">
        <v>4</v>
      </c>
      <c r="J944" t="s">
        <v>109</v>
      </c>
      <c r="K944">
        <v>59</v>
      </c>
      <c r="L944" t="str">
        <f t="shared" si="57"/>
        <v>2+years</v>
      </c>
      <c r="M944" t="s">
        <v>39</v>
      </c>
      <c r="N944">
        <v>9000</v>
      </c>
      <c r="O944">
        <v>13</v>
      </c>
      <c r="P944">
        <v>117000</v>
      </c>
      <c r="Q944">
        <f t="shared" si="58"/>
        <v>9000</v>
      </c>
      <c r="R944" s="13">
        <v>59.34</v>
      </c>
      <c r="S944" t="s">
        <v>36</v>
      </c>
      <c r="T944">
        <f t="shared" si="59"/>
        <v>0</v>
      </c>
      <c r="U944">
        <v>0</v>
      </c>
      <c r="V944">
        <v>0</v>
      </c>
      <c r="W944">
        <v>0</v>
      </c>
    </row>
    <row r="945" spans="1:23" x14ac:dyDescent="0.35">
      <c r="A945" s="7" t="s">
        <v>1036</v>
      </c>
      <c r="B945" t="s">
        <v>1037</v>
      </c>
      <c r="C945" s="1">
        <v>45682</v>
      </c>
      <c r="D945">
        <v>28</v>
      </c>
      <c r="E945" t="str">
        <f t="shared" si="56"/>
        <v>25-34</v>
      </c>
      <c r="F945" t="s">
        <v>105</v>
      </c>
      <c r="G945" t="s">
        <v>38</v>
      </c>
      <c r="H945" t="s">
        <v>20</v>
      </c>
      <c r="I945">
        <v>4</v>
      </c>
      <c r="J945" t="s">
        <v>109</v>
      </c>
      <c r="K945">
        <v>56</v>
      </c>
      <c r="L945" t="str">
        <f t="shared" si="57"/>
        <v>2+years</v>
      </c>
      <c r="M945" t="s">
        <v>39</v>
      </c>
      <c r="N945">
        <v>9000</v>
      </c>
      <c r="O945">
        <v>11</v>
      </c>
      <c r="P945">
        <v>99000</v>
      </c>
      <c r="Q945">
        <f t="shared" si="58"/>
        <v>9000</v>
      </c>
      <c r="R945" s="13">
        <v>91.09</v>
      </c>
      <c r="S945" t="s">
        <v>36</v>
      </c>
      <c r="T945">
        <f t="shared" si="59"/>
        <v>0</v>
      </c>
      <c r="U945">
        <v>0</v>
      </c>
      <c r="V945">
        <v>0</v>
      </c>
      <c r="W945">
        <v>0</v>
      </c>
    </row>
    <row r="946" spans="1:23" x14ac:dyDescent="0.35">
      <c r="A946" s="7" t="s">
        <v>1036</v>
      </c>
      <c r="B946" t="s">
        <v>1037</v>
      </c>
      <c r="C946" s="1">
        <v>45682</v>
      </c>
      <c r="D946">
        <v>28</v>
      </c>
      <c r="E946" t="str">
        <f t="shared" si="56"/>
        <v>25-34</v>
      </c>
      <c r="F946" t="s">
        <v>105</v>
      </c>
      <c r="G946" t="s">
        <v>19</v>
      </c>
      <c r="H946" t="s">
        <v>20</v>
      </c>
      <c r="I946">
        <v>4</v>
      </c>
      <c r="J946" t="s">
        <v>109</v>
      </c>
      <c r="K946">
        <v>56</v>
      </c>
      <c r="L946" t="str">
        <f t="shared" si="57"/>
        <v>2+years</v>
      </c>
      <c r="M946" t="s">
        <v>43</v>
      </c>
      <c r="N946">
        <v>4500</v>
      </c>
      <c r="O946">
        <v>1</v>
      </c>
      <c r="P946">
        <v>4500</v>
      </c>
      <c r="Q946">
        <f t="shared" si="58"/>
        <v>4500</v>
      </c>
      <c r="R946" s="13">
        <v>22.05</v>
      </c>
      <c r="S946" t="s">
        <v>36</v>
      </c>
      <c r="T946">
        <f t="shared" si="59"/>
        <v>0</v>
      </c>
      <c r="U946">
        <v>0</v>
      </c>
      <c r="V946">
        <v>0</v>
      </c>
      <c r="W946">
        <v>0</v>
      </c>
    </row>
    <row r="947" spans="1:23" x14ac:dyDescent="0.35">
      <c r="A947" s="7" t="s">
        <v>1038</v>
      </c>
      <c r="B947" t="s">
        <v>1039</v>
      </c>
      <c r="C947" s="1">
        <v>45682</v>
      </c>
      <c r="D947">
        <v>40</v>
      </c>
      <c r="E947" t="str">
        <f t="shared" si="56"/>
        <v>35-44</v>
      </c>
      <c r="F947" t="s">
        <v>135</v>
      </c>
      <c r="G947" t="s">
        <v>19</v>
      </c>
      <c r="H947" t="s">
        <v>28</v>
      </c>
      <c r="I947">
        <v>4</v>
      </c>
      <c r="J947" t="s">
        <v>109</v>
      </c>
      <c r="K947">
        <v>23</v>
      </c>
      <c r="L947" t="str">
        <f t="shared" si="57"/>
        <v>1-2 years</v>
      </c>
      <c r="M947" t="s">
        <v>43</v>
      </c>
      <c r="N947">
        <v>4500</v>
      </c>
      <c r="O947">
        <v>2</v>
      </c>
      <c r="P947">
        <v>9000</v>
      </c>
      <c r="Q947">
        <f t="shared" si="58"/>
        <v>4500</v>
      </c>
      <c r="R947" s="13">
        <v>159.51</v>
      </c>
      <c r="S947" t="s">
        <v>36</v>
      </c>
      <c r="T947">
        <f t="shared" si="59"/>
        <v>0</v>
      </c>
      <c r="U947">
        <v>0</v>
      </c>
      <c r="V947">
        <v>0</v>
      </c>
      <c r="W947">
        <v>0</v>
      </c>
    </row>
    <row r="948" spans="1:23" x14ac:dyDescent="0.35">
      <c r="A948" s="7" t="s">
        <v>1038</v>
      </c>
      <c r="B948" t="s">
        <v>1039</v>
      </c>
      <c r="C948" s="1">
        <v>45682</v>
      </c>
      <c r="D948">
        <v>40</v>
      </c>
      <c r="E948" t="str">
        <f t="shared" si="56"/>
        <v>35-44</v>
      </c>
      <c r="F948" t="s">
        <v>135</v>
      </c>
      <c r="G948" t="s">
        <v>38</v>
      </c>
      <c r="H948" t="s">
        <v>28</v>
      </c>
      <c r="I948">
        <v>4</v>
      </c>
      <c r="J948" t="s">
        <v>109</v>
      </c>
      <c r="K948">
        <v>23</v>
      </c>
      <c r="L948" t="str">
        <f t="shared" si="57"/>
        <v>1-2 years</v>
      </c>
      <c r="M948" t="s">
        <v>35</v>
      </c>
      <c r="N948">
        <v>20000</v>
      </c>
      <c r="O948">
        <v>14</v>
      </c>
      <c r="P948">
        <v>280000</v>
      </c>
      <c r="Q948">
        <f t="shared" si="58"/>
        <v>20000</v>
      </c>
      <c r="R948" s="13">
        <v>62.68</v>
      </c>
      <c r="S948" t="s">
        <v>36</v>
      </c>
      <c r="T948">
        <f t="shared" si="59"/>
        <v>0</v>
      </c>
      <c r="U948">
        <v>0</v>
      </c>
      <c r="V948">
        <v>0</v>
      </c>
      <c r="W948">
        <v>0</v>
      </c>
    </row>
    <row r="949" spans="1:23" x14ac:dyDescent="0.35">
      <c r="A949" s="7" t="s">
        <v>1040</v>
      </c>
      <c r="B949" t="s">
        <v>569</v>
      </c>
      <c r="C949" s="1">
        <v>45682</v>
      </c>
      <c r="D949">
        <v>61</v>
      </c>
      <c r="E949" t="str">
        <f t="shared" si="56"/>
        <v>55+</v>
      </c>
      <c r="F949" t="s">
        <v>144</v>
      </c>
      <c r="G949" t="s">
        <v>33</v>
      </c>
      <c r="H949" t="s">
        <v>20</v>
      </c>
      <c r="I949">
        <v>3</v>
      </c>
      <c r="J949" t="s">
        <v>47</v>
      </c>
      <c r="K949">
        <v>10</v>
      </c>
      <c r="L949" t="str">
        <f t="shared" si="57"/>
        <v>6-12 months</v>
      </c>
      <c r="M949" t="s">
        <v>62</v>
      </c>
      <c r="N949">
        <v>30000</v>
      </c>
      <c r="O949">
        <v>17</v>
      </c>
      <c r="P949">
        <v>510000</v>
      </c>
      <c r="Q949">
        <f t="shared" si="58"/>
        <v>30000</v>
      </c>
      <c r="R949" s="13">
        <v>11.93</v>
      </c>
      <c r="S949" t="s">
        <v>36</v>
      </c>
      <c r="T949">
        <f t="shared" si="59"/>
        <v>0</v>
      </c>
      <c r="U949">
        <v>0</v>
      </c>
      <c r="V949">
        <v>0</v>
      </c>
      <c r="W949">
        <v>0</v>
      </c>
    </row>
    <row r="950" spans="1:23" x14ac:dyDescent="0.35">
      <c r="A950" s="7" t="s">
        <v>1040</v>
      </c>
      <c r="B950" t="s">
        <v>569</v>
      </c>
      <c r="C950" s="1">
        <v>45682</v>
      </c>
      <c r="D950">
        <v>61</v>
      </c>
      <c r="E950" t="str">
        <f t="shared" si="56"/>
        <v>55+</v>
      </c>
      <c r="F950" t="s">
        <v>144</v>
      </c>
      <c r="G950" t="s">
        <v>38</v>
      </c>
      <c r="H950" t="s">
        <v>20</v>
      </c>
      <c r="I950">
        <v>3</v>
      </c>
      <c r="J950" t="s">
        <v>47</v>
      </c>
      <c r="K950">
        <v>10</v>
      </c>
      <c r="L950" t="str">
        <f t="shared" si="57"/>
        <v>6-12 months</v>
      </c>
      <c r="M950" t="s">
        <v>59</v>
      </c>
      <c r="N950">
        <v>24000</v>
      </c>
      <c r="O950">
        <v>14</v>
      </c>
      <c r="P950">
        <v>336000</v>
      </c>
      <c r="Q950">
        <f t="shared" si="58"/>
        <v>24000</v>
      </c>
      <c r="R950" s="13">
        <v>171.81</v>
      </c>
      <c r="S950" t="s">
        <v>36</v>
      </c>
      <c r="T950">
        <f t="shared" si="59"/>
        <v>0</v>
      </c>
      <c r="U950">
        <v>0</v>
      </c>
      <c r="V950">
        <v>0</v>
      </c>
      <c r="W950">
        <v>0</v>
      </c>
    </row>
    <row r="951" spans="1:23" x14ac:dyDescent="0.35">
      <c r="A951" s="7" t="s">
        <v>1041</v>
      </c>
      <c r="B951" t="s">
        <v>1042</v>
      </c>
      <c r="C951" s="1">
        <v>45682</v>
      </c>
      <c r="D951">
        <v>41</v>
      </c>
      <c r="E951" t="str">
        <f t="shared" si="56"/>
        <v>35-44</v>
      </c>
      <c r="F951" t="s">
        <v>116</v>
      </c>
      <c r="G951" t="s">
        <v>27</v>
      </c>
      <c r="H951" t="s">
        <v>20</v>
      </c>
      <c r="I951">
        <v>3</v>
      </c>
      <c r="J951" t="s">
        <v>47</v>
      </c>
      <c r="K951">
        <v>51</v>
      </c>
      <c r="L951" t="str">
        <f t="shared" si="57"/>
        <v>2+years</v>
      </c>
      <c r="M951" t="s">
        <v>53</v>
      </c>
      <c r="N951">
        <v>3500</v>
      </c>
      <c r="O951">
        <v>14</v>
      </c>
      <c r="P951">
        <v>49000</v>
      </c>
      <c r="Q951">
        <f t="shared" si="58"/>
        <v>3500</v>
      </c>
      <c r="R951" s="13">
        <v>123.41</v>
      </c>
      <c r="S951" t="s">
        <v>23</v>
      </c>
      <c r="T951">
        <f t="shared" si="59"/>
        <v>1</v>
      </c>
      <c r="U951">
        <v>0</v>
      </c>
      <c r="V951">
        <v>0</v>
      </c>
      <c r="W951">
        <v>0</v>
      </c>
    </row>
    <row r="952" spans="1:23" x14ac:dyDescent="0.35">
      <c r="A952" s="7" t="s">
        <v>1041</v>
      </c>
      <c r="B952" t="s">
        <v>1042</v>
      </c>
      <c r="C952" s="1">
        <v>45682</v>
      </c>
      <c r="D952">
        <v>41</v>
      </c>
      <c r="E952" t="str">
        <f t="shared" si="56"/>
        <v>35-44</v>
      </c>
      <c r="F952" t="s">
        <v>116</v>
      </c>
      <c r="G952" t="s">
        <v>33</v>
      </c>
      <c r="H952" t="s">
        <v>20</v>
      </c>
      <c r="I952">
        <v>3</v>
      </c>
      <c r="J952" t="s">
        <v>47</v>
      </c>
      <c r="K952">
        <v>51</v>
      </c>
      <c r="L952" t="str">
        <f t="shared" si="57"/>
        <v>2+years</v>
      </c>
      <c r="M952" t="s">
        <v>110</v>
      </c>
      <c r="N952">
        <v>25000</v>
      </c>
      <c r="O952">
        <v>15</v>
      </c>
      <c r="P952">
        <v>375000</v>
      </c>
      <c r="Q952">
        <f t="shared" si="58"/>
        <v>25000</v>
      </c>
      <c r="R952" s="13">
        <v>32.869999999999997</v>
      </c>
      <c r="S952" t="s">
        <v>23</v>
      </c>
      <c r="T952">
        <f t="shared" si="59"/>
        <v>1</v>
      </c>
      <c r="U952">
        <v>0</v>
      </c>
      <c r="V952">
        <v>0</v>
      </c>
      <c r="W952">
        <v>0</v>
      </c>
    </row>
    <row r="953" spans="1:23" x14ac:dyDescent="0.35">
      <c r="A953" s="7" t="s">
        <v>1041</v>
      </c>
      <c r="B953" t="s">
        <v>1042</v>
      </c>
      <c r="C953" s="1">
        <v>45682</v>
      </c>
      <c r="D953">
        <v>41</v>
      </c>
      <c r="E953" t="str">
        <f t="shared" si="56"/>
        <v>35-44</v>
      </c>
      <c r="F953" t="s">
        <v>116</v>
      </c>
      <c r="G953" t="s">
        <v>19</v>
      </c>
      <c r="H953" t="s">
        <v>20</v>
      </c>
      <c r="I953">
        <v>3</v>
      </c>
      <c r="J953" t="s">
        <v>47</v>
      </c>
      <c r="K953">
        <v>51</v>
      </c>
      <c r="L953" t="str">
        <f t="shared" si="57"/>
        <v>2+years</v>
      </c>
      <c r="M953" t="s">
        <v>55</v>
      </c>
      <c r="N953">
        <v>16000</v>
      </c>
      <c r="O953">
        <v>1</v>
      </c>
      <c r="P953">
        <v>16000</v>
      </c>
      <c r="Q953">
        <f t="shared" si="58"/>
        <v>16000</v>
      </c>
      <c r="R953" s="13">
        <v>99.44</v>
      </c>
      <c r="S953" t="s">
        <v>23</v>
      </c>
      <c r="T953">
        <f t="shared" si="59"/>
        <v>1</v>
      </c>
      <c r="U953">
        <v>0</v>
      </c>
      <c r="V953">
        <v>0</v>
      </c>
      <c r="W953">
        <v>0</v>
      </c>
    </row>
    <row r="954" spans="1:23" x14ac:dyDescent="0.35">
      <c r="A954" s="7" t="s">
        <v>1043</v>
      </c>
      <c r="B954" t="s">
        <v>1044</v>
      </c>
      <c r="C954" s="1">
        <v>45682</v>
      </c>
      <c r="D954">
        <v>45</v>
      </c>
      <c r="E954" t="str">
        <f t="shared" si="56"/>
        <v>45-54</v>
      </c>
      <c r="F954" t="s">
        <v>32</v>
      </c>
      <c r="G954" t="s">
        <v>19</v>
      </c>
      <c r="H954" t="s">
        <v>20</v>
      </c>
      <c r="I954">
        <v>3</v>
      </c>
      <c r="J954" t="s">
        <v>47</v>
      </c>
      <c r="K954">
        <v>16</v>
      </c>
      <c r="L954" t="str">
        <f t="shared" si="57"/>
        <v>1-2 years</v>
      </c>
      <c r="M954" t="s">
        <v>43</v>
      </c>
      <c r="N954">
        <v>4500</v>
      </c>
      <c r="O954">
        <v>1</v>
      </c>
      <c r="P954">
        <v>4500</v>
      </c>
      <c r="Q954">
        <f t="shared" si="58"/>
        <v>4500</v>
      </c>
      <c r="R954" s="13">
        <v>165.3</v>
      </c>
      <c r="S954" t="s">
        <v>36</v>
      </c>
      <c r="T954">
        <f t="shared" si="59"/>
        <v>0</v>
      </c>
      <c r="U954">
        <v>0</v>
      </c>
      <c r="V954">
        <v>0</v>
      </c>
      <c r="W954">
        <v>0</v>
      </c>
    </row>
    <row r="955" spans="1:23" x14ac:dyDescent="0.35">
      <c r="A955" s="7" t="s">
        <v>1043</v>
      </c>
      <c r="B955" t="s">
        <v>1044</v>
      </c>
      <c r="C955" s="1">
        <v>45682</v>
      </c>
      <c r="D955">
        <v>45</v>
      </c>
      <c r="E955" t="str">
        <f t="shared" si="56"/>
        <v>45-54</v>
      </c>
      <c r="F955" t="s">
        <v>32</v>
      </c>
      <c r="G955" t="s">
        <v>27</v>
      </c>
      <c r="H955" t="s">
        <v>20</v>
      </c>
      <c r="I955">
        <v>3</v>
      </c>
      <c r="J955" t="s">
        <v>47</v>
      </c>
      <c r="K955">
        <v>16</v>
      </c>
      <c r="L955" t="str">
        <f t="shared" si="57"/>
        <v>1-2 years</v>
      </c>
      <c r="M955" t="s">
        <v>53</v>
      </c>
      <c r="N955">
        <v>3500</v>
      </c>
      <c r="O955">
        <v>12</v>
      </c>
      <c r="P955">
        <v>42000</v>
      </c>
      <c r="Q955">
        <f t="shared" si="58"/>
        <v>3500</v>
      </c>
      <c r="R955" s="13">
        <v>2.4700000000000002</v>
      </c>
      <c r="S955" t="s">
        <v>36</v>
      </c>
      <c r="T955">
        <f t="shared" si="59"/>
        <v>0</v>
      </c>
      <c r="U955">
        <v>0</v>
      </c>
      <c r="V955">
        <v>0</v>
      </c>
      <c r="W955">
        <v>0</v>
      </c>
    </row>
    <row r="956" spans="1:23" x14ac:dyDescent="0.35">
      <c r="A956" s="7" t="s">
        <v>1045</v>
      </c>
      <c r="B956" t="s">
        <v>1046</v>
      </c>
      <c r="C956" s="1">
        <v>45713</v>
      </c>
      <c r="D956">
        <v>30</v>
      </c>
      <c r="E956" t="str">
        <f t="shared" si="56"/>
        <v>25-34</v>
      </c>
      <c r="F956" t="s">
        <v>51</v>
      </c>
      <c r="G956" t="s">
        <v>38</v>
      </c>
      <c r="H956" t="s">
        <v>28</v>
      </c>
      <c r="I956">
        <v>5</v>
      </c>
      <c r="J956" t="s">
        <v>52</v>
      </c>
      <c r="K956">
        <v>29</v>
      </c>
      <c r="L956" t="str">
        <f t="shared" si="57"/>
        <v>2+years</v>
      </c>
      <c r="M956" t="s">
        <v>35</v>
      </c>
      <c r="N956">
        <v>20000</v>
      </c>
      <c r="O956">
        <v>6</v>
      </c>
      <c r="P956">
        <v>120000</v>
      </c>
      <c r="Q956">
        <f t="shared" si="58"/>
        <v>20000</v>
      </c>
      <c r="R956" s="13">
        <v>39.97</v>
      </c>
      <c r="S956" t="s">
        <v>36</v>
      </c>
      <c r="T956">
        <f t="shared" si="59"/>
        <v>0</v>
      </c>
      <c r="U956">
        <v>0</v>
      </c>
      <c r="V956">
        <v>0</v>
      </c>
      <c r="W956">
        <v>0</v>
      </c>
    </row>
    <row r="957" spans="1:23" x14ac:dyDescent="0.35">
      <c r="A957" s="7" t="s">
        <v>1045</v>
      </c>
      <c r="B957" t="s">
        <v>1046</v>
      </c>
      <c r="C957" s="1">
        <v>45713</v>
      </c>
      <c r="D957">
        <v>30</v>
      </c>
      <c r="E957" t="str">
        <f t="shared" si="56"/>
        <v>25-34</v>
      </c>
      <c r="F957" t="s">
        <v>51</v>
      </c>
      <c r="G957" t="s">
        <v>27</v>
      </c>
      <c r="H957" t="s">
        <v>28</v>
      </c>
      <c r="I957">
        <v>5</v>
      </c>
      <c r="J957" t="s">
        <v>52</v>
      </c>
      <c r="K957">
        <v>29</v>
      </c>
      <c r="L957" t="str">
        <f t="shared" si="57"/>
        <v>2+years</v>
      </c>
      <c r="M957" t="s">
        <v>69</v>
      </c>
      <c r="N957">
        <v>350</v>
      </c>
      <c r="O957">
        <v>6</v>
      </c>
      <c r="P957">
        <v>2100</v>
      </c>
      <c r="Q957">
        <f t="shared" si="58"/>
        <v>350</v>
      </c>
      <c r="R957" s="13">
        <v>177.13</v>
      </c>
      <c r="S957" t="s">
        <v>36</v>
      </c>
      <c r="T957">
        <f t="shared" si="59"/>
        <v>0</v>
      </c>
      <c r="U957">
        <v>0</v>
      </c>
      <c r="V957">
        <v>0</v>
      </c>
      <c r="W957">
        <v>0</v>
      </c>
    </row>
    <row r="958" spans="1:23" x14ac:dyDescent="0.35">
      <c r="A958" s="7" t="s">
        <v>1047</v>
      </c>
      <c r="B958" t="s">
        <v>1048</v>
      </c>
      <c r="C958" s="1">
        <v>45713</v>
      </c>
      <c r="D958">
        <v>47</v>
      </c>
      <c r="E958" t="str">
        <f t="shared" si="56"/>
        <v>45-54</v>
      </c>
      <c r="F958" t="s">
        <v>126</v>
      </c>
      <c r="G958" t="s">
        <v>19</v>
      </c>
      <c r="H958" t="s">
        <v>20</v>
      </c>
      <c r="I958">
        <v>3</v>
      </c>
      <c r="J958" t="s">
        <v>47</v>
      </c>
      <c r="K958">
        <v>2</v>
      </c>
      <c r="L958" t="str">
        <f t="shared" si="57"/>
        <v>0-5 months</v>
      </c>
      <c r="M958" t="s">
        <v>22</v>
      </c>
      <c r="N958">
        <v>35000</v>
      </c>
      <c r="O958">
        <v>4</v>
      </c>
      <c r="P958">
        <v>140000</v>
      </c>
      <c r="Q958">
        <f t="shared" si="58"/>
        <v>35000</v>
      </c>
      <c r="R958" s="13">
        <v>131.15</v>
      </c>
      <c r="S958" t="s">
        <v>36</v>
      </c>
      <c r="T958">
        <f t="shared" si="59"/>
        <v>0</v>
      </c>
      <c r="U958">
        <v>0</v>
      </c>
      <c r="V958">
        <v>0</v>
      </c>
      <c r="W958">
        <v>0</v>
      </c>
    </row>
    <row r="959" spans="1:23" x14ac:dyDescent="0.35">
      <c r="A959" s="7" t="s">
        <v>1049</v>
      </c>
      <c r="B959" t="s">
        <v>1050</v>
      </c>
      <c r="C959" s="1">
        <v>45741</v>
      </c>
      <c r="D959">
        <v>42</v>
      </c>
      <c r="E959" t="str">
        <f t="shared" si="56"/>
        <v>35-44</v>
      </c>
      <c r="F959" t="s">
        <v>144</v>
      </c>
      <c r="G959" t="s">
        <v>27</v>
      </c>
      <c r="H959" t="s">
        <v>28</v>
      </c>
      <c r="I959">
        <v>3</v>
      </c>
      <c r="J959" t="s">
        <v>47</v>
      </c>
      <c r="K959">
        <v>16</v>
      </c>
      <c r="L959" t="str">
        <f t="shared" si="57"/>
        <v>1-2 years</v>
      </c>
      <c r="M959" t="s">
        <v>79</v>
      </c>
      <c r="N959">
        <v>1000</v>
      </c>
      <c r="O959">
        <v>5</v>
      </c>
      <c r="P959">
        <v>5000</v>
      </c>
      <c r="Q959">
        <f t="shared" si="58"/>
        <v>1000</v>
      </c>
      <c r="R959" s="13">
        <v>29.31</v>
      </c>
      <c r="S959" t="s">
        <v>36</v>
      </c>
      <c r="T959">
        <f t="shared" si="59"/>
        <v>0</v>
      </c>
      <c r="U959">
        <v>0</v>
      </c>
      <c r="V959">
        <v>0</v>
      </c>
      <c r="W959">
        <v>0</v>
      </c>
    </row>
    <row r="960" spans="1:23" x14ac:dyDescent="0.35">
      <c r="A960" s="7" t="s">
        <v>1049</v>
      </c>
      <c r="B960" t="s">
        <v>1050</v>
      </c>
      <c r="C960" s="1">
        <v>45741</v>
      </c>
      <c r="D960">
        <v>42</v>
      </c>
      <c r="E960" t="str">
        <f t="shared" si="56"/>
        <v>35-44</v>
      </c>
      <c r="F960" t="s">
        <v>144</v>
      </c>
      <c r="G960" t="s">
        <v>33</v>
      </c>
      <c r="H960" t="s">
        <v>28</v>
      </c>
      <c r="I960">
        <v>3</v>
      </c>
      <c r="J960" t="s">
        <v>47</v>
      </c>
      <c r="K960">
        <v>16</v>
      </c>
      <c r="L960" t="str">
        <f t="shared" si="57"/>
        <v>1-2 years</v>
      </c>
      <c r="M960" t="s">
        <v>68</v>
      </c>
      <c r="N960">
        <v>14500</v>
      </c>
      <c r="O960">
        <v>13</v>
      </c>
      <c r="P960">
        <v>188500</v>
      </c>
      <c r="Q960">
        <f t="shared" si="58"/>
        <v>14500</v>
      </c>
      <c r="R960" s="13">
        <v>38.74</v>
      </c>
      <c r="S960" t="s">
        <v>36</v>
      </c>
      <c r="T960">
        <f t="shared" si="59"/>
        <v>0</v>
      </c>
      <c r="U960">
        <v>0</v>
      </c>
      <c r="V960">
        <v>0</v>
      </c>
      <c r="W960">
        <v>0</v>
      </c>
    </row>
    <row r="961" spans="1:23" x14ac:dyDescent="0.35">
      <c r="A961" s="7" t="s">
        <v>1049</v>
      </c>
      <c r="B961" t="s">
        <v>1050</v>
      </c>
      <c r="C961" s="1">
        <v>45741</v>
      </c>
      <c r="D961">
        <v>42</v>
      </c>
      <c r="E961" t="str">
        <f t="shared" si="56"/>
        <v>35-44</v>
      </c>
      <c r="F961" t="s">
        <v>144</v>
      </c>
      <c r="G961" t="s">
        <v>38</v>
      </c>
      <c r="H961" t="s">
        <v>28</v>
      </c>
      <c r="I961">
        <v>3</v>
      </c>
      <c r="J961" t="s">
        <v>47</v>
      </c>
      <c r="K961">
        <v>16</v>
      </c>
      <c r="L961" t="str">
        <f t="shared" si="57"/>
        <v>1-2 years</v>
      </c>
      <c r="M961" t="s">
        <v>62</v>
      </c>
      <c r="N961">
        <v>30000</v>
      </c>
      <c r="O961">
        <v>14</v>
      </c>
      <c r="P961">
        <v>420000</v>
      </c>
      <c r="Q961">
        <f t="shared" si="58"/>
        <v>30000</v>
      </c>
      <c r="R961" s="13">
        <v>63.93</v>
      </c>
      <c r="S961" t="s">
        <v>36</v>
      </c>
      <c r="T961">
        <f t="shared" si="59"/>
        <v>0</v>
      </c>
      <c r="U961">
        <v>0</v>
      </c>
      <c r="V961">
        <v>0</v>
      </c>
      <c r="W961">
        <v>0</v>
      </c>
    </row>
    <row r="962" spans="1:23" x14ac:dyDescent="0.35">
      <c r="A962" s="7" t="s">
        <v>1051</v>
      </c>
      <c r="B962" t="s">
        <v>1052</v>
      </c>
      <c r="C962" s="1">
        <v>45713</v>
      </c>
      <c r="D962">
        <v>21</v>
      </c>
      <c r="E962" t="str">
        <f t="shared" si="56"/>
        <v>Under25</v>
      </c>
      <c r="F962" t="s">
        <v>116</v>
      </c>
      <c r="G962" t="s">
        <v>19</v>
      </c>
      <c r="H962" t="s">
        <v>28</v>
      </c>
      <c r="I962">
        <v>3</v>
      </c>
      <c r="J962" t="s">
        <v>47</v>
      </c>
      <c r="K962">
        <v>51</v>
      </c>
      <c r="L962" t="str">
        <f t="shared" si="57"/>
        <v>2+years</v>
      </c>
      <c r="M962" t="s">
        <v>22</v>
      </c>
      <c r="N962">
        <v>35000</v>
      </c>
      <c r="O962">
        <v>3</v>
      </c>
      <c r="P962">
        <v>105000</v>
      </c>
      <c r="Q962">
        <f t="shared" si="58"/>
        <v>35000</v>
      </c>
      <c r="R962" s="13">
        <v>42.24</v>
      </c>
      <c r="S962" t="s">
        <v>23</v>
      </c>
      <c r="T962">
        <f t="shared" si="59"/>
        <v>1</v>
      </c>
      <c r="U962">
        <v>0</v>
      </c>
      <c r="V962">
        <v>0</v>
      </c>
      <c r="W962">
        <v>0</v>
      </c>
    </row>
    <row r="963" spans="1:23" x14ac:dyDescent="0.35">
      <c r="A963" s="7" t="s">
        <v>1051</v>
      </c>
      <c r="B963" t="s">
        <v>1052</v>
      </c>
      <c r="C963" s="1">
        <v>45713</v>
      </c>
      <c r="D963">
        <v>21</v>
      </c>
      <c r="E963" t="str">
        <f t="shared" ref="E963:E975" si="60">IF(D963&lt;25,"Under25",IF(D963&lt;35,"25-34",IF(D963&lt;45,"35-44",IF(D963&lt;55,"45-54","55+"))) )</f>
        <v>Under25</v>
      </c>
      <c r="F963" t="s">
        <v>116</v>
      </c>
      <c r="G963" t="s">
        <v>33</v>
      </c>
      <c r="H963" t="s">
        <v>28</v>
      </c>
      <c r="I963">
        <v>3</v>
      </c>
      <c r="J963" t="s">
        <v>47</v>
      </c>
      <c r="K963">
        <v>51</v>
      </c>
      <c r="L963" t="str">
        <f t="shared" ref="L963:L975" si="61">IF(K963&lt;6,"0-5 months",IF(K963&lt;13,"6-12 months",IF(K963&lt;25,"1-2 years","2+years")))</f>
        <v>2+years</v>
      </c>
      <c r="M963" t="s">
        <v>54</v>
      </c>
      <c r="N963">
        <v>150000</v>
      </c>
      <c r="O963">
        <v>20</v>
      </c>
      <c r="P963">
        <v>3000000</v>
      </c>
      <c r="Q963">
        <f t="shared" ref="Q963:Q975" si="62">P963/O963</f>
        <v>150000</v>
      </c>
      <c r="R963" s="13">
        <v>158.30000000000001</v>
      </c>
      <c r="S963" t="s">
        <v>23</v>
      </c>
      <c r="T963">
        <f t="shared" ref="T963:T975" si="63">IF(S963="yes",1,0)</f>
        <v>1</v>
      </c>
      <c r="U963">
        <v>0</v>
      </c>
      <c r="V963">
        <v>0</v>
      </c>
      <c r="W963">
        <v>0</v>
      </c>
    </row>
    <row r="964" spans="1:23" x14ac:dyDescent="0.35">
      <c r="A964" s="7" t="s">
        <v>1053</v>
      </c>
      <c r="B964" t="s">
        <v>1054</v>
      </c>
      <c r="C964" s="1">
        <v>45741</v>
      </c>
      <c r="D964">
        <v>37</v>
      </c>
      <c r="E964" t="str">
        <f t="shared" si="60"/>
        <v>35-44</v>
      </c>
      <c r="F964" t="s">
        <v>183</v>
      </c>
      <c r="G964" t="s">
        <v>33</v>
      </c>
      <c r="H964" t="s">
        <v>28</v>
      </c>
      <c r="I964">
        <v>4</v>
      </c>
      <c r="J964" t="s">
        <v>109</v>
      </c>
      <c r="K964">
        <v>49</v>
      </c>
      <c r="L964" t="str">
        <f t="shared" si="61"/>
        <v>2+years</v>
      </c>
      <c r="M964" t="s">
        <v>110</v>
      </c>
      <c r="N964">
        <v>25000</v>
      </c>
      <c r="O964">
        <v>16</v>
      </c>
      <c r="P964">
        <v>400000</v>
      </c>
      <c r="Q964">
        <f t="shared" si="62"/>
        <v>25000</v>
      </c>
      <c r="R964" s="13">
        <v>105.33</v>
      </c>
      <c r="S964" t="s">
        <v>36</v>
      </c>
      <c r="T964">
        <f t="shared" si="63"/>
        <v>0</v>
      </c>
      <c r="U964">
        <v>0</v>
      </c>
      <c r="V964">
        <v>0</v>
      </c>
      <c r="W964">
        <v>0</v>
      </c>
    </row>
    <row r="965" spans="1:23" x14ac:dyDescent="0.35">
      <c r="A965" s="7" t="s">
        <v>1055</v>
      </c>
      <c r="B965" t="s">
        <v>1056</v>
      </c>
      <c r="C965" s="1">
        <v>45682</v>
      </c>
      <c r="D965">
        <v>76</v>
      </c>
      <c r="E965" t="str">
        <f t="shared" si="60"/>
        <v>55+</v>
      </c>
      <c r="F965" t="s">
        <v>186</v>
      </c>
      <c r="G965" t="s">
        <v>19</v>
      </c>
      <c r="H965" t="s">
        <v>28</v>
      </c>
      <c r="I965">
        <v>2</v>
      </c>
      <c r="J965" t="s">
        <v>21</v>
      </c>
      <c r="K965">
        <v>41</v>
      </c>
      <c r="L965" t="str">
        <f t="shared" si="61"/>
        <v>2+years</v>
      </c>
      <c r="M965" t="s">
        <v>43</v>
      </c>
      <c r="N965">
        <v>4500</v>
      </c>
      <c r="O965">
        <v>13</v>
      </c>
      <c r="P965">
        <v>58500</v>
      </c>
      <c r="Q965">
        <f t="shared" si="62"/>
        <v>4500</v>
      </c>
      <c r="R965" s="13">
        <v>61.55</v>
      </c>
      <c r="S965" t="s">
        <v>23</v>
      </c>
      <c r="T965">
        <f t="shared" si="63"/>
        <v>1</v>
      </c>
      <c r="U965">
        <v>0</v>
      </c>
      <c r="V965">
        <v>0</v>
      </c>
      <c r="W965">
        <v>0</v>
      </c>
    </row>
    <row r="966" spans="1:23" x14ac:dyDescent="0.35">
      <c r="A966" s="7" t="s">
        <v>1055</v>
      </c>
      <c r="B966" t="s">
        <v>1056</v>
      </c>
      <c r="C966" s="1">
        <v>45682</v>
      </c>
      <c r="D966">
        <v>76</v>
      </c>
      <c r="E966" t="str">
        <f t="shared" si="60"/>
        <v>55+</v>
      </c>
      <c r="F966" t="s">
        <v>186</v>
      </c>
      <c r="G966" t="s">
        <v>27</v>
      </c>
      <c r="H966" t="s">
        <v>28</v>
      </c>
      <c r="I966">
        <v>2</v>
      </c>
      <c r="J966" t="s">
        <v>21</v>
      </c>
      <c r="K966">
        <v>41</v>
      </c>
      <c r="L966" t="str">
        <f t="shared" si="61"/>
        <v>2+years</v>
      </c>
      <c r="M966" t="s">
        <v>159</v>
      </c>
      <c r="N966">
        <v>600</v>
      </c>
      <c r="O966">
        <v>12</v>
      </c>
      <c r="P966">
        <v>7200</v>
      </c>
      <c r="Q966">
        <f t="shared" si="62"/>
        <v>600</v>
      </c>
      <c r="R966" s="13">
        <v>187.13</v>
      </c>
      <c r="S966" t="s">
        <v>23</v>
      </c>
      <c r="T966">
        <f t="shared" si="63"/>
        <v>1</v>
      </c>
      <c r="U966">
        <v>0</v>
      </c>
      <c r="V966">
        <v>0</v>
      </c>
      <c r="W966">
        <v>0</v>
      </c>
    </row>
    <row r="967" spans="1:23" x14ac:dyDescent="0.35">
      <c r="A967" s="7" t="s">
        <v>1057</v>
      </c>
      <c r="B967" t="s">
        <v>1058</v>
      </c>
      <c r="C967" s="1">
        <v>45682</v>
      </c>
      <c r="D967">
        <v>26</v>
      </c>
      <c r="E967" t="str">
        <f t="shared" si="60"/>
        <v>25-34</v>
      </c>
      <c r="F967" t="s">
        <v>135</v>
      </c>
      <c r="G967" t="s">
        <v>38</v>
      </c>
      <c r="H967" t="s">
        <v>20</v>
      </c>
      <c r="I967">
        <v>5</v>
      </c>
      <c r="J967" t="s">
        <v>52</v>
      </c>
      <c r="K967">
        <v>19</v>
      </c>
      <c r="L967" t="str">
        <f t="shared" si="61"/>
        <v>1-2 years</v>
      </c>
      <c r="M967" t="s">
        <v>68</v>
      </c>
      <c r="N967">
        <v>14500</v>
      </c>
      <c r="O967">
        <v>14</v>
      </c>
      <c r="P967">
        <v>203000</v>
      </c>
      <c r="Q967">
        <f t="shared" si="62"/>
        <v>14500</v>
      </c>
      <c r="R967" s="13">
        <v>90.5</v>
      </c>
      <c r="S967" t="s">
        <v>36</v>
      </c>
      <c r="T967">
        <f t="shared" si="63"/>
        <v>0</v>
      </c>
      <c r="U967">
        <v>0</v>
      </c>
      <c r="V967">
        <v>0</v>
      </c>
      <c r="W967">
        <v>0</v>
      </c>
    </row>
    <row r="968" spans="1:23" x14ac:dyDescent="0.35">
      <c r="A968" s="7" t="s">
        <v>1057</v>
      </c>
      <c r="B968" t="s">
        <v>1058</v>
      </c>
      <c r="C968" s="1">
        <v>45682</v>
      </c>
      <c r="D968">
        <v>26</v>
      </c>
      <c r="E968" t="str">
        <f t="shared" si="60"/>
        <v>25-34</v>
      </c>
      <c r="F968" t="s">
        <v>135</v>
      </c>
      <c r="G968" t="s">
        <v>19</v>
      </c>
      <c r="H968" t="s">
        <v>20</v>
      </c>
      <c r="I968">
        <v>5</v>
      </c>
      <c r="J968" t="s">
        <v>52</v>
      </c>
      <c r="K968">
        <v>19</v>
      </c>
      <c r="L968" t="str">
        <f t="shared" si="61"/>
        <v>1-2 years</v>
      </c>
      <c r="M968" t="s">
        <v>22</v>
      </c>
      <c r="N968">
        <v>35000</v>
      </c>
      <c r="O968">
        <v>16</v>
      </c>
      <c r="P968">
        <v>560000</v>
      </c>
      <c r="Q968">
        <f t="shared" si="62"/>
        <v>35000</v>
      </c>
      <c r="R968" s="13">
        <v>73.819999999999993</v>
      </c>
      <c r="S968" t="s">
        <v>36</v>
      </c>
      <c r="T968">
        <f t="shared" si="63"/>
        <v>0</v>
      </c>
      <c r="U968">
        <v>0</v>
      </c>
      <c r="V968">
        <v>0</v>
      </c>
      <c r="W968">
        <v>0</v>
      </c>
    </row>
    <row r="969" spans="1:23" x14ac:dyDescent="0.35">
      <c r="A969" s="7" t="s">
        <v>1057</v>
      </c>
      <c r="B969" t="s">
        <v>1058</v>
      </c>
      <c r="C969" s="1">
        <v>45682</v>
      </c>
      <c r="D969">
        <v>26</v>
      </c>
      <c r="E969" t="str">
        <f t="shared" si="60"/>
        <v>25-34</v>
      </c>
      <c r="F969" t="s">
        <v>135</v>
      </c>
      <c r="G969" t="s">
        <v>33</v>
      </c>
      <c r="H969" t="s">
        <v>20</v>
      </c>
      <c r="I969">
        <v>5</v>
      </c>
      <c r="J969" t="s">
        <v>52</v>
      </c>
      <c r="K969">
        <v>19</v>
      </c>
      <c r="L969" t="str">
        <f t="shared" si="61"/>
        <v>1-2 years</v>
      </c>
      <c r="M969" t="s">
        <v>110</v>
      </c>
      <c r="N969">
        <v>25000</v>
      </c>
      <c r="O969">
        <v>1</v>
      </c>
      <c r="P969">
        <v>25000</v>
      </c>
      <c r="Q969">
        <f t="shared" si="62"/>
        <v>25000</v>
      </c>
      <c r="R969" s="13">
        <v>54.97</v>
      </c>
      <c r="S969" t="s">
        <v>36</v>
      </c>
      <c r="T969">
        <f t="shared" si="63"/>
        <v>0</v>
      </c>
      <c r="U969">
        <v>0</v>
      </c>
      <c r="V969">
        <v>0</v>
      </c>
      <c r="W969">
        <v>0</v>
      </c>
    </row>
    <row r="970" spans="1:23" x14ac:dyDescent="0.35">
      <c r="A970" s="7" t="s">
        <v>1059</v>
      </c>
      <c r="B970" t="s">
        <v>1060</v>
      </c>
      <c r="C970" s="1">
        <v>45682</v>
      </c>
      <c r="D970">
        <v>72</v>
      </c>
      <c r="E970" t="str">
        <f t="shared" si="60"/>
        <v>55+</v>
      </c>
      <c r="F970" t="s">
        <v>108</v>
      </c>
      <c r="G970" t="s">
        <v>38</v>
      </c>
      <c r="H970" t="s">
        <v>28</v>
      </c>
      <c r="I970">
        <v>3</v>
      </c>
      <c r="J970" t="s">
        <v>47</v>
      </c>
      <c r="K970">
        <v>42</v>
      </c>
      <c r="L970" t="str">
        <f t="shared" si="61"/>
        <v>2+years</v>
      </c>
      <c r="M970" t="s">
        <v>35</v>
      </c>
      <c r="N970">
        <v>20000</v>
      </c>
      <c r="O970">
        <v>3</v>
      </c>
      <c r="P970">
        <v>60000</v>
      </c>
      <c r="Q970">
        <f t="shared" si="62"/>
        <v>20000</v>
      </c>
      <c r="R970" s="13">
        <v>20.13</v>
      </c>
      <c r="S970" t="s">
        <v>36</v>
      </c>
      <c r="T970">
        <f t="shared" si="63"/>
        <v>0</v>
      </c>
      <c r="U970">
        <v>0</v>
      </c>
      <c r="V970">
        <v>0</v>
      </c>
      <c r="W970">
        <v>0</v>
      </c>
    </row>
    <row r="971" spans="1:23" x14ac:dyDescent="0.35">
      <c r="A971" s="7" t="s">
        <v>1059</v>
      </c>
      <c r="B971" t="s">
        <v>1060</v>
      </c>
      <c r="C971" s="1">
        <v>45682</v>
      </c>
      <c r="D971">
        <v>72</v>
      </c>
      <c r="E971" t="str">
        <f t="shared" si="60"/>
        <v>55+</v>
      </c>
      <c r="F971" t="s">
        <v>108</v>
      </c>
      <c r="G971" t="s">
        <v>19</v>
      </c>
      <c r="H971" t="s">
        <v>28</v>
      </c>
      <c r="I971">
        <v>3</v>
      </c>
      <c r="J971" t="s">
        <v>47</v>
      </c>
      <c r="K971">
        <v>42</v>
      </c>
      <c r="L971" t="str">
        <f t="shared" si="61"/>
        <v>2+years</v>
      </c>
      <c r="M971" t="s">
        <v>48</v>
      </c>
      <c r="N971">
        <v>9000</v>
      </c>
      <c r="O971">
        <v>7</v>
      </c>
      <c r="P971">
        <v>63000</v>
      </c>
      <c r="Q971">
        <f t="shared" si="62"/>
        <v>9000</v>
      </c>
      <c r="R971" s="13">
        <v>8.14</v>
      </c>
      <c r="S971" t="s">
        <v>36</v>
      </c>
      <c r="T971">
        <f t="shared" si="63"/>
        <v>0</v>
      </c>
      <c r="U971">
        <v>0</v>
      </c>
      <c r="V971">
        <v>0</v>
      </c>
      <c r="W971">
        <v>0</v>
      </c>
    </row>
    <row r="972" spans="1:23" x14ac:dyDescent="0.35">
      <c r="A972" s="7" t="s">
        <v>1061</v>
      </c>
      <c r="B972" t="s">
        <v>1062</v>
      </c>
      <c r="C972" s="1">
        <v>45741</v>
      </c>
      <c r="D972">
        <v>41</v>
      </c>
      <c r="E972" t="str">
        <f t="shared" si="60"/>
        <v>35-44</v>
      </c>
      <c r="F972" t="s">
        <v>152</v>
      </c>
      <c r="G972" t="s">
        <v>33</v>
      </c>
      <c r="H972" t="s">
        <v>28</v>
      </c>
      <c r="I972">
        <v>2</v>
      </c>
      <c r="J972" t="s">
        <v>21</v>
      </c>
      <c r="K972">
        <v>20</v>
      </c>
      <c r="L972" t="str">
        <f t="shared" si="61"/>
        <v>1-2 years</v>
      </c>
      <c r="M972" t="s">
        <v>39</v>
      </c>
      <c r="N972">
        <v>9000</v>
      </c>
      <c r="O972">
        <v>10</v>
      </c>
      <c r="P972">
        <v>90000</v>
      </c>
      <c r="Q972">
        <f t="shared" si="62"/>
        <v>9000</v>
      </c>
      <c r="R972" s="13">
        <v>154.13</v>
      </c>
      <c r="S972" t="s">
        <v>36</v>
      </c>
      <c r="T972">
        <f t="shared" si="63"/>
        <v>0</v>
      </c>
      <c r="U972">
        <v>0</v>
      </c>
      <c r="V972">
        <v>0</v>
      </c>
      <c r="W972">
        <v>0</v>
      </c>
    </row>
    <row r="973" spans="1:23" x14ac:dyDescent="0.35">
      <c r="A973" s="7" t="s">
        <v>1063</v>
      </c>
      <c r="B973" t="s">
        <v>1064</v>
      </c>
      <c r="C973" s="1">
        <v>45713</v>
      </c>
      <c r="D973">
        <v>67</v>
      </c>
      <c r="E973" t="str">
        <f t="shared" si="60"/>
        <v>55+</v>
      </c>
      <c r="F973" t="s">
        <v>78</v>
      </c>
      <c r="G973" t="s">
        <v>19</v>
      </c>
      <c r="H973" t="s">
        <v>20</v>
      </c>
      <c r="I973">
        <v>4</v>
      </c>
      <c r="J973" t="s">
        <v>109</v>
      </c>
      <c r="K973">
        <v>31</v>
      </c>
      <c r="L973" t="str">
        <f t="shared" si="61"/>
        <v>2+years</v>
      </c>
      <c r="M973" t="s">
        <v>22</v>
      </c>
      <c r="N973">
        <v>35000</v>
      </c>
      <c r="O973">
        <v>15</v>
      </c>
      <c r="P973">
        <v>525000</v>
      </c>
      <c r="Q973">
        <f t="shared" si="62"/>
        <v>35000</v>
      </c>
      <c r="R973" s="13">
        <v>144.63999999999999</v>
      </c>
      <c r="S973" t="s">
        <v>23</v>
      </c>
      <c r="T973">
        <f t="shared" si="63"/>
        <v>1</v>
      </c>
      <c r="U973">
        <v>0</v>
      </c>
      <c r="V973">
        <v>0</v>
      </c>
      <c r="W973">
        <v>0</v>
      </c>
    </row>
    <row r="974" spans="1:23" x14ac:dyDescent="0.35">
      <c r="A974" s="7" t="s">
        <v>1063</v>
      </c>
      <c r="B974" t="s">
        <v>1064</v>
      </c>
      <c r="C974" s="1">
        <v>45713</v>
      </c>
      <c r="D974">
        <v>67</v>
      </c>
      <c r="E974" t="str">
        <f t="shared" si="60"/>
        <v>55+</v>
      </c>
      <c r="F974" t="s">
        <v>78</v>
      </c>
      <c r="G974" t="s">
        <v>27</v>
      </c>
      <c r="H974" t="s">
        <v>20</v>
      </c>
      <c r="I974">
        <v>4</v>
      </c>
      <c r="J974" t="s">
        <v>109</v>
      </c>
      <c r="K974">
        <v>31</v>
      </c>
      <c r="L974" t="str">
        <f t="shared" si="61"/>
        <v>2+years</v>
      </c>
      <c r="M974" t="s">
        <v>53</v>
      </c>
      <c r="N974">
        <v>3500</v>
      </c>
      <c r="O974">
        <v>11</v>
      </c>
      <c r="P974">
        <v>38500</v>
      </c>
      <c r="Q974">
        <f t="shared" si="62"/>
        <v>3500</v>
      </c>
      <c r="R974" s="13">
        <v>158.49</v>
      </c>
      <c r="S974" t="s">
        <v>23</v>
      </c>
      <c r="T974">
        <f t="shared" si="63"/>
        <v>1</v>
      </c>
      <c r="U974">
        <v>0</v>
      </c>
      <c r="V974">
        <v>0</v>
      </c>
      <c r="W974">
        <v>0</v>
      </c>
    </row>
    <row r="975" spans="1:23" x14ac:dyDescent="0.35">
      <c r="A975" s="7" t="s">
        <v>1063</v>
      </c>
      <c r="B975" t="s">
        <v>1064</v>
      </c>
      <c r="C975" s="1">
        <v>45713</v>
      </c>
      <c r="D975">
        <v>67</v>
      </c>
      <c r="E975" t="str">
        <f t="shared" si="60"/>
        <v>55+</v>
      </c>
      <c r="F975" t="s">
        <v>78</v>
      </c>
      <c r="G975" t="s">
        <v>38</v>
      </c>
      <c r="H975" t="s">
        <v>20</v>
      </c>
      <c r="I975">
        <v>4</v>
      </c>
      <c r="J975" t="s">
        <v>109</v>
      </c>
      <c r="K975">
        <v>31</v>
      </c>
      <c r="L975" t="str">
        <f t="shared" si="61"/>
        <v>2+years</v>
      </c>
      <c r="M975" t="s">
        <v>35</v>
      </c>
      <c r="N975">
        <v>20000</v>
      </c>
      <c r="O975">
        <v>14</v>
      </c>
      <c r="P975">
        <v>280000</v>
      </c>
      <c r="Q975">
        <f t="shared" si="62"/>
        <v>20000</v>
      </c>
      <c r="R975" s="13">
        <v>86.04</v>
      </c>
      <c r="S975" t="s">
        <v>23</v>
      </c>
      <c r="T975">
        <f t="shared" si="63"/>
        <v>1</v>
      </c>
      <c r="U975">
        <v>0</v>
      </c>
      <c r="V975">
        <v>0</v>
      </c>
      <c r="W975">
        <v>0</v>
      </c>
    </row>
  </sheetData>
  <pageMargins left="0.7" right="0.7" top="0.75" bottom="0.75" header="0.3" footer="0.3"/>
  <pageSetup orientation="portrait" r:id="rId1"/>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60"/>
  <sheetViews>
    <sheetView zoomScale="70" zoomScaleNormal="70" workbookViewId="0"/>
  </sheetViews>
  <sheetFormatPr defaultRowHeight="14.5" x14ac:dyDescent="0.35"/>
  <cols>
    <col min="2" max="2" width="13.08984375" customWidth="1"/>
    <col min="3" max="3" width="24.453125" customWidth="1"/>
    <col min="4" max="4" width="3.81640625" customWidth="1"/>
    <col min="5" max="5" width="10.7265625" bestFit="1" customWidth="1"/>
    <col min="8" max="8" width="13.08984375" bestFit="1" customWidth="1"/>
    <col min="9" max="9" width="19.1796875" customWidth="1"/>
    <col min="13" max="13" width="13.26953125" bestFit="1" customWidth="1"/>
    <col min="14" max="14" width="32" bestFit="1" customWidth="1"/>
    <col min="15" max="15" width="19.453125" bestFit="1" customWidth="1"/>
    <col min="16" max="16" width="25.453125" bestFit="1" customWidth="1"/>
  </cols>
  <sheetData>
    <row r="3" spans="1:16" ht="18.5" x14ac:dyDescent="0.45">
      <c r="L3" s="8"/>
      <c r="N3" s="18" t="s">
        <v>1092</v>
      </c>
    </row>
    <row r="4" spans="1:16" x14ac:dyDescent="0.35">
      <c r="A4" t="s">
        <v>1090</v>
      </c>
    </row>
    <row r="5" spans="1:16" x14ac:dyDescent="0.35">
      <c r="B5" s="8" t="s">
        <v>1075</v>
      </c>
      <c r="H5" s="8" t="s">
        <v>1089</v>
      </c>
      <c r="M5" t="s">
        <v>1077</v>
      </c>
      <c r="N5" t="s">
        <v>1078</v>
      </c>
      <c r="O5" t="s">
        <v>1083</v>
      </c>
      <c r="P5" t="s">
        <v>1084</v>
      </c>
    </row>
    <row r="6" spans="1:16" x14ac:dyDescent="0.35">
      <c r="M6" s="17">
        <v>199348200</v>
      </c>
      <c r="N6" s="19">
        <v>204669.60985626283</v>
      </c>
      <c r="O6" s="16">
        <v>0.29158110882956878</v>
      </c>
      <c r="P6" s="16">
        <v>0.70841889117043122</v>
      </c>
    </row>
    <row r="7" spans="1:16" x14ac:dyDescent="0.35">
      <c r="B7" s="3" t="s">
        <v>1087</v>
      </c>
      <c r="C7" s="3" t="s">
        <v>1086</v>
      </c>
      <c r="H7" s="3" t="s">
        <v>1067</v>
      </c>
      <c r="I7" t="s">
        <v>1085</v>
      </c>
    </row>
    <row r="8" spans="1:16" x14ac:dyDescent="0.35">
      <c r="B8" s="3" t="s">
        <v>1067</v>
      </c>
      <c r="C8" t="s">
        <v>36</v>
      </c>
      <c r="D8" t="s">
        <v>23</v>
      </c>
      <c r="E8" t="s">
        <v>1068</v>
      </c>
      <c r="H8" s="4" t="s">
        <v>36</v>
      </c>
      <c r="I8" s="16">
        <v>0.69876091314109456</v>
      </c>
    </row>
    <row r="9" spans="1:16" x14ac:dyDescent="0.35">
      <c r="B9" s="4" t="s">
        <v>159</v>
      </c>
      <c r="C9" s="5">
        <v>20</v>
      </c>
      <c r="D9" s="5">
        <v>9</v>
      </c>
      <c r="E9" s="5">
        <v>29</v>
      </c>
      <c r="H9" s="4" t="s">
        <v>23</v>
      </c>
      <c r="I9" s="16">
        <v>0.30123908685890544</v>
      </c>
    </row>
    <row r="10" spans="1:16" x14ac:dyDescent="0.35">
      <c r="B10" s="4" t="s">
        <v>54</v>
      </c>
      <c r="C10" s="5">
        <v>18</v>
      </c>
      <c r="D10" s="5">
        <v>7</v>
      </c>
      <c r="E10" s="5">
        <v>25</v>
      </c>
      <c r="H10" s="4" t="s">
        <v>1068</v>
      </c>
      <c r="I10" s="10">
        <v>1</v>
      </c>
    </row>
    <row r="11" spans="1:16" x14ac:dyDescent="0.35">
      <c r="B11" s="4" t="s">
        <v>43</v>
      </c>
      <c r="C11" s="5">
        <v>53</v>
      </c>
      <c r="D11" s="5">
        <v>14</v>
      </c>
      <c r="E11" s="5">
        <v>67</v>
      </c>
    </row>
    <row r="12" spans="1:16" x14ac:dyDescent="0.35">
      <c r="B12" s="4" t="s">
        <v>29</v>
      </c>
      <c r="C12" s="5">
        <v>28</v>
      </c>
      <c r="D12" s="5">
        <v>10</v>
      </c>
      <c r="E12" s="5">
        <v>38</v>
      </c>
    </row>
    <row r="13" spans="1:16" x14ac:dyDescent="0.35">
      <c r="B13" s="4" t="s">
        <v>59</v>
      </c>
      <c r="C13" s="5">
        <v>54</v>
      </c>
      <c r="D13" s="5">
        <v>14</v>
      </c>
      <c r="E13" s="5">
        <v>68</v>
      </c>
      <c r="H13" s="9" t="s">
        <v>1093</v>
      </c>
    </row>
    <row r="14" spans="1:16" x14ac:dyDescent="0.35">
      <c r="B14" s="4" t="s">
        <v>35</v>
      </c>
      <c r="C14" s="5">
        <v>59</v>
      </c>
      <c r="D14" s="5">
        <v>19</v>
      </c>
      <c r="E14" s="5">
        <v>78</v>
      </c>
    </row>
    <row r="15" spans="1:16" x14ac:dyDescent="0.35">
      <c r="B15" s="4" t="s">
        <v>187</v>
      </c>
      <c r="C15" s="5">
        <v>20</v>
      </c>
      <c r="D15" s="5">
        <v>10</v>
      </c>
      <c r="E15" s="5">
        <v>30</v>
      </c>
      <c r="H15" s="3" t="s">
        <v>1067</v>
      </c>
      <c r="I15" t="s">
        <v>1074</v>
      </c>
    </row>
    <row r="16" spans="1:16" x14ac:dyDescent="0.35">
      <c r="B16" s="4" t="s">
        <v>22</v>
      </c>
      <c r="C16" s="5">
        <v>52</v>
      </c>
      <c r="D16" s="5">
        <v>21</v>
      </c>
      <c r="E16" s="5">
        <v>73</v>
      </c>
      <c r="H16" s="4" t="s">
        <v>1079</v>
      </c>
      <c r="I16" s="17">
        <v>13941550</v>
      </c>
    </row>
    <row r="17" spans="2:9" x14ac:dyDescent="0.35">
      <c r="B17" s="4" t="s">
        <v>37</v>
      </c>
      <c r="C17" s="5">
        <v>17</v>
      </c>
      <c r="D17" s="5">
        <v>7</v>
      </c>
      <c r="E17" s="5">
        <v>24</v>
      </c>
      <c r="H17" s="4" t="s">
        <v>1080</v>
      </c>
      <c r="I17" s="17">
        <v>37961250</v>
      </c>
    </row>
    <row r="18" spans="2:9" x14ac:dyDescent="0.35">
      <c r="B18" s="4" t="s">
        <v>97</v>
      </c>
      <c r="C18" s="5">
        <v>20</v>
      </c>
      <c r="D18" s="5">
        <v>10</v>
      </c>
      <c r="E18" s="5">
        <v>30</v>
      </c>
      <c r="H18" s="4" t="s">
        <v>1076</v>
      </c>
      <c r="I18" s="17">
        <v>125672300</v>
      </c>
    </row>
    <row r="19" spans="2:9" x14ac:dyDescent="0.35">
      <c r="B19" s="4" t="s">
        <v>1068</v>
      </c>
      <c r="C19" s="5">
        <v>341</v>
      </c>
      <c r="D19" s="5">
        <v>121</v>
      </c>
      <c r="E19" s="5">
        <v>462</v>
      </c>
      <c r="H19" s="4" t="s">
        <v>1081</v>
      </c>
      <c r="I19" s="17">
        <v>21773100</v>
      </c>
    </row>
    <row r="20" spans="2:9" x14ac:dyDescent="0.35">
      <c r="H20" s="4" t="s">
        <v>1068</v>
      </c>
      <c r="I20" s="17">
        <v>199348200</v>
      </c>
    </row>
    <row r="22" spans="2:9" x14ac:dyDescent="0.35">
      <c r="G22" t="s">
        <v>1091</v>
      </c>
    </row>
    <row r="23" spans="2:9" x14ac:dyDescent="0.35">
      <c r="B23" s="8" t="s">
        <v>1088</v>
      </c>
    </row>
    <row r="24" spans="2:9" x14ac:dyDescent="0.35">
      <c r="B24" s="3" t="s">
        <v>1067</v>
      </c>
      <c r="C24" t="s">
        <v>1073</v>
      </c>
    </row>
    <row r="25" spans="2:9" x14ac:dyDescent="0.35">
      <c r="B25" s="4" t="s">
        <v>144</v>
      </c>
      <c r="C25" s="15">
        <v>2.6857142857142855</v>
      </c>
    </row>
    <row r="26" spans="2:9" x14ac:dyDescent="0.35">
      <c r="B26" s="4" t="s">
        <v>26</v>
      </c>
      <c r="C26" s="15">
        <v>2.9523809523809526</v>
      </c>
    </row>
    <row r="27" spans="2:9" x14ac:dyDescent="0.35">
      <c r="B27" s="4" t="s">
        <v>82</v>
      </c>
      <c r="C27" s="15">
        <v>2.5555555555555554</v>
      </c>
    </row>
    <row r="28" spans="2:9" x14ac:dyDescent="0.35">
      <c r="B28" s="4" t="s">
        <v>186</v>
      </c>
      <c r="C28" s="15">
        <v>2.7727272727272729</v>
      </c>
    </row>
    <row r="29" spans="2:9" x14ac:dyDescent="0.35">
      <c r="B29" s="4" t="s">
        <v>91</v>
      </c>
      <c r="C29" s="15">
        <v>3.5517241379310347</v>
      </c>
    </row>
    <row r="30" spans="2:9" x14ac:dyDescent="0.35">
      <c r="B30" s="4" t="s">
        <v>72</v>
      </c>
      <c r="C30" s="15">
        <v>2.9142857142857141</v>
      </c>
    </row>
    <row r="31" spans="2:9" x14ac:dyDescent="0.35">
      <c r="B31" s="4" t="s">
        <v>152</v>
      </c>
      <c r="C31" s="15">
        <v>2.4500000000000002</v>
      </c>
    </row>
    <row r="32" spans="2:9" x14ac:dyDescent="0.35">
      <c r="B32" s="4" t="s">
        <v>116</v>
      </c>
      <c r="C32" s="15">
        <v>2.5</v>
      </c>
    </row>
    <row r="33" spans="2:3" x14ac:dyDescent="0.35">
      <c r="B33" s="4" t="s">
        <v>135</v>
      </c>
      <c r="C33" s="15">
        <v>3.0526315789473686</v>
      </c>
    </row>
    <row r="34" spans="2:3" x14ac:dyDescent="0.35">
      <c r="B34" s="4" t="s">
        <v>96</v>
      </c>
      <c r="C34" s="15">
        <v>3.4516129032258065</v>
      </c>
    </row>
    <row r="35" spans="2:3" x14ac:dyDescent="0.35">
      <c r="B35" s="4" t="s">
        <v>170</v>
      </c>
      <c r="C35" s="15">
        <v>3.2857142857142856</v>
      </c>
    </row>
    <row r="36" spans="2:3" x14ac:dyDescent="0.35">
      <c r="B36" s="4" t="s">
        <v>138</v>
      </c>
      <c r="C36" s="15">
        <v>2.3333333333333335</v>
      </c>
    </row>
    <row r="37" spans="2:3" x14ac:dyDescent="0.35">
      <c r="B37" s="4" t="s">
        <v>147</v>
      </c>
      <c r="C37" s="15">
        <v>2.7878787878787881</v>
      </c>
    </row>
    <row r="38" spans="2:3" x14ac:dyDescent="0.35">
      <c r="B38" s="4" t="s">
        <v>126</v>
      </c>
      <c r="C38" s="15">
        <v>3.03125</v>
      </c>
    </row>
    <row r="39" spans="2:3" x14ac:dyDescent="0.35">
      <c r="B39" s="4" t="s">
        <v>42</v>
      </c>
      <c r="C39" s="15">
        <v>3.5714285714285716</v>
      </c>
    </row>
    <row r="40" spans="2:3" x14ac:dyDescent="0.35">
      <c r="B40" s="4" t="s">
        <v>67</v>
      </c>
      <c r="C40" s="15">
        <v>2.5517241379310347</v>
      </c>
    </row>
    <row r="41" spans="2:3" x14ac:dyDescent="0.35">
      <c r="B41" s="4" t="s">
        <v>58</v>
      </c>
      <c r="C41" s="15">
        <v>2.1785714285714284</v>
      </c>
    </row>
    <row r="42" spans="2:3" x14ac:dyDescent="0.35">
      <c r="B42" s="4" t="s">
        <v>141</v>
      </c>
      <c r="C42" s="15">
        <v>3.2352941176470589</v>
      </c>
    </row>
    <row r="43" spans="2:3" x14ac:dyDescent="0.35">
      <c r="B43" s="4" t="s">
        <v>113</v>
      </c>
      <c r="C43" s="15">
        <v>2.9130434782608696</v>
      </c>
    </row>
    <row r="44" spans="2:3" x14ac:dyDescent="0.35">
      <c r="B44" s="4" t="s">
        <v>291</v>
      </c>
      <c r="C44" s="15">
        <v>3.4482758620689653</v>
      </c>
    </row>
    <row r="45" spans="2:3" x14ac:dyDescent="0.35">
      <c r="B45" s="4" t="s">
        <v>78</v>
      </c>
      <c r="C45" s="15">
        <v>2.896551724137931</v>
      </c>
    </row>
    <row r="46" spans="2:3" x14ac:dyDescent="0.35">
      <c r="B46" s="4" t="s">
        <v>105</v>
      </c>
      <c r="C46" s="15">
        <v>3.3235294117647061</v>
      </c>
    </row>
    <row r="47" spans="2:3" x14ac:dyDescent="0.35">
      <c r="B47" s="4" t="s">
        <v>18</v>
      </c>
      <c r="C47" s="15">
        <v>3.1764705882352939</v>
      </c>
    </row>
    <row r="48" spans="2:3" x14ac:dyDescent="0.35">
      <c r="B48" s="4" t="s">
        <v>444</v>
      </c>
      <c r="C48" s="15">
        <v>3.5714285714285716</v>
      </c>
    </row>
    <row r="49" spans="2:3" x14ac:dyDescent="0.35">
      <c r="B49" s="4" t="s">
        <v>192</v>
      </c>
      <c r="C49" s="15">
        <v>1.8461538461538463</v>
      </c>
    </row>
    <row r="50" spans="2:3" x14ac:dyDescent="0.35">
      <c r="B50" s="4" t="s">
        <v>252</v>
      </c>
      <c r="C50" s="15">
        <v>3.6538461538461537</v>
      </c>
    </row>
    <row r="51" spans="2:3" x14ac:dyDescent="0.35">
      <c r="B51" s="4" t="s">
        <v>75</v>
      </c>
      <c r="C51" s="15">
        <v>3.5294117647058822</v>
      </c>
    </row>
    <row r="52" spans="2:3" x14ac:dyDescent="0.35">
      <c r="B52" s="4" t="s">
        <v>108</v>
      </c>
      <c r="C52" s="15">
        <v>2.6976744186046511</v>
      </c>
    </row>
    <row r="53" spans="2:3" x14ac:dyDescent="0.35">
      <c r="B53" s="4" t="s">
        <v>46</v>
      </c>
      <c r="C53" s="15">
        <v>3.1212121212121211</v>
      </c>
    </row>
    <row r="54" spans="2:3" x14ac:dyDescent="0.35">
      <c r="B54" s="4" t="s">
        <v>51</v>
      </c>
      <c r="C54" s="15">
        <v>3.2962962962962963</v>
      </c>
    </row>
    <row r="55" spans="2:3" x14ac:dyDescent="0.35">
      <c r="B55" s="4" t="s">
        <v>123</v>
      </c>
      <c r="C55" s="15">
        <v>3.3181818181818183</v>
      </c>
    </row>
    <row r="56" spans="2:3" x14ac:dyDescent="0.35">
      <c r="B56" s="4" t="s">
        <v>32</v>
      </c>
      <c r="C56" s="15">
        <v>2.5517241379310347</v>
      </c>
    </row>
    <row r="57" spans="2:3" x14ac:dyDescent="0.35">
      <c r="B57" s="4" t="s">
        <v>207</v>
      </c>
      <c r="C57" s="15">
        <v>2.7916666666666665</v>
      </c>
    </row>
    <row r="58" spans="2:3" x14ac:dyDescent="0.35">
      <c r="B58" s="4" t="s">
        <v>86</v>
      </c>
      <c r="C58" s="15">
        <v>3.1764705882352939</v>
      </c>
    </row>
    <row r="59" spans="2:3" x14ac:dyDescent="0.35">
      <c r="B59" s="4" t="s">
        <v>183</v>
      </c>
      <c r="C59" s="15">
        <v>2.6071428571428572</v>
      </c>
    </row>
    <row r="60" spans="2:3" x14ac:dyDescent="0.35">
      <c r="B60" s="4" t="s">
        <v>1068</v>
      </c>
      <c r="C60" s="15">
        <v>2.9476386036960984</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4" zoomScale="60" zoomScaleNormal="60" workbookViewId="0">
      <selection activeCell="AD15" sqref="AD15"/>
    </sheetView>
  </sheetViews>
  <sheetFormatPr defaultColWidth="9.1796875" defaultRowHeight="14.5" x14ac:dyDescent="0.35"/>
  <cols>
    <col min="1" max="16384" width="9.179687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17A45F-AA85-4600-A079-4B17050C3B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MTN CUSTOMER CHURN</vt:lpstr>
      <vt:lpstr>PIVOT TABLE</vt:lpstr>
      <vt:lpstr>DASHBOARD</vt:lpstr>
      <vt:lpstr>CHRUN</vt:lpstr>
      <vt:lpstr>mtn</vt:lpstr>
      <vt:lpstr>per</vt:lpstr>
      <vt:lpstr>rate</vt:lpstr>
      <vt:lpstr>revenue</vt:lpstr>
      <vt:lpstr>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Bamigbade</dc:creator>
  <cp:lastModifiedBy>hp</cp:lastModifiedBy>
  <dcterms:created xsi:type="dcterms:W3CDTF">2025-06-25T22:35:30Z</dcterms:created>
  <dcterms:modified xsi:type="dcterms:W3CDTF">2025-07-30T01:27:04Z</dcterms:modified>
</cp:coreProperties>
</file>